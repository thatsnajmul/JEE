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mo_Salary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K10" i="1"/>
  <c r="L10" i="1"/>
  <c r="D10" i="1"/>
  <c r="C10" i="1"/>
  <c r="L5" i="1"/>
  <c r="L6" i="1"/>
  <c r="L7" i="1"/>
  <c r="L8" i="1"/>
  <c r="L9" i="1"/>
  <c r="K6" i="1"/>
  <c r="K7" i="1"/>
  <c r="K8" i="1"/>
  <c r="K9" i="1"/>
  <c r="K5" i="1"/>
  <c r="J6" i="1"/>
  <c r="J7" i="1"/>
  <c r="J8" i="1"/>
  <c r="J9" i="1"/>
  <c r="J5" i="1"/>
  <c r="I6" i="1"/>
  <c r="I7" i="1"/>
  <c r="I8" i="1"/>
  <c r="I9" i="1"/>
  <c r="I5" i="1"/>
  <c r="G6" i="1"/>
  <c r="G7" i="1"/>
  <c r="G8" i="1"/>
  <c r="G9" i="1"/>
  <c r="G5" i="1"/>
  <c r="F6" i="1"/>
  <c r="F7" i="1"/>
  <c r="F8" i="1"/>
  <c r="F9" i="1"/>
  <c r="F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<sst xmlns="http://schemas.openxmlformats.org/spreadsheetml/2006/main" count="17" uniqueCount="17">
  <si>
    <t>NAME</t>
  </si>
  <si>
    <t>BASIC PAY</t>
  </si>
  <si>
    <t>HOUSE RENT</t>
  </si>
  <si>
    <t>MEDICAL ALLOWANCE</t>
  </si>
  <si>
    <t>BONUS</t>
  </si>
  <si>
    <t>PROVIDENT FUND</t>
  </si>
  <si>
    <t>GROSS PAY</t>
  </si>
  <si>
    <t>DEDUCTION</t>
  </si>
  <si>
    <t>NET PAY</t>
  </si>
  <si>
    <t>MD SHABAB</t>
  </si>
  <si>
    <t>MD RABIUL</t>
  </si>
  <si>
    <t>MD RAJU</t>
  </si>
  <si>
    <t>MD NIJOR</t>
  </si>
  <si>
    <t>NUSRAT</t>
  </si>
  <si>
    <t>ID</t>
  </si>
  <si>
    <t>Total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</si>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</sst>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"/>
  <sheetViews>
    <sheetView tabSelected="1" workbookViewId="0">
      <selection activeCell="C18" sqref="C18"/>
    </sheetView>
  </sheetViews>
  <sheetFormatPr defaultRowHeight="15" x14ac:dyDescent="0.25"/>
  <cols>
    <col min="3" max="3" width="11.5703125" bestFit="1" customWidth="1"/>
    <col min="4" max="4" width="10" bestFit="1" customWidth="1"/>
    <col min="5" max="5" width="12" bestFit="1" customWidth="1"/>
    <col min="6" max="6" width="20.7109375" bestFit="1" customWidth="1"/>
    <col min="7" max="7" width="16.7109375" bestFit="1" customWidth="1"/>
    <col min="8" max="8" width="7.28515625" bestFit="1" customWidth="1"/>
    <col min="9" max="9" width="16.85546875" bestFit="1" customWidth="1"/>
    <col min="10" max="10" width="10.7109375" bestFit="1" customWidth="1"/>
    <col min="11" max="11" width="11.42578125" bestFit="1" customWidth="1"/>
    <col min="12" max="12" width="8.28515625" bestFit="1" customWidth="1"/>
  </cols>
  <sheetData>
    <row r="3" spans="2:12" x14ac:dyDescent="0.25">
      <c r="E3" s="1">
        <v>0.35</v>
      </c>
      <c r="F3" s="1">
        <v>0.05</v>
      </c>
      <c r="G3" s="1">
        <v>0.1</v>
      </c>
      <c r="I3" s="1">
        <v>0.1</v>
      </c>
    </row>
    <row r="4" spans="2:12" x14ac:dyDescent="0.25">
      <c r="B4" s="2" t="s">
        <v>14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16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</row>
    <row r="5" spans="2:12" x14ac:dyDescent="0.25">
      <c r="B5" s="3">
        <v>1001</v>
      </c>
      <c r="C5" s="3" t="s">
        <v>9</v>
      </c>
      <c r="D5" s="3">
        <v>15000</v>
      </c>
      <c r="E5" s="3">
        <f>$E$3*D5</f>
        <v>5250</v>
      </c>
      <c r="F5" s="3">
        <f>$F$3*D5</f>
        <v>750</v>
      </c>
      <c r="G5" s="3">
        <f>$G$3*D5</f>
        <v>1500</v>
      </c>
      <c r="H5" s="3">
        <v>15000</v>
      </c>
      <c r="I5" s="3">
        <f>$I$3*D5</f>
        <v>1500</v>
      </c>
      <c r="J5" s="3">
        <f>SUM(D5:I5)</f>
        <v>39000</v>
      </c>
      <c r="K5" s="3">
        <f>I5</f>
        <v>1500</v>
      </c>
      <c r="L5" s="3">
        <f>D5+E5+F5+G5+H5</f>
        <v>37500</v>
      </c>
    </row>
    <row r="6" spans="2:12" x14ac:dyDescent="0.25">
      <c r="B6" s="3">
        <v>1002</v>
      </c>
      <c r="C6" s="3" t="s">
        <v>10</v>
      </c>
      <c r="D6" s="3">
        <v>15000</v>
      </c>
      <c r="E6" s="3">
        <f t="shared" ref="E6:E9" si="0">$E$3*D6</f>
        <v>5250</v>
      </c>
      <c r="F6" s="3">
        <f t="shared" ref="F6:F9" si="1">$F$3*D6</f>
        <v>750</v>
      </c>
      <c r="G6" s="3">
        <f t="shared" ref="G6:G9" si="2">$G$3*D6</f>
        <v>1500</v>
      </c>
      <c r="H6" s="3">
        <v>15000</v>
      </c>
      <c r="I6" s="3">
        <f t="shared" ref="I6:I9" si="3">$I$3*D6</f>
        <v>1500</v>
      </c>
      <c r="J6" s="3">
        <f t="shared" ref="J6:J9" si="4">SUM(D6:I6)</f>
        <v>39000</v>
      </c>
      <c r="K6" s="3">
        <f t="shared" ref="K6:K9" si="5">I6</f>
        <v>1500</v>
      </c>
      <c r="L6" s="3">
        <f t="shared" ref="L6:L9" si="6">D6+E6+F6+G6+H6</f>
        <v>37500</v>
      </c>
    </row>
    <row r="7" spans="2:12" x14ac:dyDescent="0.25">
      <c r="B7" s="3">
        <v>1003</v>
      </c>
      <c r="C7" s="3" t="s">
        <v>11</v>
      </c>
      <c r="D7" s="3">
        <v>15000</v>
      </c>
      <c r="E7" s="3">
        <f t="shared" si="0"/>
        <v>5250</v>
      </c>
      <c r="F7" s="3">
        <f t="shared" si="1"/>
        <v>750</v>
      </c>
      <c r="G7" s="3">
        <f t="shared" si="2"/>
        <v>1500</v>
      </c>
      <c r="H7" s="3">
        <v>15000</v>
      </c>
      <c r="I7" s="3">
        <f t="shared" si="3"/>
        <v>1500</v>
      </c>
      <c r="J7" s="3">
        <f t="shared" si="4"/>
        <v>39000</v>
      </c>
      <c r="K7" s="3">
        <f t="shared" si="5"/>
        <v>1500</v>
      </c>
      <c r="L7" s="3">
        <f t="shared" si="6"/>
        <v>37500</v>
      </c>
    </row>
    <row r="8" spans="2:12" x14ac:dyDescent="0.25">
      <c r="B8" s="3">
        <v>1004</v>
      </c>
      <c r="C8" s="3" t="s">
        <v>12</v>
      </c>
      <c r="D8" s="3">
        <v>15000</v>
      </c>
      <c r="E8" s="3">
        <f t="shared" si="0"/>
        <v>5250</v>
      </c>
      <c r="F8" s="3">
        <f t="shared" si="1"/>
        <v>750</v>
      </c>
      <c r="G8" s="3">
        <f t="shared" si="2"/>
        <v>1500</v>
      </c>
      <c r="H8" s="3">
        <v>15000</v>
      </c>
      <c r="I8" s="3">
        <f t="shared" si="3"/>
        <v>1500</v>
      </c>
      <c r="J8" s="3">
        <f t="shared" si="4"/>
        <v>39000</v>
      </c>
      <c r="K8" s="3">
        <f t="shared" si="5"/>
        <v>1500</v>
      </c>
      <c r="L8" s="3">
        <f t="shared" si="6"/>
        <v>37500</v>
      </c>
    </row>
    <row r="9" spans="2:12" x14ac:dyDescent="0.25">
      <c r="B9" s="3">
        <v>1005</v>
      </c>
      <c r="C9" s="3" t="s">
        <v>13</v>
      </c>
      <c r="D9" s="3">
        <v>15000</v>
      </c>
      <c r="E9" s="3">
        <f t="shared" si="0"/>
        <v>5250</v>
      </c>
      <c r="F9" s="3">
        <f t="shared" si="1"/>
        <v>750</v>
      </c>
      <c r="G9" s="3">
        <f t="shared" si="2"/>
        <v>1500</v>
      </c>
      <c r="H9" s="3">
        <v>15000</v>
      </c>
      <c r="I9" s="3">
        <f t="shared" si="3"/>
        <v>1500</v>
      </c>
      <c r="J9" s="3">
        <f t="shared" si="4"/>
        <v>39000</v>
      </c>
      <c r="K9" s="3">
        <f t="shared" si="5"/>
        <v>1500</v>
      </c>
      <c r="L9" s="3">
        <f t="shared" si="6"/>
        <v>37500</v>
      </c>
    </row>
    <row r="10" spans="2:12" x14ac:dyDescent="0.25">
      <c r="B10" s="3" t="s">
        <v>15</v>
      </c>
      <c r="C10" s="3">
        <f>COUNTA(C5:C9)</f>
        <v>5</v>
      </c>
      <c r="D10" s="3">
        <f>SUM(D5:D9)</f>
        <v>75000</v>
      </c>
      <c r="E10" s="3">
        <f t="shared" ref="E10:L10" si="7">SUM(E5:E9)</f>
        <v>26250</v>
      </c>
      <c r="F10" s="3">
        <f t="shared" si="7"/>
        <v>3750</v>
      </c>
      <c r="G10" s="3">
        <f t="shared" si="7"/>
        <v>7500</v>
      </c>
      <c r="H10" s="3">
        <f t="shared" si="7"/>
        <v>75000</v>
      </c>
      <c r="I10" s="3">
        <f t="shared" si="7"/>
        <v>7500</v>
      </c>
      <c r="J10" s="3">
        <f t="shared" si="7"/>
        <v>195000</v>
      </c>
      <c r="K10" s="3">
        <f t="shared" si="7"/>
        <v>7500</v>
      </c>
      <c r="L10" s="3">
        <f t="shared" si="7"/>
        <v>187500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Demo_Salary_Sheet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2024-01-27T10:05:42Z</dcterms:modified>
</cp:coreProperties>
</file>