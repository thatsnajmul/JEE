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 activeTab="6"/>
  </bookViews>
  <sheets>
    <sheet name="learn" sheetId="12" r:id="rId1"/>
    <sheet name="if" sheetId="7" r:id="rId2"/>
    <sheet name="vlookup" sheetId="9" r:id="rId3"/>
    <sheet name="data" sheetId="11" r:id="rId4"/>
    <sheet name="Orders" sheetId="13" r:id="rId5"/>
    <sheet name="list" sheetId="16" r:id="rId6"/>
    <sheet name="Salary Sheet &amp;  formula" sheetId="8" r:id="rId7"/>
    <sheet name="23-jan-2024" sheetId="1" r:id="rId8"/>
    <sheet name="24-jan-2024" sheetId="2" r:id="rId9"/>
    <sheet name="chart" sheetId="6" r:id="rId10"/>
    <sheet name="calc" sheetId="5" r:id="rId11"/>
  </sheets>
  <externalReferences>
    <externalReference r:id="rId12"/>
  </externalReferences>
  <definedNames>
    <definedName name="_xlnm.Print_Area" localSheetId="7">'23-jan-2024'!$B$1:$L$47</definedName>
  </definedNames>
  <calcPr calcId="162913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6" i="8" l="1"/>
  <c r="U1043" i="13"/>
  <c r="W1043" i="13" s="1"/>
  <c r="T1043" i="13"/>
  <c r="R1043" i="13"/>
  <c r="U1042" i="13"/>
  <c r="W1042" i="13" s="1"/>
  <c r="R1042" i="13"/>
  <c r="T1042" i="13" s="1"/>
  <c r="T1041" i="13"/>
  <c r="R1041" i="13"/>
  <c r="U1041" i="13" s="1"/>
  <c r="W1041" i="13" s="1"/>
  <c r="U1040" i="13"/>
  <c r="W1040" i="13" s="1"/>
  <c r="T1040" i="13"/>
  <c r="R1040" i="13"/>
  <c r="W1039" i="13"/>
  <c r="U1039" i="13"/>
  <c r="R1039" i="13"/>
  <c r="T1039" i="13" s="1"/>
  <c r="T1038" i="13"/>
  <c r="R1038" i="13"/>
  <c r="U1038" i="13" s="1"/>
  <c r="W1038" i="13" s="1"/>
  <c r="U1037" i="13"/>
  <c r="W1037" i="13" s="1"/>
  <c r="T1037" i="13"/>
  <c r="R1037" i="13"/>
  <c r="U1036" i="13"/>
  <c r="W1036" i="13" s="1"/>
  <c r="R1036" i="13"/>
  <c r="T1036" i="13" s="1"/>
  <c r="R1035" i="13"/>
  <c r="U1034" i="13"/>
  <c r="W1034" i="13" s="1"/>
  <c r="T1034" i="13"/>
  <c r="R1034" i="13"/>
  <c r="U1033" i="13"/>
  <c r="W1033" i="13" s="1"/>
  <c r="R1033" i="13"/>
  <c r="T1033" i="13" s="1"/>
  <c r="T1032" i="13"/>
  <c r="R1032" i="13"/>
  <c r="U1032" i="13" s="1"/>
  <c r="W1032" i="13" s="1"/>
  <c r="U1031" i="13"/>
  <c r="W1031" i="13" s="1"/>
  <c r="T1031" i="13"/>
  <c r="R1031" i="13"/>
  <c r="W1030" i="13"/>
  <c r="U1030" i="13"/>
  <c r="R1030" i="13"/>
  <c r="T1030" i="13" s="1"/>
  <c r="T1029" i="13"/>
  <c r="R1029" i="13"/>
  <c r="U1029" i="13" s="1"/>
  <c r="W1029" i="13" s="1"/>
  <c r="U1028" i="13"/>
  <c r="W1028" i="13" s="1"/>
  <c r="T1028" i="13"/>
  <c r="R1028" i="13"/>
  <c r="U1027" i="13"/>
  <c r="W1027" i="13" s="1"/>
  <c r="R1027" i="13"/>
  <c r="T1027" i="13" s="1"/>
  <c r="T1026" i="13"/>
  <c r="R1026" i="13"/>
  <c r="U1026" i="13" s="1"/>
  <c r="W1026" i="13" s="1"/>
  <c r="U1025" i="13"/>
  <c r="W1025" i="13" s="1"/>
  <c r="T1025" i="13"/>
  <c r="R1025" i="13"/>
  <c r="U1024" i="13"/>
  <c r="W1024" i="13" s="1"/>
  <c r="R1024" i="13"/>
  <c r="T1024" i="13" s="1"/>
  <c r="T1023" i="13"/>
  <c r="R1023" i="13"/>
  <c r="U1023" i="13" s="1"/>
  <c r="W1023" i="13" s="1"/>
  <c r="U1022" i="13"/>
  <c r="W1022" i="13" s="1"/>
  <c r="T1022" i="13"/>
  <c r="R1022" i="13"/>
  <c r="W1021" i="13"/>
  <c r="U1021" i="13"/>
  <c r="R1021" i="13"/>
  <c r="T1021" i="13" s="1"/>
  <c r="T1020" i="13"/>
  <c r="R1020" i="13"/>
  <c r="U1020" i="13" s="1"/>
  <c r="W1020" i="13" s="1"/>
  <c r="U1019" i="13"/>
  <c r="W1019" i="13" s="1"/>
  <c r="T1019" i="13"/>
  <c r="R1019" i="13"/>
  <c r="U1018" i="13"/>
  <c r="W1018" i="13" s="1"/>
  <c r="R1018" i="13"/>
  <c r="T1018" i="13" s="1"/>
  <c r="R1017" i="13"/>
  <c r="U1016" i="13"/>
  <c r="W1016" i="13" s="1"/>
  <c r="T1016" i="13"/>
  <c r="R1016" i="13"/>
  <c r="U1015" i="13"/>
  <c r="W1015" i="13" s="1"/>
  <c r="R1015" i="13"/>
  <c r="T1015" i="13" s="1"/>
  <c r="T1014" i="13"/>
  <c r="R1014" i="13"/>
  <c r="U1014" i="13" s="1"/>
  <c r="W1014" i="13" s="1"/>
  <c r="U1013" i="13"/>
  <c r="W1013" i="13" s="1"/>
  <c r="T1013" i="13"/>
  <c r="R1013" i="13"/>
  <c r="W1012" i="13"/>
  <c r="U1012" i="13"/>
  <c r="R1012" i="13"/>
  <c r="T1012" i="13" s="1"/>
  <c r="T1011" i="13"/>
  <c r="R1011" i="13"/>
  <c r="U1011" i="13" s="1"/>
  <c r="W1011" i="13" s="1"/>
  <c r="U1010" i="13"/>
  <c r="W1010" i="13" s="1"/>
  <c r="T1010" i="13"/>
  <c r="R1010" i="13"/>
  <c r="U1009" i="13"/>
  <c r="W1009" i="13" s="1"/>
  <c r="R1009" i="13"/>
  <c r="T1009" i="13" s="1"/>
  <c r="R1008" i="13"/>
  <c r="U1007" i="13"/>
  <c r="W1007" i="13" s="1"/>
  <c r="T1007" i="13"/>
  <c r="R1007" i="13"/>
  <c r="U1006" i="13"/>
  <c r="W1006" i="13" s="1"/>
  <c r="R1006" i="13"/>
  <c r="T1006" i="13" s="1"/>
  <c r="T1005" i="13"/>
  <c r="R1005" i="13"/>
  <c r="U1005" i="13" s="1"/>
  <c r="W1005" i="13" s="1"/>
  <c r="U1004" i="13"/>
  <c r="W1004" i="13" s="1"/>
  <c r="T1004" i="13"/>
  <c r="R1004" i="13"/>
  <c r="W1003" i="13"/>
  <c r="U1003" i="13"/>
  <c r="R1003" i="13"/>
  <c r="T1003" i="13" s="1"/>
  <c r="T1002" i="13"/>
  <c r="R1002" i="13"/>
  <c r="U1002" i="13" s="1"/>
  <c r="W1002" i="13" s="1"/>
  <c r="U1001" i="13"/>
  <c r="W1001" i="13" s="1"/>
  <c r="T1001" i="13"/>
  <c r="R1001" i="13"/>
  <c r="U1000" i="13"/>
  <c r="W1000" i="13" s="1"/>
  <c r="R1000" i="13"/>
  <c r="T1000" i="13" s="1"/>
  <c r="W999" i="13"/>
  <c r="T999" i="13"/>
  <c r="R999" i="13"/>
  <c r="U999" i="13" s="1"/>
  <c r="U998" i="13"/>
  <c r="W998" i="13" s="1"/>
  <c r="T998" i="13"/>
  <c r="R998" i="13"/>
  <c r="W997" i="13"/>
  <c r="U997" i="13"/>
  <c r="R997" i="13"/>
  <c r="T997" i="13" s="1"/>
  <c r="T996" i="13"/>
  <c r="R996" i="13"/>
  <c r="U996" i="13" s="1"/>
  <c r="W996" i="13" s="1"/>
  <c r="U995" i="13"/>
  <c r="W995" i="13" s="1"/>
  <c r="T995" i="13"/>
  <c r="R995" i="13"/>
  <c r="U994" i="13"/>
  <c r="W994" i="13" s="1"/>
  <c r="R994" i="13"/>
  <c r="T994" i="13" s="1"/>
  <c r="W993" i="13"/>
  <c r="T993" i="13"/>
  <c r="R993" i="13"/>
  <c r="U993" i="13" s="1"/>
  <c r="U992" i="13"/>
  <c r="W992" i="13" s="1"/>
  <c r="T992" i="13"/>
  <c r="R992" i="13"/>
  <c r="W991" i="13"/>
  <c r="U991" i="13"/>
  <c r="R991" i="13"/>
  <c r="T991" i="13" s="1"/>
  <c r="T990" i="13"/>
  <c r="R990" i="13"/>
  <c r="U990" i="13" s="1"/>
  <c r="W990" i="13" s="1"/>
  <c r="U989" i="13"/>
  <c r="W989" i="13" s="1"/>
  <c r="T989" i="13"/>
  <c r="R989" i="13"/>
  <c r="U988" i="13"/>
  <c r="W988" i="13" s="1"/>
  <c r="R988" i="13"/>
  <c r="T988" i="13" s="1"/>
  <c r="W987" i="13"/>
  <c r="T987" i="13"/>
  <c r="R987" i="13"/>
  <c r="U987" i="13" s="1"/>
  <c r="U986" i="13"/>
  <c r="W986" i="13" s="1"/>
  <c r="T986" i="13"/>
  <c r="R986" i="13"/>
  <c r="U985" i="13"/>
  <c r="W985" i="13" s="1"/>
  <c r="R985" i="13"/>
  <c r="T985" i="13" s="1"/>
  <c r="T984" i="13"/>
  <c r="R984" i="13"/>
  <c r="U984" i="13" s="1"/>
  <c r="W984" i="13" s="1"/>
  <c r="U983" i="13"/>
  <c r="W983" i="13" s="1"/>
  <c r="T983" i="13"/>
  <c r="R983" i="13"/>
  <c r="U982" i="13"/>
  <c r="W982" i="13" s="1"/>
  <c r="R982" i="13"/>
  <c r="T982" i="13" s="1"/>
  <c r="W981" i="13"/>
  <c r="T981" i="13"/>
  <c r="R981" i="13"/>
  <c r="U981" i="13" s="1"/>
  <c r="U980" i="13"/>
  <c r="W980" i="13" s="1"/>
  <c r="T980" i="13"/>
  <c r="R980" i="13"/>
  <c r="W979" i="13"/>
  <c r="U979" i="13"/>
  <c r="R979" i="13"/>
  <c r="T979" i="13" s="1"/>
  <c r="T978" i="13"/>
  <c r="R978" i="13"/>
  <c r="U978" i="13" s="1"/>
  <c r="W978" i="13" s="1"/>
  <c r="U977" i="13"/>
  <c r="W977" i="13" s="1"/>
  <c r="T977" i="13"/>
  <c r="R977" i="13"/>
  <c r="R976" i="13"/>
  <c r="W975" i="13"/>
  <c r="T975" i="13"/>
  <c r="R975" i="13"/>
  <c r="U975" i="13" s="1"/>
  <c r="U974" i="13"/>
  <c r="W974" i="13" s="1"/>
  <c r="T974" i="13"/>
  <c r="R974" i="13"/>
  <c r="W973" i="13"/>
  <c r="U973" i="13"/>
  <c r="R973" i="13"/>
  <c r="T973" i="13" s="1"/>
  <c r="T972" i="13"/>
  <c r="R972" i="13"/>
  <c r="U972" i="13" s="1"/>
  <c r="W972" i="13" s="1"/>
  <c r="U971" i="13"/>
  <c r="W971" i="13" s="1"/>
  <c r="T971" i="13"/>
  <c r="R971" i="13"/>
  <c r="U970" i="13"/>
  <c r="W970" i="13" s="1"/>
  <c r="R970" i="13"/>
  <c r="T970" i="13" s="1"/>
  <c r="W969" i="13"/>
  <c r="T969" i="13"/>
  <c r="R969" i="13"/>
  <c r="U969" i="13" s="1"/>
  <c r="U968" i="13"/>
  <c r="W968" i="13" s="1"/>
  <c r="T968" i="13"/>
  <c r="R968" i="13"/>
  <c r="U967" i="13"/>
  <c r="W967" i="13" s="1"/>
  <c r="R967" i="13"/>
  <c r="T967" i="13" s="1"/>
  <c r="T966" i="13"/>
  <c r="R966" i="13"/>
  <c r="U966" i="13" s="1"/>
  <c r="W966" i="13" s="1"/>
  <c r="U965" i="13"/>
  <c r="W965" i="13" s="1"/>
  <c r="T965" i="13"/>
  <c r="R965" i="13"/>
  <c r="U964" i="13"/>
  <c r="W964" i="13" s="1"/>
  <c r="R964" i="13"/>
  <c r="T964" i="13" s="1"/>
  <c r="W963" i="13"/>
  <c r="T963" i="13"/>
  <c r="R963" i="13"/>
  <c r="U963" i="13" s="1"/>
  <c r="U962" i="13"/>
  <c r="W962" i="13" s="1"/>
  <c r="T962" i="13"/>
  <c r="R962" i="13"/>
  <c r="W961" i="13"/>
  <c r="U961" i="13"/>
  <c r="R961" i="13"/>
  <c r="T961" i="13" s="1"/>
  <c r="R960" i="13"/>
  <c r="U959" i="13"/>
  <c r="W959" i="13" s="1"/>
  <c r="T959" i="13"/>
  <c r="R959" i="13"/>
  <c r="R958" i="13"/>
  <c r="W957" i="13"/>
  <c r="T957" i="13"/>
  <c r="R957" i="13"/>
  <c r="U957" i="13" s="1"/>
  <c r="U956" i="13"/>
  <c r="W956" i="13" s="1"/>
  <c r="T956" i="13"/>
  <c r="R956" i="13"/>
  <c r="U955" i="13"/>
  <c r="W955" i="13" s="1"/>
  <c r="R955" i="13"/>
  <c r="T955" i="13" s="1"/>
  <c r="T954" i="13"/>
  <c r="R954" i="13"/>
  <c r="U954" i="13" s="1"/>
  <c r="W954" i="13" s="1"/>
  <c r="U953" i="13"/>
  <c r="W953" i="13" s="1"/>
  <c r="T953" i="13"/>
  <c r="R953" i="13"/>
  <c r="U952" i="13"/>
  <c r="W952" i="13" s="1"/>
  <c r="R952" i="13"/>
  <c r="T952" i="13" s="1"/>
  <c r="W951" i="13"/>
  <c r="T951" i="13"/>
  <c r="R951" i="13"/>
  <c r="U951" i="13" s="1"/>
  <c r="U950" i="13"/>
  <c r="W950" i="13" s="1"/>
  <c r="T950" i="13"/>
  <c r="R950" i="13"/>
  <c r="U949" i="13"/>
  <c r="W949" i="13" s="1"/>
  <c r="R949" i="13"/>
  <c r="T949" i="13" s="1"/>
  <c r="R948" i="13"/>
  <c r="U947" i="13"/>
  <c r="W947" i="13" s="1"/>
  <c r="T947" i="13"/>
  <c r="R947" i="13"/>
  <c r="R946" i="13"/>
  <c r="W945" i="13"/>
  <c r="T945" i="13"/>
  <c r="R945" i="13"/>
  <c r="U945" i="13" s="1"/>
  <c r="U944" i="13"/>
  <c r="W944" i="13" s="1"/>
  <c r="T944" i="13"/>
  <c r="R944" i="13"/>
  <c r="W943" i="13"/>
  <c r="U943" i="13"/>
  <c r="R943" i="13"/>
  <c r="T943" i="13" s="1"/>
  <c r="T942" i="13"/>
  <c r="R942" i="13"/>
  <c r="U942" i="13" s="1"/>
  <c r="W942" i="13" s="1"/>
  <c r="U941" i="13"/>
  <c r="W941" i="13" s="1"/>
  <c r="T941" i="13"/>
  <c r="R941" i="13"/>
  <c r="R940" i="13"/>
  <c r="W939" i="13"/>
  <c r="T939" i="13"/>
  <c r="R939" i="13"/>
  <c r="U939" i="13" s="1"/>
  <c r="U938" i="13"/>
  <c r="W938" i="13" s="1"/>
  <c r="T938" i="13"/>
  <c r="R938" i="13"/>
  <c r="W937" i="13"/>
  <c r="U937" i="13"/>
  <c r="R937" i="13"/>
  <c r="T937" i="13" s="1"/>
  <c r="T936" i="13"/>
  <c r="R936" i="13"/>
  <c r="U936" i="13" s="1"/>
  <c r="W936" i="13" s="1"/>
  <c r="U935" i="13"/>
  <c r="W935" i="13" s="1"/>
  <c r="T935" i="13"/>
  <c r="R935" i="13"/>
  <c r="U934" i="13"/>
  <c r="W934" i="13" s="1"/>
  <c r="R934" i="13"/>
  <c r="T934" i="13" s="1"/>
  <c r="W933" i="13"/>
  <c r="T933" i="13"/>
  <c r="R933" i="13"/>
  <c r="U933" i="13" s="1"/>
  <c r="U932" i="13"/>
  <c r="W932" i="13" s="1"/>
  <c r="T932" i="13"/>
  <c r="R932" i="13"/>
  <c r="U931" i="13"/>
  <c r="W931" i="13" s="1"/>
  <c r="R931" i="13"/>
  <c r="T931" i="13" s="1"/>
  <c r="T930" i="13"/>
  <c r="R930" i="13"/>
  <c r="U930" i="13" s="1"/>
  <c r="W930" i="13" s="1"/>
  <c r="U929" i="13"/>
  <c r="W929" i="13" s="1"/>
  <c r="T929" i="13"/>
  <c r="R929" i="13"/>
  <c r="R928" i="13"/>
  <c r="W927" i="13"/>
  <c r="T927" i="13"/>
  <c r="R927" i="13"/>
  <c r="U927" i="13" s="1"/>
  <c r="U926" i="13"/>
  <c r="W926" i="13" s="1"/>
  <c r="T926" i="13"/>
  <c r="R926" i="13"/>
  <c r="W925" i="13"/>
  <c r="U925" i="13"/>
  <c r="R925" i="13"/>
  <c r="T925" i="13" s="1"/>
  <c r="T924" i="13"/>
  <c r="R924" i="13"/>
  <c r="U924" i="13" s="1"/>
  <c r="W924" i="13" s="1"/>
  <c r="U923" i="13"/>
  <c r="W923" i="13" s="1"/>
  <c r="T923" i="13"/>
  <c r="R923" i="13"/>
  <c r="R922" i="13"/>
  <c r="W921" i="13"/>
  <c r="T921" i="13"/>
  <c r="R921" i="13"/>
  <c r="U921" i="13" s="1"/>
  <c r="U920" i="13"/>
  <c r="W920" i="13" s="1"/>
  <c r="T920" i="13"/>
  <c r="R920" i="13"/>
  <c r="W919" i="13"/>
  <c r="U919" i="13"/>
  <c r="R919" i="13"/>
  <c r="T919" i="13" s="1"/>
  <c r="T918" i="13"/>
  <c r="R918" i="13"/>
  <c r="U918" i="13" s="1"/>
  <c r="W918" i="13" s="1"/>
  <c r="U917" i="13"/>
  <c r="W917" i="13" s="1"/>
  <c r="T917" i="13"/>
  <c r="R917" i="13"/>
  <c r="U916" i="13"/>
  <c r="W916" i="13" s="1"/>
  <c r="T916" i="13"/>
  <c r="R916" i="13"/>
  <c r="R915" i="13"/>
  <c r="U914" i="13"/>
  <c r="W914" i="13" s="1"/>
  <c r="T914" i="13"/>
  <c r="R914" i="13"/>
  <c r="U913" i="13"/>
  <c r="W913" i="13" s="1"/>
  <c r="T913" i="13"/>
  <c r="R913" i="13"/>
  <c r="W912" i="13"/>
  <c r="U912" i="13"/>
  <c r="R912" i="13"/>
  <c r="T912" i="13" s="1"/>
  <c r="R911" i="13"/>
  <c r="R910" i="13"/>
  <c r="U909" i="13"/>
  <c r="W909" i="13" s="1"/>
  <c r="R909" i="13"/>
  <c r="T909" i="13" s="1"/>
  <c r="R908" i="13"/>
  <c r="U907" i="13"/>
  <c r="W907" i="13" s="1"/>
  <c r="T907" i="13"/>
  <c r="R907" i="13"/>
  <c r="U906" i="13"/>
  <c r="W906" i="13" s="1"/>
  <c r="R906" i="13"/>
  <c r="T906" i="13" s="1"/>
  <c r="U905" i="13"/>
  <c r="W905" i="13" s="1"/>
  <c r="T905" i="13"/>
  <c r="R905" i="13"/>
  <c r="R904" i="13"/>
  <c r="W903" i="13"/>
  <c r="U903" i="13"/>
  <c r="R903" i="13"/>
  <c r="T903" i="13" s="1"/>
  <c r="T902" i="13"/>
  <c r="R902" i="13"/>
  <c r="U902" i="13" s="1"/>
  <c r="W902" i="13" s="1"/>
  <c r="R901" i="13"/>
  <c r="W900" i="13"/>
  <c r="U900" i="13"/>
  <c r="R900" i="13"/>
  <c r="T900" i="13" s="1"/>
  <c r="T899" i="13"/>
  <c r="R899" i="13"/>
  <c r="U899" i="13" s="1"/>
  <c r="W899" i="13" s="1"/>
  <c r="U898" i="13"/>
  <c r="W898" i="13" s="1"/>
  <c r="T898" i="13"/>
  <c r="R898" i="13"/>
  <c r="R897" i="13"/>
  <c r="W896" i="13"/>
  <c r="U896" i="13"/>
  <c r="T896" i="13"/>
  <c r="R896" i="13"/>
  <c r="R895" i="13"/>
  <c r="W894" i="13"/>
  <c r="U894" i="13"/>
  <c r="R894" i="13"/>
  <c r="T894" i="13" s="1"/>
  <c r="U893" i="13"/>
  <c r="W893" i="13" s="1"/>
  <c r="R893" i="13"/>
  <c r="T893" i="13" s="1"/>
  <c r="R892" i="13"/>
  <c r="R891" i="13"/>
  <c r="R890" i="13"/>
  <c r="U889" i="13"/>
  <c r="W889" i="13" s="1"/>
  <c r="T889" i="13"/>
  <c r="R889" i="13"/>
  <c r="U888" i="13"/>
  <c r="W888" i="13" s="1"/>
  <c r="R888" i="13"/>
  <c r="T888" i="13" s="1"/>
  <c r="W887" i="13"/>
  <c r="U887" i="13"/>
  <c r="T887" i="13"/>
  <c r="R887" i="13"/>
  <c r="R886" i="13"/>
  <c r="W885" i="13"/>
  <c r="U885" i="13"/>
  <c r="R885" i="13"/>
  <c r="T885" i="13" s="1"/>
  <c r="T884" i="13"/>
  <c r="R884" i="13"/>
  <c r="U884" i="13" s="1"/>
  <c r="W884" i="13" s="1"/>
  <c r="R883" i="13"/>
  <c r="U882" i="13"/>
  <c r="W882" i="13" s="1"/>
  <c r="R882" i="13"/>
  <c r="T882" i="13" s="1"/>
  <c r="R881" i="13"/>
  <c r="U880" i="13"/>
  <c r="W880" i="13" s="1"/>
  <c r="T880" i="13"/>
  <c r="R880" i="13"/>
  <c r="U879" i="13"/>
  <c r="W879" i="13" s="1"/>
  <c r="R879" i="13"/>
  <c r="T879" i="13" s="1"/>
  <c r="W878" i="13"/>
  <c r="U878" i="13"/>
  <c r="T878" i="13"/>
  <c r="R878" i="13"/>
  <c r="R877" i="13"/>
  <c r="W876" i="13"/>
  <c r="U876" i="13"/>
  <c r="R876" i="13"/>
  <c r="T876" i="13" s="1"/>
  <c r="W875" i="13"/>
  <c r="U875" i="13"/>
  <c r="T875" i="13"/>
  <c r="R875" i="13"/>
  <c r="R874" i="13"/>
  <c r="W873" i="13"/>
  <c r="U873" i="13"/>
  <c r="R873" i="13"/>
  <c r="T873" i="13" s="1"/>
  <c r="T872" i="13"/>
  <c r="R872" i="13"/>
  <c r="U872" i="13" s="1"/>
  <c r="W872" i="13" s="1"/>
  <c r="U871" i="13"/>
  <c r="W871" i="13" s="1"/>
  <c r="T871" i="13"/>
  <c r="R871" i="13"/>
  <c r="R870" i="13"/>
  <c r="W869" i="13"/>
  <c r="U869" i="13"/>
  <c r="T869" i="13"/>
  <c r="R869" i="13"/>
  <c r="U868" i="13"/>
  <c r="W868" i="13" s="1"/>
  <c r="T868" i="13"/>
  <c r="R868" i="13"/>
  <c r="W867" i="13"/>
  <c r="U867" i="13"/>
  <c r="R867" i="13"/>
  <c r="T867" i="13" s="1"/>
  <c r="U866" i="13"/>
  <c r="W866" i="13" s="1"/>
  <c r="T866" i="13"/>
  <c r="R866" i="13"/>
  <c r="R865" i="13"/>
  <c r="R864" i="13"/>
  <c r="T863" i="13"/>
  <c r="R863" i="13"/>
  <c r="U863" i="13" s="1"/>
  <c r="W863" i="13" s="1"/>
  <c r="U862" i="13"/>
  <c r="W862" i="13" s="1"/>
  <c r="T862" i="13"/>
  <c r="R862" i="13"/>
  <c r="U861" i="13"/>
  <c r="W861" i="13" s="1"/>
  <c r="R861" i="13"/>
  <c r="T861" i="13" s="1"/>
  <c r="U860" i="13"/>
  <c r="W860" i="13" s="1"/>
  <c r="T860" i="13"/>
  <c r="R860" i="13"/>
  <c r="U859" i="13"/>
  <c r="W859" i="13" s="1"/>
  <c r="T859" i="13"/>
  <c r="R859" i="13"/>
  <c r="W858" i="13"/>
  <c r="U858" i="13"/>
  <c r="R858" i="13"/>
  <c r="T858" i="13" s="1"/>
  <c r="R857" i="13"/>
  <c r="R856" i="13"/>
  <c r="W855" i="13"/>
  <c r="U855" i="13"/>
  <c r="R855" i="13"/>
  <c r="T855" i="13" s="1"/>
  <c r="R854" i="13"/>
  <c r="U853" i="13"/>
  <c r="W853" i="13" s="1"/>
  <c r="T853" i="13"/>
  <c r="R853" i="13"/>
  <c r="U852" i="13"/>
  <c r="W852" i="13" s="1"/>
  <c r="R852" i="13"/>
  <c r="T852" i="13" s="1"/>
  <c r="U851" i="13"/>
  <c r="W851" i="13" s="1"/>
  <c r="T851" i="13"/>
  <c r="R851" i="13"/>
  <c r="R850" i="13"/>
  <c r="W849" i="13"/>
  <c r="U849" i="13"/>
  <c r="R849" i="13"/>
  <c r="T849" i="13" s="1"/>
  <c r="R848" i="13"/>
  <c r="R847" i="13"/>
  <c r="W846" i="13"/>
  <c r="U846" i="13"/>
  <c r="R846" i="13"/>
  <c r="T846" i="13" s="1"/>
  <c r="R845" i="13"/>
  <c r="U844" i="13"/>
  <c r="W844" i="13" s="1"/>
  <c r="T844" i="13"/>
  <c r="R844" i="13"/>
  <c r="R843" i="13"/>
  <c r="U842" i="13"/>
  <c r="W842" i="13" s="1"/>
  <c r="T842" i="13"/>
  <c r="R842" i="13"/>
  <c r="R841" i="13"/>
  <c r="W840" i="13"/>
  <c r="U840" i="13"/>
  <c r="R840" i="13"/>
  <c r="T840" i="13" s="1"/>
  <c r="R839" i="13"/>
  <c r="R838" i="13"/>
  <c r="W837" i="13"/>
  <c r="U837" i="13"/>
  <c r="T837" i="13"/>
  <c r="R837" i="13"/>
  <c r="U836" i="13"/>
  <c r="W836" i="13" s="1"/>
  <c r="T836" i="13"/>
  <c r="R836" i="13"/>
  <c r="R835" i="13"/>
  <c r="W834" i="13"/>
  <c r="U834" i="13"/>
  <c r="T834" i="13"/>
  <c r="R834" i="13"/>
  <c r="R833" i="13"/>
  <c r="U833" i="13" s="1"/>
  <c r="W833" i="13" s="1"/>
  <c r="R832" i="13"/>
  <c r="W831" i="13"/>
  <c r="U831" i="13"/>
  <c r="T831" i="13"/>
  <c r="R831" i="13"/>
  <c r="U830" i="13"/>
  <c r="W830" i="13" s="1"/>
  <c r="T830" i="13"/>
  <c r="R830" i="13"/>
  <c r="R829" i="13"/>
  <c r="U828" i="13"/>
  <c r="W828" i="13" s="1"/>
  <c r="T828" i="13"/>
  <c r="R828" i="13"/>
  <c r="T827" i="13"/>
  <c r="R827" i="13"/>
  <c r="U827" i="13" s="1"/>
  <c r="W827" i="13" s="1"/>
  <c r="R826" i="13"/>
  <c r="W825" i="13"/>
  <c r="U825" i="13"/>
  <c r="T825" i="13"/>
  <c r="R825" i="13"/>
  <c r="U824" i="13"/>
  <c r="W824" i="13" s="1"/>
  <c r="T824" i="13"/>
  <c r="R824" i="13"/>
  <c r="R823" i="13"/>
  <c r="W822" i="13"/>
  <c r="U822" i="13"/>
  <c r="T822" i="13"/>
  <c r="R822" i="13"/>
  <c r="T821" i="13"/>
  <c r="R821" i="13"/>
  <c r="U821" i="13" s="1"/>
  <c r="W821" i="13" s="1"/>
  <c r="R820" i="13"/>
  <c r="W819" i="13"/>
  <c r="U819" i="13"/>
  <c r="T819" i="13"/>
  <c r="R819" i="13"/>
  <c r="R818" i="13"/>
  <c r="T818" i="13" s="1"/>
  <c r="R817" i="13"/>
  <c r="W816" i="13"/>
  <c r="U816" i="13"/>
  <c r="T816" i="13"/>
  <c r="R816" i="13"/>
  <c r="T815" i="13"/>
  <c r="R815" i="13"/>
  <c r="U815" i="13" s="1"/>
  <c r="W815" i="13" s="1"/>
  <c r="R814" i="13"/>
  <c r="W813" i="13"/>
  <c r="U813" i="13"/>
  <c r="T813" i="13"/>
  <c r="R813" i="13"/>
  <c r="R812" i="13"/>
  <c r="R811" i="13"/>
  <c r="W810" i="13"/>
  <c r="U810" i="13"/>
  <c r="T810" i="13"/>
  <c r="R810" i="13"/>
  <c r="T809" i="13"/>
  <c r="R809" i="13"/>
  <c r="U809" i="13" s="1"/>
  <c r="W809" i="13" s="1"/>
  <c r="R808" i="13"/>
  <c r="W807" i="13"/>
  <c r="U807" i="13"/>
  <c r="T807" i="13"/>
  <c r="R807" i="13"/>
  <c r="U806" i="13"/>
  <c r="W806" i="13" s="1"/>
  <c r="T806" i="13"/>
  <c r="R806" i="13"/>
  <c r="R805" i="13"/>
  <c r="W804" i="13"/>
  <c r="U804" i="13"/>
  <c r="T804" i="13"/>
  <c r="R804" i="13"/>
  <c r="T803" i="13"/>
  <c r="R803" i="13"/>
  <c r="U803" i="13" s="1"/>
  <c r="W803" i="13" s="1"/>
  <c r="R802" i="13"/>
  <c r="W801" i="13"/>
  <c r="U801" i="13"/>
  <c r="T801" i="13"/>
  <c r="R801" i="13"/>
  <c r="R800" i="13"/>
  <c r="T800" i="13" s="1"/>
  <c r="R799" i="13"/>
  <c r="W798" i="13"/>
  <c r="U798" i="13"/>
  <c r="T798" i="13"/>
  <c r="R798" i="13"/>
  <c r="R797" i="13"/>
  <c r="U797" i="13" s="1"/>
  <c r="W797" i="13" s="1"/>
  <c r="R796" i="13"/>
  <c r="W795" i="13"/>
  <c r="U795" i="13"/>
  <c r="T795" i="13"/>
  <c r="R795" i="13"/>
  <c r="R794" i="13"/>
  <c r="R793" i="13"/>
  <c r="W792" i="13"/>
  <c r="U792" i="13"/>
  <c r="T792" i="13"/>
  <c r="R792" i="13"/>
  <c r="T791" i="13"/>
  <c r="R791" i="13"/>
  <c r="U791" i="13" s="1"/>
  <c r="W791" i="13" s="1"/>
  <c r="R790" i="13"/>
  <c r="W789" i="13"/>
  <c r="U789" i="13"/>
  <c r="T789" i="13"/>
  <c r="R789" i="13"/>
  <c r="U788" i="13"/>
  <c r="W788" i="13" s="1"/>
  <c r="T788" i="13"/>
  <c r="R788" i="13"/>
  <c r="R787" i="13"/>
  <c r="W786" i="13"/>
  <c r="U786" i="13"/>
  <c r="T786" i="13"/>
  <c r="R786" i="13"/>
  <c r="T785" i="13"/>
  <c r="R785" i="13"/>
  <c r="U785" i="13" s="1"/>
  <c r="W785" i="13" s="1"/>
  <c r="R784" i="13"/>
  <c r="W783" i="13"/>
  <c r="U783" i="13"/>
  <c r="T783" i="13"/>
  <c r="R783" i="13"/>
  <c r="U782" i="13"/>
  <c r="W782" i="13" s="1"/>
  <c r="R782" i="13"/>
  <c r="T782" i="13" s="1"/>
  <c r="R781" i="13"/>
  <c r="W780" i="13"/>
  <c r="U780" i="13"/>
  <c r="T780" i="13"/>
  <c r="R780" i="13"/>
  <c r="R779" i="13"/>
  <c r="R778" i="13"/>
  <c r="W777" i="13"/>
  <c r="U777" i="13"/>
  <c r="T777" i="13"/>
  <c r="R777" i="13"/>
  <c r="R776" i="13"/>
  <c r="R775" i="13"/>
  <c r="U774" i="13"/>
  <c r="W774" i="13" s="1"/>
  <c r="T774" i="13"/>
  <c r="R774" i="13"/>
  <c r="T773" i="13"/>
  <c r="R773" i="13"/>
  <c r="U773" i="13" s="1"/>
  <c r="W773" i="13" s="1"/>
  <c r="R772" i="13"/>
  <c r="W771" i="13"/>
  <c r="U771" i="13"/>
  <c r="T771" i="13"/>
  <c r="R771" i="13"/>
  <c r="U770" i="13"/>
  <c r="W770" i="13" s="1"/>
  <c r="T770" i="13"/>
  <c r="R770" i="13"/>
  <c r="R769" i="13"/>
  <c r="W768" i="13"/>
  <c r="U768" i="13"/>
  <c r="T768" i="13"/>
  <c r="R768" i="13"/>
  <c r="T767" i="13"/>
  <c r="R767" i="13"/>
  <c r="U767" i="13" s="1"/>
  <c r="W767" i="13" s="1"/>
  <c r="R766" i="13"/>
  <c r="W765" i="13"/>
  <c r="U765" i="13"/>
  <c r="T765" i="13"/>
  <c r="R765" i="13"/>
  <c r="U764" i="13"/>
  <c r="W764" i="13" s="1"/>
  <c r="R764" i="13"/>
  <c r="T764" i="13" s="1"/>
  <c r="R763" i="13"/>
  <c r="T762" i="13"/>
  <c r="R762" i="13"/>
  <c r="U762" i="13" s="1"/>
  <c r="W762" i="13" s="1"/>
  <c r="U761" i="13"/>
  <c r="W761" i="13" s="1"/>
  <c r="T761" i="13"/>
  <c r="R761" i="13"/>
  <c r="U760" i="13"/>
  <c r="W760" i="13" s="1"/>
  <c r="R760" i="13"/>
  <c r="T760" i="13" s="1"/>
  <c r="W759" i="13"/>
  <c r="U759" i="13"/>
  <c r="T759" i="13"/>
  <c r="R759" i="13"/>
  <c r="R758" i="13"/>
  <c r="T758" i="13" s="1"/>
  <c r="W757" i="13"/>
  <c r="U757" i="13"/>
  <c r="R757" i="13"/>
  <c r="T757" i="13" s="1"/>
  <c r="W756" i="13"/>
  <c r="R756" i="13"/>
  <c r="U756" i="13" s="1"/>
  <c r="R755" i="13"/>
  <c r="R754" i="13"/>
  <c r="T753" i="13"/>
  <c r="R753" i="13"/>
  <c r="U753" i="13" s="1"/>
  <c r="W753" i="13" s="1"/>
  <c r="U752" i="13"/>
  <c r="W752" i="13" s="1"/>
  <c r="T752" i="13"/>
  <c r="R752" i="13"/>
  <c r="U751" i="13"/>
  <c r="W751" i="13" s="1"/>
  <c r="R751" i="13"/>
  <c r="T751" i="13" s="1"/>
  <c r="U750" i="13"/>
  <c r="W750" i="13" s="1"/>
  <c r="T750" i="13"/>
  <c r="R750" i="13"/>
  <c r="R749" i="13"/>
  <c r="T749" i="13" s="1"/>
  <c r="W748" i="13"/>
  <c r="U748" i="13"/>
  <c r="R748" i="13"/>
  <c r="T748" i="13" s="1"/>
  <c r="T747" i="13"/>
  <c r="R747" i="13"/>
  <c r="U747" i="13" s="1"/>
  <c r="W747" i="13" s="1"/>
  <c r="R746" i="13"/>
  <c r="R745" i="13"/>
  <c r="T745" i="13" s="1"/>
  <c r="T744" i="13"/>
  <c r="R744" i="13"/>
  <c r="U744" i="13" s="1"/>
  <c r="W744" i="13" s="1"/>
  <c r="U743" i="13"/>
  <c r="W743" i="13" s="1"/>
  <c r="T743" i="13"/>
  <c r="R743" i="13"/>
  <c r="U742" i="13"/>
  <c r="W742" i="13" s="1"/>
  <c r="R742" i="13"/>
  <c r="T742" i="13" s="1"/>
  <c r="W741" i="13"/>
  <c r="U741" i="13"/>
  <c r="T741" i="13"/>
  <c r="R741" i="13"/>
  <c r="U740" i="13"/>
  <c r="W740" i="13" s="1"/>
  <c r="R740" i="13"/>
  <c r="T740" i="13" s="1"/>
  <c r="W739" i="13"/>
  <c r="U739" i="13"/>
  <c r="R739" i="13"/>
  <c r="T739" i="13" s="1"/>
  <c r="W738" i="13"/>
  <c r="T738" i="13"/>
  <c r="R738" i="13"/>
  <c r="U738" i="13" s="1"/>
  <c r="R737" i="13"/>
  <c r="U736" i="13"/>
  <c r="W736" i="13" s="1"/>
  <c r="R736" i="13"/>
  <c r="T736" i="13" s="1"/>
  <c r="T735" i="13"/>
  <c r="R735" i="13"/>
  <c r="U735" i="13" s="1"/>
  <c r="W735" i="13" s="1"/>
  <c r="U734" i="13"/>
  <c r="W734" i="13" s="1"/>
  <c r="T734" i="13"/>
  <c r="R734" i="13"/>
  <c r="U733" i="13"/>
  <c r="W733" i="13" s="1"/>
  <c r="R733" i="13"/>
  <c r="T733" i="13" s="1"/>
  <c r="W732" i="13"/>
  <c r="U732" i="13"/>
  <c r="T732" i="13"/>
  <c r="R732" i="13"/>
  <c r="R731" i="13"/>
  <c r="T731" i="13" s="1"/>
  <c r="W730" i="13"/>
  <c r="U730" i="13"/>
  <c r="R730" i="13"/>
  <c r="T730" i="13" s="1"/>
  <c r="W729" i="13"/>
  <c r="R729" i="13"/>
  <c r="U729" i="13" s="1"/>
  <c r="R728" i="13"/>
  <c r="R727" i="13"/>
  <c r="T726" i="13"/>
  <c r="R726" i="13"/>
  <c r="U726" i="13" s="1"/>
  <c r="W726" i="13" s="1"/>
  <c r="U725" i="13"/>
  <c r="W725" i="13" s="1"/>
  <c r="T725" i="13"/>
  <c r="R725" i="13"/>
  <c r="U724" i="13"/>
  <c r="W724" i="13" s="1"/>
  <c r="R724" i="13"/>
  <c r="T724" i="13" s="1"/>
  <c r="U723" i="13"/>
  <c r="W723" i="13" s="1"/>
  <c r="T723" i="13"/>
  <c r="R723" i="13"/>
  <c r="R722" i="13"/>
  <c r="T722" i="13" s="1"/>
  <c r="W721" i="13"/>
  <c r="U721" i="13"/>
  <c r="R721" i="13"/>
  <c r="T721" i="13" s="1"/>
  <c r="T720" i="13"/>
  <c r="R720" i="13"/>
  <c r="U720" i="13" s="1"/>
  <c r="W720" i="13" s="1"/>
  <c r="R719" i="13"/>
  <c r="R718" i="13"/>
  <c r="T718" i="13" s="1"/>
  <c r="T717" i="13"/>
  <c r="R717" i="13"/>
  <c r="U717" i="13" s="1"/>
  <c r="W717" i="13" s="1"/>
  <c r="U716" i="13"/>
  <c r="W716" i="13" s="1"/>
  <c r="T716" i="13"/>
  <c r="R716" i="13"/>
  <c r="U715" i="13"/>
  <c r="W715" i="13" s="1"/>
  <c r="R715" i="13"/>
  <c r="T715" i="13" s="1"/>
  <c r="W714" i="13"/>
  <c r="U714" i="13"/>
  <c r="T714" i="13"/>
  <c r="R714" i="13"/>
  <c r="U713" i="13"/>
  <c r="W713" i="13" s="1"/>
  <c r="R713" i="13"/>
  <c r="T713" i="13" s="1"/>
  <c r="W712" i="13"/>
  <c r="U712" i="13"/>
  <c r="R712" i="13"/>
  <c r="T712" i="13" s="1"/>
  <c r="W711" i="13"/>
  <c r="T711" i="13"/>
  <c r="R711" i="13"/>
  <c r="U711" i="13" s="1"/>
  <c r="R710" i="13"/>
  <c r="U709" i="13"/>
  <c r="W709" i="13" s="1"/>
  <c r="R709" i="13"/>
  <c r="T709" i="13" s="1"/>
  <c r="T708" i="13"/>
  <c r="R708" i="13"/>
  <c r="U708" i="13" s="1"/>
  <c r="W708" i="13" s="1"/>
  <c r="U707" i="13"/>
  <c r="W707" i="13" s="1"/>
  <c r="T707" i="13"/>
  <c r="R707" i="13"/>
  <c r="U706" i="13"/>
  <c r="W706" i="13" s="1"/>
  <c r="R706" i="13"/>
  <c r="T706" i="13" s="1"/>
  <c r="W705" i="13"/>
  <c r="U705" i="13"/>
  <c r="T705" i="13"/>
  <c r="R705" i="13"/>
  <c r="R704" i="13"/>
  <c r="T704" i="13" s="1"/>
  <c r="W703" i="13"/>
  <c r="U703" i="13"/>
  <c r="R703" i="13"/>
  <c r="T703" i="13" s="1"/>
  <c r="W702" i="13"/>
  <c r="R702" i="13"/>
  <c r="U702" i="13" s="1"/>
  <c r="R701" i="13"/>
  <c r="R700" i="13"/>
  <c r="T699" i="13"/>
  <c r="R699" i="13"/>
  <c r="U699" i="13" s="1"/>
  <c r="W699" i="13" s="1"/>
  <c r="U698" i="13"/>
  <c r="W698" i="13" s="1"/>
  <c r="T698" i="13"/>
  <c r="R698" i="13"/>
  <c r="U697" i="13"/>
  <c r="W697" i="13" s="1"/>
  <c r="R697" i="13"/>
  <c r="T697" i="13" s="1"/>
  <c r="U696" i="13"/>
  <c r="W696" i="13" s="1"/>
  <c r="T696" i="13"/>
  <c r="R696" i="13"/>
  <c r="R695" i="13"/>
  <c r="T695" i="13" s="1"/>
  <c r="W694" i="13"/>
  <c r="U694" i="13"/>
  <c r="R694" i="13"/>
  <c r="T694" i="13" s="1"/>
  <c r="T693" i="13"/>
  <c r="R693" i="13"/>
  <c r="U693" i="13" s="1"/>
  <c r="W693" i="13" s="1"/>
  <c r="R692" i="13"/>
  <c r="R691" i="13"/>
  <c r="T691" i="13" s="1"/>
  <c r="T690" i="13"/>
  <c r="R690" i="13"/>
  <c r="U690" i="13" s="1"/>
  <c r="W690" i="13" s="1"/>
  <c r="U689" i="13"/>
  <c r="W689" i="13" s="1"/>
  <c r="T689" i="13"/>
  <c r="R689" i="13"/>
  <c r="U688" i="13"/>
  <c r="W688" i="13" s="1"/>
  <c r="R688" i="13"/>
  <c r="T688" i="13" s="1"/>
  <c r="W687" i="13"/>
  <c r="U687" i="13"/>
  <c r="T687" i="13"/>
  <c r="R687" i="13"/>
  <c r="U686" i="13"/>
  <c r="W686" i="13" s="1"/>
  <c r="R686" i="13"/>
  <c r="T686" i="13" s="1"/>
  <c r="W685" i="13"/>
  <c r="U685" i="13"/>
  <c r="R685" i="13"/>
  <c r="T685" i="13" s="1"/>
  <c r="W684" i="13"/>
  <c r="T684" i="13"/>
  <c r="R684" i="13"/>
  <c r="U684" i="13" s="1"/>
  <c r="R683" i="13"/>
  <c r="U682" i="13"/>
  <c r="W682" i="13" s="1"/>
  <c r="R682" i="13"/>
  <c r="T682" i="13" s="1"/>
  <c r="T681" i="13"/>
  <c r="R681" i="13"/>
  <c r="U681" i="13" s="1"/>
  <c r="W681" i="13" s="1"/>
  <c r="U680" i="13"/>
  <c r="W680" i="13" s="1"/>
  <c r="T680" i="13"/>
  <c r="R680" i="13"/>
  <c r="U679" i="13"/>
  <c r="W679" i="13" s="1"/>
  <c r="R679" i="13"/>
  <c r="T679" i="13" s="1"/>
  <c r="W678" i="13"/>
  <c r="U678" i="13"/>
  <c r="T678" i="13"/>
  <c r="R678" i="13"/>
  <c r="R677" i="13"/>
  <c r="T677" i="13" s="1"/>
  <c r="W676" i="13"/>
  <c r="U676" i="13"/>
  <c r="R676" i="13"/>
  <c r="T676" i="13" s="1"/>
  <c r="W675" i="13"/>
  <c r="R675" i="13"/>
  <c r="U675" i="13" s="1"/>
  <c r="R674" i="13"/>
  <c r="R673" i="13"/>
  <c r="T672" i="13"/>
  <c r="R672" i="13"/>
  <c r="U672" i="13" s="1"/>
  <c r="W672" i="13" s="1"/>
  <c r="U671" i="13"/>
  <c r="W671" i="13" s="1"/>
  <c r="T671" i="13"/>
  <c r="R671" i="13"/>
  <c r="U670" i="13"/>
  <c r="W670" i="13" s="1"/>
  <c r="R670" i="13"/>
  <c r="T670" i="13" s="1"/>
  <c r="U669" i="13"/>
  <c r="W669" i="13" s="1"/>
  <c r="T669" i="13"/>
  <c r="R669" i="13"/>
  <c r="R668" i="13"/>
  <c r="T668" i="13" s="1"/>
  <c r="W667" i="13"/>
  <c r="U667" i="13"/>
  <c r="R667" i="13"/>
  <c r="T667" i="13" s="1"/>
  <c r="T666" i="13"/>
  <c r="R666" i="13"/>
  <c r="U666" i="13" s="1"/>
  <c r="W666" i="13" s="1"/>
  <c r="R665" i="13"/>
  <c r="R664" i="13"/>
  <c r="T664" i="13" s="1"/>
  <c r="T663" i="13"/>
  <c r="R663" i="13"/>
  <c r="U663" i="13" s="1"/>
  <c r="W663" i="13" s="1"/>
  <c r="U662" i="13"/>
  <c r="W662" i="13" s="1"/>
  <c r="T662" i="13"/>
  <c r="R662" i="13"/>
  <c r="U661" i="13"/>
  <c r="W661" i="13" s="1"/>
  <c r="R661" i="13"/>
  <c r="T661" i="13" s="1"/>
  <c r="W660" i="13"/>
  <c r="U660" i="13"/>
  <c r="T660" i="13"/>
  <c r="R660" i="13"/>
  <c r="U659" i="13"/>
  <c r="W659" i="13" s="1"/>
  <c r="R659" i="13"/>
  <c r="T659" i="13" s="1"/>
  <c r="W658" i="13"/>
  <c r="U658" i="13"/>
  <c r="R658" i="13"/>
  <c r="T658" i="13" s="1"/>
  <c r="W657" i="13"/>
  <c r="T657" i="13"/>
  <c r="R657" i="13"/>
  <c r="U657" i="13" s="1"/>
  <c r="R656" i="13"/>
  <c r="U655" i="13"/>
  <c r="W655" i="13" s="1"/>
  <c r="R655" i="13"/>
  <c r="T655" i="13" s="1"/>
  <c r="T654" i="13"/>
  <c r="R654" i="13"/>
  <c r="U654" i="13" s="1"/>
  <c r="W654" i="13" s="1"/>
  <c r="U653" i="13"/>
  <c r="W653" i="13" s="1"/>
  <c r="T653" i="13"/>
  <c r="R653" i="13"/>
  <c r="U652" i="13"/>
  <c r="W652" i="13" s="1"/>
  <c r="R652" i="13"/>
  <c r="T652" i="13" s="1"/>
  <c r="W651" i="13"/>
  <c r="U651" i="13"/>
  <c r="T651" i="13"/>
  <c r="R651" i="13"/>
  <c r="R650" i="13"/>
  <c r="T650" i="13" s="1"/>
  <c r="W649" i="13"/>
  <c r="U649" i="13"/>
  <c r="R649" i="13"/>
  <c r="T649" i="13" s="1"/>
  <c r="W648" i="13"/>
  <c r="R648" i="13"/>
  <c r="U648" i="13" s="1"/>
  <c r="R647" i="13"/>
  <c r="R646" i="13"/>
  <c r="T645" i="13"/>
  <c r="R645" i="13"/>
  <c r="U645" i="13" s="1"/>
  <c r="W645" i="13" s="1"/>
  <c r="U644" i="13"/>
  <c r="W644" i="13" s="1"/>
  <c r="T644" i="13"/>
  <c r="R644" i="13"/>
  <c r="U643" i="13"/>
  <c r="W643" i="13" s="1"/>
  <c r="R643" i="13"/>
  <c r="T643" i="13" s="1"/>
  <c r="U642" i="13"/>
  <c r="W642" i="13" s="1"/>
  <c r="T642" i="13"/>
  <c r="R642" i="13"/>
  <c r="R641" i="13"/>
  <c r="T641" i="13" s="1"/>
  <c r="W640" i="13"/>
  <c r="U640" i="13"/>
  <c r="R640" i="13"/>
  <c r="T640" i="13" s="1"/>
  <c r="T639" i="13"/>
  <c r="R639" i="13"/>
  <c r="U639" i="13" s="1"/>
  <c r="W639" i="13" s="1"/>
  <c r="R638" i="13"/>
  <c r="R637" i="13"/>
  <c r="T637" i="13" s="1"/>
  <c r="T636" i="13"/>
  <c r="R636" i="13"/>
  <c r="U636" i="13" s="1"/>
  <c r="W636" i="13" s="1"/>
  <c r="U635" i="13"/>
  <c r="W635" i="13" s="1"/>
  <c r="T635" i="13"/>
  <c r="R635" i="13"/>
  <c r="U634" i="13"/>
  <c r="W634" i="13" s="1"/>
  <c r="R634" i="13"/>
  <c r="T634" i="13" s="1"/>
  <c r="W633" i="13"/>
  <c r="U633" i="13"/>
  <c r="T633" i="13"/>
  <c r="R633" i="13"/>
  <c r="U632" i="13"/>
  <c r="W632" i="13" s="1"/>
  <c r="R632" i="13"/>
  <c r="T632" i="13" s="1"/>
  <c r="W631" i="13"/>
  <c r="U631" i="13"/>
  <c r="R631" i="13"/>
  <c r="T631" i="13" s="1"/>
  <c r="W630" i="13"/>
  <c r="T630" i="13"/>
  <c r="R630" i="13"/>
  <c r="U630" i="13" s="1"/>
  <c r="R629" i="13"/>
  <c r="U628" i="13"/>
  <c r="W628" i="13" s="1"/>
  <c r="R628" i="13"/>
  <c r="T628" i="13" s="1"/>
  <c r="T627" i="13"/>
  <c r="R627" i="13"/>
  <c r="U627" i="13" s="1"/>
  <c r="W627" i="13" s="1"/>
  <c r="U626" i="13"/>
  <c r="W626" i="13" s="1"/>
  <c r="T626" i="13"/>
  <c r="R626" i="13"/>
  <c r="U625" i="13"/>
  <c r="W625" i="13" s="1"/>
  <c r="R625" i="13"/>
  <c r="T625" i="13" s="1"/>
  <c r="W624" i="13"/>
  <c r="U624" i="13"/>
  <c r="T624" i="13"/>
  <c r="R624" i="13"/>
  <c r="R623" i="13"/>
  <c r="T623" i="13" s="1"/>
  <c r="W622" i="13"/>
  <c r="U622" i="13"/>
  <c r="R622" i="13"/>
  <c r="T622" i="13" s="1"/>
  <c r="W621" i="13"/>
  <c r="R621" i="13"/>
  <c r="U621" i="13" s="1"/>
  <c r="R620" i="13"/>
  <c r="R619" i="13"/>
  <c r="T618" i="13"/>
  <c r="R618" i="13"/>
  <c r="U618" i="13" s="1"/>
  <c r="W618" i="13" s="1"/>
  <c r="U617" i="13"/>
  <c r="W617" i="13" s="1"/>
  <c r="T617" i="13"/>
  <c r="R617" i="13"/>
  <c r="U616" i="13"/>
  <c r="W616" i="13" s="1"/>
  <c r="R616" i="13"/>
  <c r="T616" i="13" s="1"/>
  <c r="U615" i="13"/>
  <c r="W615" i="13" s="1"/>
  <c r="T615" i="13"/>
  <c r="R615" i="13"/>
  <c r="R614" i="13"/>
  <c r="T614" i="13" s="1"/>
  <c r="W613" i="13"/>
  <c r="U613" i="13"/>
  <c r="R613" i="13"/>
  <c r="T613" i="13" s="1"/>
  <c r="T612" i="13"/>
  <c r="R612" i="13"/>
  <c r="U612" i="13" s="1"/>
  <c r="W612" i="13" s="1"/>
  <c r="R611" i="13"/>
  <c r="R610" i="13"/>
  <c r="T610" i="13" s="1"/>
  <c r="T609" i="13"/>
  <c r="R609" i="13"/>
  <c r="U609" i="13" s="1"/>
  <c r="W609" i="13" s="1"/>
  <c r="U608" i="13"/>
  <c r="W608" i="13" s="1"/>
  <c r="T608" i="13"/>
  <c r="R608" i="13"/>
  <c r="U607" i="13"/>
  <c r="W607" i="13" s="1"/>
  <c r="R607" i="13"/>
  <c r="T607" i="13" s="1"/>
  <c r="W606" i="13"/>
  <c r="U606" i="13"/>
  <c r="T606" i="13"/>
  <c r="R606" i="13"/>
  <c r="U605" i="13"/>
  <c r="W605" i="13" s="1"/>
  <c r="R605" i="13"/>
  <c r="T605" i="13" s="1"/>
  <c r="W604" i="13"/>
  <c r="U604" i="13"/>
  <c r="R604" i="13"/>
  <c r="T604" i="13" s="1"/>
  <c r="W603" i="13"/>
  <c r="T603" i="13"/>
  <c r="R603" i="13"/>
  <c r="U603" i="13" s="1"/>
  <c r="R602" i="13"/>
  <c r="U601" i="13"/>
  <c r="W601" i="13" s="1"/>
  <c r="R601" i="13"/>
  <c r="T601" i="13" s="1"/>
  <c r="T600" i="13"/>
  <c r="R600" i="13"/>
  <c r="U600" i="13" s="1"/>
  <c r="W600" i="13" s="1"/>
  <c r="U599" i="13"/>
  <c r="W599" i="13" s="1"/>
  <c r="T599" i="13"/>
  <c r="R599" i="13"/>
  <c r="U598" i="13"/>
  <c r="W598" i="13" s="1"/>
  <c r="R598" i="13"/>
  <c r="T598" i="13" s="1"/>
  <c r="W597" i="13"/>
  <c r="U597" i="13"/>
  <c r="T597" i="13"/>
  <c r="R597" i="13"/>
  <c r="R596" i="13"/>
  <c r="T596" i="13" s="1"/>
  <c r="W595" i="13"/>
  <c r="U595" i="13"/>
  <c r="R595" i="13"/>
  <c r="T595" i="13" s="1"/>
  <c r="W594" i="13"/>
  <c r="R594" i="13"/>
  <c r="U594" i="13" s="1"/>
  <c r="R593" i="13"/>
  <c r="R592" i="13"/>
  <c r="T591" i="13"/>
  <c r="R591" i="13"/>
  <c r="U591" i="13" s="1"/>
  <c r="W591" i="13" s="1"/>
  <c r="U590" i="13"/>
  <c r="W590" i="13" s="1"/>
  <c r="T590" i="13"/>
  <c r="R590" i="13"/>
  <c r="U589" i="13"/>
  <c r="W589" i="13" s="1"/>
  <c r="R589" i="13"/>
  <c r="T589" i="13" s="1"/>
  <c r="U588" i="13"/>
  <c r="W588" i="13" s="1"/>
  <c r="T588" i="13"/>
  <c r="R588" i="13"/>
  <c r="R587" i="13"/>
  <c r="T587" i="13" s="1"/>
  <c r="W586" i="13"/>
  <c r="U586" i="13"/>
  <c r="R586" i="13"/>
  <c r="T586" i="13" s="1"/>
  <c r="T585" i="13"/>
  <c r="R585" i="13"/>
  <c r="U585" i="13" s="1"/>
  <c r="W585" i="13" s="1"/>
  <c r="R584" i="13"/>
  <c r="R583" i="13"/>
  <c r="T582" i="13"/>
  <c r="R582" i="13"/>
  <c r="U582" i="13" s="1"/>
  <c r="W582" i="13" s="1"/>
  <c r="U581" i="13"/>
  <c r="W581" i="13" s="1"/>
  <c r="T581" i="13"/>
  <c r="R581" i="13"/>
  <c r="U580" i="13"/>
  <c r="W580" i="13" s="1"/>
  <c r="R580" i="13"/>
  <c r="T580" i="13" s="1"/>
  <c r="W579" i="13"/>
  <c r="U579" i="13"/>
  <c r="T579" i="13"/>
  <c r="R579" i="13"/>
  <c r="U578" i="13"/>
  <c r="W578" i="13" s="1"/>
  <c r="R578" i="13"/>
  <c r="T578" i="13" s="1"/>
  <c r="W577" i="13"/>
  <c r="U577" i="13"/>
  <c r="R577" i="13"/>
  <c r="T577" i="13" s="1"/>
  <c r="W576" i="13"/>
  <c r="T576" i="13"/>
  <c r="R576" i="13"/>
  <c r="U576" i="13" s="1"/>
  <c r="R575" i="13"/>
  <c r="U574" i="13"/>
  <c r="W574" i="13" s="1"/>
  <c r="T574" i="13"/>
  <c r="R574" i="13"/>
  <c r="U573" i="13"/>
  <c r="W573" i="13" s="1"/>
  <c r="R573" i="13"/>
  <c r="T573" i="13" s="1"/>
  <c r="R572" i="13"/>
  <c r="U571" i="13"/>
  <c r="W571" i="13" s="1"/>
  <c r="T571" i="13"/>
  <c r="R571" i="13"/>
  <c r="R570" i="13"/>
  <c r="R569" i="13"/>
  <c r="U568" i="13"/>
  <c r="W568" i="13" s="1"/>
  <c r="T568" i="13"/>
  <c r="R568" i="13"/>
  <c r="R567" i="13"/>
  <c r="T567" i="13" s="1"/>
  <c r="R566" i="13"/>
  <c r="W565" i="13"/>
  <c r="U565" i="13"/>
  <c r="T565" i="13"/>
  <c r="R565" i="13"/>
  <c r="R564" i="13"/>
  <c r="R563" i="13"/>
  <c r="W562" i="13"/>
  <c r="U562" i="13"/>
  <c r="T562" i="13"/>
  <c r="R562" i="13"/>
  <c r="T561" i="13"/>
  <c r="R561" i="13"/>
  <c r="U561" i="13" s="1"/>
  <c r="W561" i="13" s="1"/>
  <c r="R560" i="13"/>
  <c r="W559" i="13"/>
  <c r="U559" i="13"/>
  <c r="T559" i="13"/>
  <c r="R559" i="13"/>
  <c r="R558" i="13"/>
  <c r="R557" i="13"/>
  <c r="W556" i="13"/>
  <c r="U556" i="13"/>
  <c r="T556" i="13"/>
  <c r="R556" i="13"/>
  <c r="T555" i="13"/>
  <c r="R555" i="13"/>
  <c r="U555" i="13" s="1"/>
  <c r="W555" i="13" s="1"/>
  <c r="R554" i="13"/>
  <c r="W553" i="13"/>
  <c r="U553" i="13"/>
  <c r="T553" i="13"/>
  <c r="R553" i="13"/>
  <c r="R552" i="13"/>
  <c r="R551" i="13"/>
  <c r="W550" i="13"/>
  <c r="U550" i="13"/>
  <c r="T550" i="13"/>
  <c r="R550" i="13"/>
  <c r="R549" i="13"/>
  <c r="U549" i="13" s="1"/>
  <c r="W549" i="13" s="1"/>
  <c r="R548" i="13"/>
  <c r="W547" i="13"/>
  <c r="U547" i="13"/>
  <c r="T547" i="13"/>
  <c r="R547" i="13"/>
  <c r="R546" i="13"/>
  <c r="R545" i="13"/>
  <c r="W544" i="13"/>
  <c r="U544" i="13"/>
  <c r="T544" i="13"/>
  <c r="R544" i="13"/>
  <c r="R543" i="13"/>
  <c r="U543" i="13" s="1"/>
  <c r="W543" i="13" s="1"/>
  <c r="R542" i="13"/>
  <c r="W541" i="13"/>
  <c r="U541" i="13"/>
  <c r="T541" i="13"/>
  <c r="R541" i="13"/>
  <c r="R540" i="13"/>
  <c r="R539" i="13"/>
  <c r="W538" i="13"/>
  <c r="U538" i="13"/>
  <c r="T538" i="13"/>
  <c r="R538" i="13"/>
  <c r="T537" i="13"/>
  <c r="R537" i="13"/>
  <c r="U537" i="13" s="1"/>
  <c r="W537" i="13" s="1"/>
  <c r="R536" i="13"/>
  <c r="W535" i="13"/>
  <c r="U535" i="13"/>
  <c r="T535" i="13"/>
  <c r="R535" i="13"/>
  <c r="R534" i="13"/>
  <c r="R533" i="13"/>
  <c r="W532" i="13"/>
  <c r="U532" i="13"/>
  <c r="T532" i="13"/>
  <c r="R532" i="13"/>
  <c r="R531" i="13"/>
  <c r="U531" i="13" s="1"/>
  <c r="W531" i="13" s="1"/>
  <c r="R530" i="13"/>
  <c r="W529" i="13"/>
  <c r="U529" i="13"/>
  <c r="T529" i="13"/>
  <c r="R529" i="13"/>
  <c r="R528" i="13"/>
  <c r="R527" i="13"/>
  <c r="W526" i="13"/>
  <c r="U526" i="13"/>
  <c r="T526" i="13"/>
  <c r="R526" i="13"/>
  <c r="T525" i="13"/>
  <c r="R525" i="13"/>
  <c r="U525" i="13" s="1"/>
  <c r="W525" i="13" s="1"/>
  <c r="R524" i="13"/>
  <c r="W523" i="13"/>
  <c r="U523" i="13"/>
  <c r="T523" i="13"/>
  <c r="R523" i="13"/>
  <c r="R522" i="13"/>
  <c r="R521" i="13"/>
  <c r="W520" i="13"/>
  <c r="U520" i="13"/>
  <c r="T520" i="13"/>
  <c r="R520" i="13"/>
  <c r="T519" i="13"/>
  <c r="R519" i="13"/>
  <c r="U519" i="13" s="1"/>
  <c r="W519" i="13" s="1"/>
  <c r="R518" i="13"/>
  <c r="W517" i="13"/>
  <c r="U517" i="13"/>
  <c r="T517" i="13"/>
  <c r="R517" i="13"/>
  <c r="R516" i="13"/>
  <c r="R515" i="13"/>
  <c r="W514" i="13"/>
  <c r="U514" i="13"/>
  <c r="T514" i="13"/>
  <c r="R514" i="13"/>
  <c r="R513" i="13"/>
  <c r="U513" i="13" s="1"/>
  <c r="W513" i="13" s="1"/>
  <c r="R512" i="13"/>
  <c r="W511" i="13"/>
  <c r="U511" i="13"/>
  <c r="T511" i="13"/>
  <c r="R511" i="13"/>
  <c r="R510" i="13"/>
  <c r="U510" i="13" s="1"/>
  <c r="W510" i="13" s="1"/>
  <c r="R509" i="13"/>
  <c r="W508" i="13"/>
  <c r="U508" i="13"/>
  <c r="T508" i="13"/>
  <c r="R508" i="13"/>
  <c r="T507" i="13"/>
  <c r="R507" i="13"/>
  <c r="U507" i="13" s="1"/>
  <c r="W507" i="13" s="1"/>
  <c r="R506" i="13"/>
  <c r="W505" i="13"/>
  <c r="U505" i="13"/>
  <c r="T505" i="13"/>
  <c r="R505" i="13"/>
  <c r="R504" i="13"/>
  <c r="U504" i="13" s="1"/>
  <c r="W504" i="13" s="1"/>
  <c r="R503" i="13"/>
  <c r="W502" i="13"/>
  <c r="U502" i="13"/>
  <c r="T502" i="13"/>
  <c r="R502" i="13"/>
  <c r="T501" i="13"/>
  <c r="R501" i="13"/>
  <c r="U501" i="13" s="1"/>
  <c r="W501" i="13" s="1"/>
  <c r="R500" i="13"/>
  <c r="W499" i="13"/>
  <c r="U499" i="13"/>
  <c r="T499" i="13"/>
  <c r="R499" i="13"/>
  <c r="T498" i="13"/>
  <c r="R498" i="13"/>
  <c r="U498" i="13" s="1"/>
  <c r="W498" i="13" s="1"/>
  <c r="R497" i="13"/>
  <c r="W496" i="13"/>
  <c r="U496" i="13"/>
  <c r="T496" i="13"/>
  <c r="R496" i="13"/>
  <c r="R495" i="13"/>
  <c r="U495" i="13" s="1"/>
  <c r="W495" i="13" s="1"/>
  <c r="R494" i="13"/>
  <c r="W493" i="13"/>
  <c r="U493" i="13"/>
  <c r="T493" i="13"/>
  <c r="R493" i="13"/>
  <c r="R492" i="13"/>
  <c r="U492" i="13" s="1"/>
  <c r="W492" i="13" s="1"/>
  <c r="R491" i="13"/>
  <c r="W490" i="13"/>
  <c r="U490" i="13"/>
  <c r="T490" i="13"/>
  <c r="R490" i="13"/>
  <c r="T489" i="13"/>
  <c r="R489" i="13"/>
  <c r="U489" i="13" s="1"/>
  <c r="W489" i="13" s="1"/>
  <c r="R488" i="13"/>
  <c r="W487" i="13"/>
  <c r="U487" i="13"/>
  <c r="T487" i="13"/>
  <c r="R487" i="13"/>
  <c r="R486" i="13"/>
  <c r="U486" i="13" s="1"/>
  <c r="W486" i="13" s="1"/>
  <c r="R485" i="13"/>
  <c r="W484" i="13"/>
  <c r="U484" i="13"/>
  <c r="T484" i="13"/>
  <c r="R484" i="13"/>
  <c r="T483" i="13"/>
  <c r="R483" i="13"/>
  <c r="U483" i="13" s="1"/>
  <c r="W483" i="13" s="1"/>
  <c r="R482" i="13"/>
  <c r="W481" i="13"/>
  <c r="U481" i="13"/>
  <c r="T481" i="13"/>
  <c r="R481" i="13"/>
  <c r="T480" i="13"/>
  <c r="R480" i="13"/>
  <c r="U480" i="13" s="1"/>
  <c r="W480" i="13" s="1"/>
  <c r="R479" i="13"/>
  <c r="W478" i="13"/>
  <c r="U478" i="13"/>
  <c r="T478" i="13"/>
  <c r="R478" i="13"/>
  <c r="R477" i="13"/>
  <c r="U477" i="13" s="1"/>
  <c r="W477" i="13" s="1"/>
  <c r="R476" i="13"/>
  <c r="W475" i="13"/>
  <c r="U475" i="13"/>
  <c r="T475" i="13"/>
  <c r="R475" i="13"/>
  <c r="R474" i="13"/>
  <c r="U474" i="13" s="1"/>
  <c r="W474" i="13" s="1"/>
  <c r="R473" i="13"/>
  <c r="W472" i="13"/>
  <c r="U472" i="13"/>
  <c r="T472" i="13"/>
  <c r="R472" i="13"/>
  <c r="T471" i="13"/>
  <c r="R471" i="13"/>
  <c r="U471" i="13" s="1"/>
  <c r="W471" i="13" s="1"/>
  <c r="R470" i="13"/>
  <c r="W469" i="13"/>
  <c r="U469" i="13"/>
  <c r="T469" i="13"/>
  <c r="R469" i="13"/>
  <c r="R468" i="13"/>
  <c r="U468" i="13" s="1"/>
  <c r="W468" i="13" s="1"/>
  <c r="R467" i="13"/>
  <c r="W466" i="13"/>
  <c r="U466" i="13"/>
  <c r="T466" i="13"/>
  <c r="R466" i="13"/>
  <c r="T465" i="13"/>
  <c r="R465" i="13"/>
  <c r="U465" i="13" s="1"/>
  <c r="W465" i="13" s="1"/>
  <c r="R464" i="13"/>
  <c r="W463" i="13"/>
  <c r="U463" i="13"/>
  <c r="T463" i="13"/>
  <c r="R463" i="13"/>
  <c r="T462" i="13"/>
  <c r="R462" i="13"/>
  <c r="U462" i="13" s="1"/>
  <c r="W462" i="13" s="1"/>
  <c r="R461" i="13"/>
  <c r="W460" i="13"/>
  <c r="U460" i="13"/>
  <c r="T460" i="13"/>
  <c r="R460" i="13"/>
  <c r="R459" i="13"/>
  <c r="U459" i="13" s="1"/>
  <c r="W459" i="13" s="1"/>
  <c r="R458" i="13"/>
  <c r="W457" i="13"/>
  <c r="U457" i="13"/>
  <c r="T457" i="13"/>
  <c r="R457" i="13"/>
  <c r="R456" i="13"/>
  <c r="U456" i="13" s="1"/>
  <c r="W456" i="13" s="1"/>
  <c r="R455" i="13"/>
  <c r="W454" i="13"/>
  <c r="U454" i="13"/>
  <c r="T454" i="13"/>
  <c r="R454" i="13"/>
  <c r="T453" i="13"/>
  <c r="R453" i="13"/>
  <c r="U453" i="13" s="1"/>
  <c r="W453" i="13" s="1"/>
  <c r="R452" i="13"/>
  <c r="W451" i="13"/>
  <c r="U451" i="13"/>
  <c r="T451" i="13"/>
  <c r="R451" i="13"/>
  <c r="R450" i="13"/>
  <c r="U450" i="13" s="1"/>
  <c r="W450" i="13" s="1"/>
  <c r="R449" i="13"/>
  <c r="W448" i="13"/>
  <c r="U448" i="13"/>
  <c r="T448" i="13"/>
  <c r="R448" i="13"/>
  <c r="T447" i="13"/>
  <c r="R447" i="13"/>
  <c r="U447" i="13" s="1"/>
  <c r="W447" i="13" s="1"/>
  <c r="R446" i="13"/>
  <c r="W445" i="13"/>
  <c r="U445" i="13"/>
  <c r="T445" i="13"/>
  <c r="R445" i="13"/>
  <c r="T444" i="13"/>
  <c r="R444" i="13"/>
  <c r="U444" i="13" s="1"/>
  <c r="W444" i="13" s="1"/>
  <c r="R443" i="13"/>
  <c r="W442" i="13"/>
  <c r="U442" i="13"/>
  <c r="T442" i="13"/>
  <c r="R442" i="13"/>
  <c r="R441" i="13"/>
  <c r="U441" i="13" s="1"/>
  <c r="W441" i="13" s="1"/>
  <c r="R440" i="13"/>
  <c r="W439" i="13"/>
  <c r="U439" i="13"/>
  <c r="T439" i="13"/>
  <c r="R439" i="13"/>
  <c r="R438" i="13"/>
  <c r="U438" i="13" s="1"/>
  <c r="W438" i="13" s="1"/>
  <c r="R437" i="13"/>
  <c r="W436" i="13"/>
  <c r="U436" i="13"/>
  <c r="T436" i="13"/>
  <c r="R436" i="13"/>
  <c r="T435" i="13"/>
  <c r="R435" i="13"/>
  <c r="U435" i="13" s="1"/>
  <c r="W435" i="13" s="1"/>
  <c r="R434" i="13"/>
  <c r="W433" i="13"/>
  <c r="U433" i="13"/>
  <c r="T433" i="13"/>
  <c r="R433" i="13"/>
  <c r="R432" i="13"/>
  <c r="U432" i="13" s="1"/>
  <c r="W432" i="13" s="1"/>
  <c r="R431" i="13"/>
  <c r="W430" i="13"/>
  <c r="U430" i="13"/>
  <c r="T430" i="13"/>
  <c r="R430" i="13"/>
  <c r="T429" i="13"/>
  <c r="R429" i="13"/>
  <c r="U429" i="13" s="1"/>
  <c r="W429" i="13" s="1"/>
  <c r="R428" i="13"/>
  <c r="W427" i="13"/>
  <c r="U427" i="13"/>
  <c r="T427" i="13"/>
  <c r="R427" i="13"/>
  <c r="T426" i="13"/>
  <c r="R426" i="13"/>
  <c r="U426" i="13" s="1"/>
  <c r="W426" i="13" s="1"/>
  <c r="R425" i="13"/>
  <c r="W424" i="13"/>
  <c r="U424" i="13"/>
  <c r="T424" i="13"/>
  <c r="R424" i="13"/>
  <c r="R423" i="13"/>
  <c r="U423" i="13" s="1"/>
  <c r="W423" i="13" s="1"/>
  <c r="R422" i="13"/>
  <c r="W421" i="13"/>
  <c r="U421" i="13"/>
  <c r="T421" i="13"/>
  <c r="R421" i="13"/>
  <c r="R420" i="13"/>
  <c r="U420" i="13" s="1"/>
  <c r="W420" i="13" s="1"/>
  <c r="R419" i="13"/>
  <c r="W418" i="13"/>
  <c r="U418" i="13"/>
  <c r="T418" i="13"/>
  <c r="R418" i="13"/>
  <c r="T417" i="13"/>
  <c r="R417" i="13"/>
  <c r="U417" i="13" s="1"/>
  <c r="W417" i="13" s="1"/>
  <c r="R416" i="13"/>
  <c r="W415" i="13"/>
  <c r="U415" i="13"/>
  <c r="T415" i="13"/>
  <c r="R415" i="13"/>
  <c r="R414" i="13"/>
  <c r="U414" i="13" s="1"/>
  <c r="W414" i="13" s="1"/>
  <c r="R413" i="13"/>
  <c r="W412" i="13"/>
  <c r="U412" i="13"/>
  <c r="T412" i="13"/>
  <c r="R412" i="13"/>
  <c r="T411" i="13"/>
  <c r="R411" i="13"/>
  <c r="U411" i="13" s="1"/>
  <c r="W411" i="13" s="1"/>
  <c r="R410" i="13"/>
  <c r="W409" i="13"/>
  <c r="U409" i="13"/>
  <c r="T409" i="13"/>
  <c r="R409" i="13"/>
  <c r="T408" i="13"/>
  <c r="R408" i="13"/>
  <c r="U408" i="13" s="1"/>
  <c r="W408" i="13" s="1"/>
  <c r="R407" i="13"/>
  <c r="W406" i="13"/>
  <c r="U406" i="13"/>
  <c r="T406" i="13"/>
  <c r="R406" i="13"/>
  <c r="R405" i="13"/>
  <c r="U405" i="13" s="1"/>
  <c r="W405" i="13" s="1"/>
  <c r="R404" i="13"/>
  <c r="W403" i="13"/>
  <c r="U403" i="13"/>
  <c r="T403" i="13"/>
  <c r="R403" i="13"/>
  <c r="R402" i="13"/>
  <c r="U402" i="13" s="1"/>
  <c r="W402" i="13" s="1"/>
  <c r="R401" i="13"/>
  <c r="W400" i="13"/>
  <c r="U400" i="13"/>
  <c r="T400" i="13"/>
  <c r="R400" i="13"/>
  <c r="T399" i="13"/>
  <c r="R399" i="13"/>
  <c r="U399" i="13" s="1"/>
  <c r="W399" i="13" s="1"/>
  <c r="R398" i="13"/>
  <c r="W397" i="13"/>
  <c r="U397" i="13"/>
  <c r="T397" i="13"/>
  <c r="R397" i="13"/>
  <c r="R396" i="13"/>
  <c r="U396" i="13" s="1"/>
  <c r="W396" i="13" s="1"/>
  <c r="R395" i="13"/>
  <c r="W394" i="13"/>
  <c r="U394" i="13"/>
  <c r="T394" i="13"/>
  <c r="R394" i="13"/>
  <c r="T393" i="13"/>
  <c r="R393" i="13"/>
  <c r="U393" i="13" s="1"/>
  <c r="W393" i="13" s="1"/>
  <c r="R392" i="13"/>
  <c r="W391" i="13"/>
  <c r="U391" i="13"/>
  <c r="T391" i="13"/>
  <c r="R391" i="13"/>
  <c r="T390" i="13"/>
  <c r="R390" i="13"/>
  <c r="U390" i="13" s="1"/>
  <c r="W390" i="13" s="1"/>
  <c r="R389" i="13"/>
  <c r="W388" i="13"/>
  <c r="U388" i="13"/>
  <c r="T388" i="13"/>
  <c r="R388" i="13"/>
  <c r="R387" i="13"/>
  <c r="U387" i="13" s="1"/>
  <c r="W387" i="13" s="1"/>
  <c r="R386" i="13"/>
  <c r="W385" i="13"/>
  <c r="U385" i="13"/>
  <c r="T385" i="13"/>
  <c r="R385" i="13"/>
  <c r="R384" i="13"/>
  <c r="U384" i="13" s="1"/>
  <c r="W384" i="13" s="1"/>
  <c r="R383" i="13"/>
  <c r="W382" i="13"/>
  <c r="U382" i="13"/>
  <c r="T382" i="13"/>
  <c r="R382" i="13"/>
  <c r="T381" i="13"/>
  <c r="R381" i="13"/>
  <c r="U381" i="13" s="1"/>
  <c r="W381" i="13" s="1"/>
  <c r="R380" i="13"/>
  <c r="W379" i="13"/>
  <c r="U379" i="13"/>
  <c r="T379" i="13"/>
  <c r="R379" i="13"/>
  <c r="R378" i="13"/>
  <c r="U378" i="13" s="1"/>
  <c r="W378" i="13" s="1"/>
  <c r="R377" i="13"/>
  <c r="W376" i="13"/>
  <c r="U376" i="13"/>
  <c r="T376" i="13"/>
  <c r="R376" i="13"/>
  <c r="T375" i="13"/>
  <c r="R375" i="13"/>
  <c r="U375" i="13" s="1"/>
  <c r="W375" i="13" s="1"/>
  <c r="R374" i="13"/>
  <c r="W373" i="13"/>
  <c r="U373" i="13"/>
  <c r="T373" i="13"/>
  <c r="R373" i="13"/>
  <c r="T372" i="13"/>
  <c r="R372" i="13"/>
  <c r="U372" i="13" s="1"/>
  <c r="W372" i="13" s="1"/>
  <c r="R371" i="13"/>
  <c r="W370" i="13"/>
  <c r="U370" i="13"/>
  <c r="T370" i="13"/>
  <c r="R370" i="13"/>
  <c r="R369" i="13"/>
  <c r="U369" i="13" s="1"/>
  <c r="W369" i="13" s="1"/>
  <c r="R368" i="13"/>
  <c r="W367" i="13"/>
  <c r="U367" i="13"/>
  <c r="T367" i="13"/>
  <c r="R367" i="13"/>
  <c r="R366" i="13"/>
  <c r="U366" i="13" s="1"/>
  <c r="W366" i="13" s="1"/>
  <c r="R365" i="13"/>
  <c r="W364" i="13"/>
  <c r="U364" i="13"/>
  <c r="T364" i="13"/>
  <c r="R364" i="13"/>
  <c r="T363" i="13"/>
  <c r="R363" i="13"/>
  <c r="U363" i="13" s="1"/>
  <c r="W363" i="13" s="1"/>
  <c r="R362" i="13"/>
  <c r="W361" i="13"/>
  <c r="U361" i="13"/>
  <c r="T361" i="13"/>
  <c r="R361" i="13"/>
  <c r="R360" i="13"/>
  <c r="U360" i="13" s="1"/>
  <c r="W360" i="13" s="1"/>
  <c r="R359" i="13"/>
  <c r="W358" i="13"/>
  <c r="U358" i="13"/>
  <c r="T358" i="13"/>
  <c r="R358" i="13"/>
  <c r="T357" i="13"/>
  <c r="R357" i="13"/>
  <c r="U357" i="13" s="1"/>
  <c r="W357" i="13" s="1"/>
  <c r="R356" i="13"/>
  <c r="W355" i="13"/>
  <c r="U355" i="13"/>
  <c r="T355" i="13"/>
  <c r="R355" i="13"/>
  <c r="T354" i="13"/>
  <c r="R354" i="13"/>
  <c r="U354" i="13" s="1"/>
  <c r="W354" i="13" s="1"/>
  <c r="R353" i="13"/>
  <c r="W352" i="13"/>
  <c r="U352" i="13"/>
  <c r="T352" i="13"/>
  <c r="R352" i="13"/>
  <c r="R351" i="13"/>
  <c r="U351" i="13" s="1"/>
  <c r="W351" i="13" s="1"/>
  <c r="R350" i="13"/>
  <c r="W349" i="13"/>
  <c r="U349" i="13"/>
  <c r="T349" i="13"/>
  <c r="R349" i="13"/>
  <c r="R348" i="13"/>
  <c r="U348" i="13" s="1"/>
  <c r="W348" i="13" s="1"/>
  <c r="R347" i="13"/>
  <c r="W346" i="13"/>
  <c r="U346" i="13"/>
  <c r="T346" i="13"/>
  <c r="R346" i="13"/>
  <c r="T345" i="13"/>
  <c r="R345" i="13"/>
  <c r="U345" i="13" s="1"/>
  <c r="W345" i="13" s="1"/>
  <c r="R344" i="13"/>
  <c r="W343" i="13"/>
  <c r="U343" i="13"/>
  <c r="T343" i="13"/>
  <c r="R343" i="13"/>
  <c r="R342" i="13"/>
  <c r="U342" i="13" s="1"/>
  <c r="W342" i="13" s="1"/>
  <c r="R341" i="13"/>
  <c r="W340" i="13"/>
  <c r="U340" i="13"/>
  <c r="T340" i="13"/>
  <c r="R340" i="13"/>
  <c r="T339" i="13"/>
  <c r="R339" i="13"/>
  <c r="U339" i="13" s="1"/>
  <c r="W339" i="13" s="1"/>
  <c r="R338" i="13"/>
  <c r="W337" i="13"/>
  <c r="U337" i="13"/>
  <c r="T337" i="13"/>
  <c r="R337" i="13"/>
  <c r="T336" i="13"/>
  <c r="R336" i="13"/>
  <c r="U336" i="13" s="1"/>
  <c r="W336" i="13" s="1"/>
  <c r="R335" i="13"/>
  <c r="W334" i="13"/>
  <c r="U334" i="13"/>
  <c r="T334" i="13"/>
  <c r="R334" i="13"/>
  <c r="R333" i="13"/>
  <c r="U333" i="13" s="1"/>
  <c r="W333" i="13" s="1"/>
  <c r="R332" i="13"/>
  <c r="W331" i="13"/>
  <c r="U331" i="13"/>
  <c r="T331" i="13"/>
  <c r="R331" i="13"/>
  <c r="R330" i="13"/>
  <c r="U330" i="13" s="1"/>
  <c r="W330" i="13" s="1"/>
  <c r="R329" i="13"/>
  <c r="W328" i="13"/>
  <c r="U328" i="13"/>
  <c r="T328" i="13"/>
  <c r="R328" i="13"/>
  <c r="T327" i="13"/>
  <c r="R327" i="13"/>
  <c r="U327" i="13" s="1"/>
  <c r="W327" i="13" s="1"/>
  <c r="R326" i="13"/>
  <c r="W325" i="13"/>
  <c r="U325" i="13"/>
  <c r="T325" i="13"/>
  <c r="R325" i="13"/>
  <c r="R324" i="13"/>
  <c r="U324" i="13" s="1"/>
  <c r="W324" i="13" s="1"/>
  <c r="R323" i="13"/>
  <c r="W322" i="13"/>
  <c r="U322" i="13"/>
  <c r="T322" i="13"/>
  <c r="R322" i="13"/>
  <c r="T321" i="13"/>
  <c r="R321" i="13"/>
  <c r="U321" i="13" s="1"/>
  <c r="W321" i="13" s="1"/>
  <c r="R320" i="13"/>
  <c r="W319" i="13"/>
  <c r="U319" i="13"/>
  <c r="T319" i="13"/>
  <c r="R319" i="13"/>
  <c r="T318" i="13"/>
  <c r="R318" i="13"/>
  <c r="U318" i="13" s="1"/>
  <c r="W318" i="13" s="1"/>
  <c r="R317" i="13"/>
  <c r="W316" i="13"/>
  <c r="U316" i="13"/>
  <c r="T316" i="13"/>
  <c r="R316" i="13"/>
  <c r="R315" i="13"/>
  <c r="U315" i="13" s="1"/>
  <c r="W315" i="13" s="1"/>
  <c r="R314" i="13"/>
  <c r="W313" i="13"/>
  <c r="U313" i="13"/>
  <c r="T313" i="13"/>
  <c r="R313" i="13"/>
  <c r="R312" i="13"/>
  <c r="U312" i="13" s="1"/>
  <c r="W312" i="13" s="1"/>
  <c r="R311" i="13"/>
  <c r="W310" i="13"/>
  <c r="U310" i="13"/>
  <c r="T310" i="13"/>
  <c r="R310" i="13"/>
  <c r="T309" i="13"/>
  <c r="R309" i="13"/>
  <c r="U309" i="13" s="1"/>
  <c r="W309" i="13" s="1"/>
  <c r="R308" i="13"/>
  <c r="W307" i="13"/>
  <c r="U307" i="13"/>
  <c r="T307" i="13"/>
  <c r="R307" i="13"/>
  <c r="R306" i="13"/>
  <c r="U306" i="13" s="1"/>
  <c r="W306" i="13" s="1"/>
  <c r="R305" i="13"/>
  <c r="W304" i="13"/>
  <c r="U304" i="13"/>
  <c r="T304" i="13"/>
  <c r="R304" i="13"/>
  <c r="T303" i="13"/>
  <c r="R303" i="13"/>
  <c r="U303" i="13" s="1"/>
  <c r="W303" i="13" s="1"/>
  <c r="R302" i="13"/>
  <c r="W301" i="13"/>
  <c r="U301" i="13"/>
  <c r="T301" i="13"/>
  <c r="R301" i="13"/>
  <c r="T300" i="13"/>
  <c r="R300" i="13"/>
  <c r="U300" i="13" s="1"/>
  <c r="W300" i="13" s="1"/>
  <c r="R299" i="13"/>
  <c r="W298" i="13"/>
  <c r="U298" i="13"/>
  <c r="T298" i="13"/>
  <c r="R298" i="13"/>
  <c r="R297" i="13"/>
  <c r="U297" i="13" s="1"/>
  <c r="W297" i="13" s="1"/>
  <c r="U296" i="13"/>
  <c r="W296" i="13" s="1"/>
  <c r="R296" i="13"/>
  <c r="T296" i="13" s="1"/>
  <c r="U295" i="13"/>
  <c r="W295" i="13" s="1"/>
  <c r="T295" i="13"/>
  <c r="R295" i="13"/>
  <c r="U294" i="13"/>
  <c r="W294" i="13" s="1"/>
  <c r="R294" i="13"/>
  <c r="T294" i="13" s="1"/>
  <c r="W293" i="13"/>
  <c r="T293" i="13"/>
  <c r="R293" i="13"/>
  <c r="U293" i="13" s="1"/>
  <c r="U292" i="13"/>
  <c r="W292" i="13" s="1"/>
  <c r="T292" i="13"/>
  <c r="R292" i="13"/>
  <c r="W291" i="13"/>
  <c r="U291" i="13"/>
  <c r="R291" i="13"/>
  <c r="T291" i="13" s="1"/>
  <c r="W290" i="13"/>
  <c r="T290" i="13"/>
  <c r="R290" i="13"/>
  <c r="U290" i="13" s="1"/>
  <c r="U289" i="13"/>
  <c r="W289" i="13" s="1"/>
  <c r="T289" i="13"/>
  <c r="R289" i="13"/>
  <c r="U288" i="13"/>
  <c r="W288" i="13" s="1"/>
  <c r="R288" i="13"/>
  <c r="T288" i="13" s="1"/>
  <c r="W287" i="13"/>
  <c r="T287" i="13"/>
  <c r="R287" i="13"/>
  <c r="U287" i="13" s="1"/>
  <c r="U286" i="13"/>
  <c r="W286" i="13" s="1"/>
  <c r="T286" i="13"/>
  <c r="R286" i="13"/>
  <c r="W285" i="13"/>
  <c r="U285" i="13"/>
  <c r="R285" i="13"/>
  <c r="T285" i="13" s="1"/>
  <c r="W284" i="13"/>
  <c r="T284" i="13"/>
  <c r="R284" i="13"/>
  <c r="U284" i="13" s="1"/>
  <c r="U283" i="13"/>
  <c r="W283" i="13" s="1"/>
  <c r="T283" i="13"/>
  <c r="R283" i="13"/>
  <c r="U282" i="13"/>
  <c r="W282" i="13" s="1"/>
  <c r="R282" i="13"/>
  <c r="T282" i="13" s="1"/>
  <c r="W281" i="13"/>
  <c r="T281" i="13"/>
  <c r="R281" i="13"/>
  <c r="U281" i="13" s="1"/>
  <c r="U280" i="13"/>
  <c r="W280" i="13" s="1"/>
  <c r="T280" i="13"/>
  <c r="R280" i="13"/>
  <c r="W279" i="13"/>
  <c r="U279" i="13"/>
  <c r="R279" i="13"/>
  <c r="T279" i="13" s="1"/>
  <c r="W278" i="13"/>
  <c r="T278" i="13"/>
  <c r="R278" i="13"/>
  <c r="U278" i="13" s="1"/>
  <c r="U277" i="13"/>
  <c r="W277" i="13" s="1"/>
  <c r="T277" i="13"/>
  <c r="R277" i="13"/>
  <c r="U276" i="13"/>
  <c r="W276" i="13" s="1"/>
  <c r="R276" i="13"/>
  <c r="T276" i="13" s="1"/>
  <c r="W275" i="13"/>
  <c r="T275" i="13"/>
  <c r="R275" i="13"/>
  <c r="U275" i="13" s="1"/>
  <c r="U274" i="13"/>
  <c r="W274" i="13" s="1"/>
  <c r="T274" i="13"/>
  <c r="R274" i="13"/>
  <c r="W273" i="13"/>
  <c r="U273" i="13"/>
  <c r="R273" i="13"/>
  <c r="T273" i="13" s="1"/>
  <c r="W272" i="13"/>
  <c r="T272" i="13"/>
  <c r="R272" i="13"/>
  <c r="U272" i="13" s="1"/>
  <c r="U271" i="13"/>
  <c r="W271" i="13" s="1"/>
  <c r="T271" i="13"/>
  <c r="R271" i="13"/>
  <c r="U270" i="13"/>
  <c r="W270" i="13" s="1"/>
  <c r="R270" i="13"/>
  <c r="T270" i="13" s="1"/>
  <c r="W269" i="13"/>
  <c r="T269" i="13"/>
  <c r="R269" i="13"/>
  <c r="U269" i="13" s="1"/>
  <c r="U268" i="13"/>
  <c r="W268" i="13" s="1"/>
  <c r="T268" i="13"/>
  <c r="R268" i="13"/>
  <c r="W267" i="13"/>
  <c r="U267" i="13"/>
  <c r="R267" i="13"/>
  <c r="T267" i="13" s="1"/>
  <c r="W266" i="13"/>
  <c r="T266" i="13"/>
  <c r="R266" i="13"/>
  <c r="U266" i="13" s="1"/>
  <c r="U265" i="13"/>
  <c r="W265" i="13" s="1"/>
  <c r="T265" i="13"/>
  <c r="R265" i="13"/>
  <c r="U264" i="13"/>
  <c r="W264" i="13" s="1"/>
  <c r="R264" i="13"/>
  <c r="T264" i="13" s="1"/>
  <c r="W263" i="13"/>
  <c r="T263" i="13"/>
  <c r="R263" i="13"/>
  <c r="U263" i="13" s="1"/>
  <c r="U262" i="13"/>
  <c r="W262" i="13" s="1"/>
  <c r="T262" i="13"/>
  <c r="R262" i="13"/>
  <c r="W261" i="13"/>
  <c r="U261" i="13"/>
  <c r="R261" i="13"/>
  <c r="T261" i="13" s="1"/>
  <c r="W260" i="13"/>
  <c r="T260" i="13"/>
  <c r="R260" i="13"/>
  <c r="U260" i="13" s="1"/>
  <c r="U259" i="13"/>
  <c r="W259" i="13" s="1"/>
  <c r="T259" i="13"/>
  <c r="R259" i="13"/>
  <c r="U258" i="13"/>
  <c r="W258" i="13" s="1"/>
  <c r="R258" i="13"/>
  <c r="T258" i="13" s="1"/>
  <c r="W257" i="13"/>
  <c r="T257" i="13"/>
  <c r="R257" i="13"/>
  <c r="U257" i="13" s="1"/>
  <c r="U256" i="13"/>
  <c r="W256" i="13" s="1"/>
  <c r="T256" i="13"/>
  <c r="R256" i="13"/>
  <c r="W255" i="13"/>
  <c r="U255" i="13"/>
  <c r="R255" i="13"/>
  <c r="T255" i="13" s="1"/>
  <c r="W254" i="13"/>
  <c r="T254" i="13"/>
  <c r="R254" i="13"/>
  <c r="U254" i="13" s="1"/>
  <c r="U253" i="13"/>
  <c r="W253" i="13" s="1"/>
  <c r="T253" i="13"/>
  <c r="R253" i="13"/>
  <c r="U252" i="13"/>
  <c r="W252" i="13" s="1"/>
  <c r="R252" i="13"/>
  <c r="T252" i="13" s="1"/>
  <c r="W251" i="13"/>
  <c r="T251" i="13"/>
  <c r="R251" i="13"/>
  <c r="U251" i="13" s="1"/>
  <c r="U250" i="13"/>
  <c r="W250" i="13" s="1"/>
  <c r="T250" i="13"/>
  <c r="R250" i="13"/>
  <c r="W249" i="13"/>
  <c r="U249" i="13"/>
  <c r="R249" i="13"/>
  <c r="T249" i="13" s="1"/>
  <c r="W248" i="13"/>
  <c r="T248" i="13"/>
  <c r="R248" i="13"/>
  <c r="U248" i="13" s="1"/>
  <c r="U247" i="13"/>
  <c r="W247" i="13" s="1"/>
  <c r="T247" i="13"/>
  <c r="R247" i="13"/>
  <c r="U246" i="13"/>
  <c r="W246" i="13" s="1"/>
  <c r="R246" i="13"/>
  <c r="T246" i="13" s="1"/>
  <c r="W245" i="13"/>
  <c r="T245" i="13"/>
  <c r="R245" i="13"/>
  <c r="U245" i="13" s="1"/>
  <c r="U244" i="13"/>
  <c r="W244" i="13" s="1"/>
  <c r="T244" i="13"/>
  <c r="R244" i="13"/>
  <c r="W243" i="13"/>
  <c r="U243" i="13"/>
  <c r="R243" i="13"/>
  <c r="T243" i="13" s="1"/>
  <c r="W242" i="13"/>
  <c r="T242" i="13"/>
  <c r="R242" i="13"/>
  <c r="U242" i="13" s="1"/>
  <c r="U241" i="13"/>
  <c r="W241" i="13" s="1"/>
  <c r="T241" i="13"/>
  <c r="R241" i="13"/>
  <c r="U240" i="13"/>
  <c r="W240" i="13" s="1"/>
  <c r="R240" i="13"/>
  <c r="T240" i="13" s="1"/>
  <c r="W239" i="13"/>
  <c r="T239" i="13"/>
  <c r="R239" i="13"/>
  <c r="U239" i="13" s="1"/>
  <c r="U238" i="13"/>
  <c r="W238" i="13" s="1"/>
  <c r="T238" i="13"/>
  <c r="R238" i="13"/>
  <c r="W237" i="13"/>
  <c r="U237" i="13"/>
  <c r="R237" i="13"/>
  <c r="T237" i="13" s="1"/>
  <c r="W236" i="13"/>
  <c r="T236" i="13"/>
  <c r="R236" i="13"/>
  <c r="U236" i="13" s="1"/>
  <c r="U235" i="13"/>
  <c r="W235" i="13" s="1"/>
  <c r="T235" i="13"/>
  <c r="R235" i="13"/>
  <c r="U234" i="13"/>
  <c r="W234" i="13" s="1"/>
  <c r="R234" i="13"/>
  <c r="T234" i="13" s="1"/>
  <c r="W233" i="13"/>
  <c r="T233" i="13"/>
  <c r="R233" i="13"/>
  <c r="U233" i="13" s="1"/>
  <c r="U232" i="13"/>
  <c r="W232" i="13" s="1"/>
  <c r="T232" i="13"/>
  <c r="R232" i="13"/>
  <c r="W231" i="13"/>
  <c r="U231" i="13"/>
  <c r="R231" i="13"/>
  <c r="T231" i="13" s="1"/>
  <c r="W230" i="13"/>
  <c r="T230" i="13"/>
  <c r="R230" i="13"/>
  <c r="U230" i="13" s="1"/>
  <c r="U229" i="13"/>
  <c r="W229" i="13" s="1"/>
  <c r="T229" i="13"/>
  <c r="R229" i="13"/>
  <c r="U228" i="13"/>
  <c r="W228" i="13" s="1"/>
  <c r="R228" i="13"/>
  <c r="T228" i="13" s="1"/>
  <c r="W227" i="13"/>
  <c r="T227" i="13"/>
  <c r="R227" i="13"/>
  <c r="U227" i="13" s="1"/>
  <c r="U226" i="13"/>
  <c r="W226" i="13" s="1"/>
  <c r="T226" i="13"/>
  <c r="R226" i="13"/>
  <c r="W225" i="13"/>
  <c r="U225" i="13"/>
  <c r="R225" i="13"/>
  <c r="T225" i="13" s="1"/>
  <c r="W224" i="13"/>
  <c r="T224" i="13"/>
  <c r="R224" i="13"/>
  <c r="U224" i="13" s="1"/>
  <c r="U223" i="13"/>
  <c r="W223" i="13" s="1"/>
  <c r="T223" i="13"/>
  <c r="R223" i="13"/>
  <c r="U222" i="13"/>
  <c r="W222" i="13" s="1"/>
  <c r="R222" i="13"/>
  <c r="T222" i="13" s="1"/>
  <c r="W221" i="13"/>
  <c r="T221" i="13"/>
  <c r="R221" i="13"/>
  <c r="U221" i="13" s="1"/>
  <c r="U220" i="13"/>
  <c r="W220" i="13" s="1"/>
  <c r="T220" i="13"/>
  <c r="R220" i="13"/>
  <c r="W219" i="13"/>
  <c r="U219" i="13"/>
  <c r="R219" i="13"/>
  <c r="T219" i="13" s="1"/>
  <c r="W218" i="13"/>
  <c r="T218" i="13"/>
  <c r="R218" i="13"/>
  <c r="U218" i="13" s="1"/>
  <c r="U217" i="13"/>
  <c r="W217" i="13" s="1"/>
  <c r="T217" i="13"/>
  <c r="R217" i="13"/>
  <c r="U216" i="13"/>
  <c r="W216" i="13" s="1"/>
  <c r="R216" i="13"/>
  <c r="T216" i="13" s="1"/>
  <c r="W215" i="13"/>
  <c r="T215" i="13"/>
  <c r="R215" i="13"/>
  <c r="U215" i="13" s="1"/>
  <c r="U214" i="13"/>
  <c r="W214" i="13" s="1"/>
  <c r="T214" i="13"/>
  <c r="R214" i="13"/>
  <c r="W213" i="13"/>
  <c r="U213" i="13"/>
  <c r="R213" i="13"/>
  <c r="T213" i="13" s="1"/>
  <c r="W212" i="13"/>
  <c r="T212" i="13"/>
  <c r="R212" i="13"/>
  <c r="U212" i="13" s="1"/>
  <c r="U211" i="13"/>
  <c r="W211" i="13" s="1"/>
  <c r="T211" i="13"/>
  <c r="R211" i="13"/>
  <c r="U210" i="13"/>
  <c r="W210" i="13" s="1"/>
  <c r="R210" i="13"/>
  <c r="T210" i="13" s="1"/>
  <c r="W209" i="13"/>
  <c r="T209" i="13"/>
  <c r="R209" i="13"/>
  <c r="U209" i="13" s="1"/>
  <c r="U208" i="13"/>
  <c r="W208" i="13" s="1"/>
  <c r="T208" i="13"/>
  <c r="R208" i="13"/>
  <c r="W207" i="13"/>
  <c r="U207" i="13"/>
  <c r="R207" i="13"/>
  <c r="T207" i="13" s="1"/>
  <c r="W206" i="13"/>
  <c r="T206" i="13"/>
  <c r="R206" i="13"/>
  <c r="U206" i="13" s="1"/>
  <c r="W205" i="13"/>
  <c r="U205" i="13"/>
  <c r="T205" i="13"/>
  <c r="R205" i="13"/>
  <c r="T204" i="13"/>
  <c r="R204" i="13"/>
  <c r="U204" i="13" s="1"/>
  <c r="W204" i="13" s="1"/>
  <c r="R203" i="13"/>
  <c r="U203" i="13" s="1"/>
  <c r="W203" i="13" s="1"/>
  <c r="U202" i="13"/>
  <c r="W202" i="13" s="1"/>
  <c r="T202" i="13"/>
  <c r="R202" i="13"/>
  <c r="U201" i="13"/>
  <c r="W201" i="13" s="1"/>
  <c r="R201" i="13"/>
  <c r="T201" i="13" s="1"/>
  <c r="R200" i="13"/>
  <c r="U200" i="13" s="1"/>
  <c r="W200" i="13" s="1"/>
  <c r="T199" i="13"/>
  <c r="R199" i="13"/>
  <c r="U199" i="13" s="1"/>
  <c r="W199" i="13" s="1"/>
  <c r="U198" i="13"/>
  <c r="W198" i="13" s="1"/>
  <c r="T198" i="13"/>
  <c r="R198" i="13"/>
  <c r="R197" i="13"/>
  <c r="U197" i="13" s="1"/>
  <c r="W197" i="13" s="1"/>
  <c r="T196" i="13"/>
  <c r="R196" i="13"/>
  <c r="U196" i="13" s="1"/>
  <c r="W196" i="13" s="1"/>
  <c r="U195" i="13"/>
  <c r="W195" i="13" s="1"/>
  <c r="T195" i="13"/>
  <c r="R195" i="13"/>
  <c r="R194" i="13"/>
  <c r="U194" i="13" s="1"/>
  <c r="W194" i="13" s="1"/>
  <c r="T193" i="13"/>
  <c r="R193" i="13"/>
  <c r="U193" i="13" s="1"/>
  <c r="W193" i="13" s="1"/>
  <c r="U192" i="13"/>
  <c r="W192" i="13" s="1"/>
  <c r="T192" i="13"/>
  <c r="R192" i="13"/>
  <c r="R191" i="13"/>
  <c r="U191" i="13" s="1"/>
  <c r="W191" i="13" s="1"/>
  <c r="T190" i="13"/>
  <c r="R190" i="13"/>
  <c r="U190" i="13" s="1"/>
  <c r="W190" i="13" s="1"/>
  <c r="U189" i="13"/>
  <c r="W189" i="13" s="1"/>
  <c r="T189" i="13"/>
  <c r="R189" i="13"/>
  <c r="R188" i="13"/>
  <c r="U188" i="13" s="1"/>
  <c r="W188" i="13" s="1"/>
  <c r="T187" i="13"/>
  <c r="R187" i="13"/>
  <c r="U187" i="13" s="1"/>
  <c r="W187" i="13" s="1"/>
  <c r="U186" i="13"/>
  <c r="W186" i="13" s="1"/>
  <c r="T186" i="13"/>
  <c r="R186" i="13"/>
  <c r="R185" i="13"/>
  <c r="U185" i="13" s="1"/>
  <c r="W185" i="13" s="1"/>
  <c r="T184" i="13"/>
  <c r="R184" i="13"/>
  <c r="U184" i="13" s="1"/>
  <c r="W184" i="13" s="1"/>
  <c r="U183" i="13"/>
  <c r="W183" i="13" s="1"/>
  <c r="T183" i="13"/>
  <c r="R183" i="13"/>
  <c r="R182" i="13"/>
  <c r="U182" i="13" s="1"/>
  <c r="W182" i="13" s="1"/>
  <c r="T181" i="13"/>
  <c r="R181" i="13"/>
  <c r="U181" i="13" s="1"/>
  <c r="W181" i="13" s="1"/>
  <c r="U180" i="13"/>
  <c r="W180" i="13" s="1"/>
  <c r="T180" i="13"/>
  <c r="R180" i="13"/>
  <c r="R179" i="13"/>
  <c r="U179" i="13" s="1"/>
  <c r="W179" i="13" s="1"/>
  <c r="T178" i="13"/>
  <c r="R178" i="13"/>
  <c r="U178" i="13" s="1"/>
  <c r="W178" i="13" s="1"/>
  <c r="U177" i="13"/>
  <c r="W177" i="13" s="1"/>
  <c r="T177" i="13"/>
  <c r="R177" i="13"/>
  <c r="R176" i="13"/>
  <c r="U176" i="13" s="1"/>
  <c r="W176" i="13" s="1"/>
  <c r="T175" i="13"/>
  <c r="R175" i="13"/>
  <c r="U175" i="13" s="1"/>
  <c r="W175" i="13" s="1"/>
  <c r="U174" i="13"/>
  <c r="W174" i="13" s="1"/>
  <c r="T174" i="13"/>
  <c r="R174" i="13"/>
  <c r="R173" i="13"/>
  <c r="U173" i="13" s="1"/>
  <c r="W173" i="13" s="1"/>
  <c r="T172" i="13"/>
  <c r="R172" i="13"/>
  <c r="U172" i="13" s="1"/>
  <c r="W172" i="13" s="1"/>
  <c r="U171" i="13"/>
  <c r="W171" i="13" s="1"/>
  <c r="T171" i="13"/>
  <c r="R171" i="13"/>
  <c r="R170" i="13"/>
  <c r="U170" i="13" s="1"/>
  <c r="W170" i="13" s="1"/>
  <c r="T169" i="13"/>
  <c r="R169" i="13"/>
  <c r="U169" i="13" s="1"/>
  <c r="W169" i="13" s="1"/>
  <c r="U168" i="13"/>
  <c r="W168" i="13" s="1"/>
  <c r="T168" i="13"/>
  <c r="R168" i="13"/>
  <c r="R167" i="13"/>
  <c r="U167" i="13" s="1"/>
  <c r="W167" i="13" s="1"/>
  <c r="T166" i="13"/>
  <c r="R166" i="13"/>
  <c r="U166" i="13" s="1"/>
  <c r="W166" i="13" s="1"/>
  <c r="U165" i="13"/>
  <c r="W165" i="13" s="1"/>
  <c r="T165" i="13"/>
  <c r="R165" i="13"/>
  <c r="R164" i="13"/>
  <c r="U164" i="13" s="1"/>
  <c r="W164" i="13" s="1"/>
  <c r="T163" i="13"/>
  <c r="R163" i="13"/>
  <c r="U163" i="13" s="1"/>
  <c r="W163" i="13" s="1"/>
  <c r="U162" i="13"/>
  <c r="W162" i="13" s="1"/>
  <c r="T162" i="13"/>
  <c r="R162" i="13"/>
  <c r="R161" i="13"/>
  <c r="U161" i="13" s="1"/>
  <c r="W161" i="13" s="1"/>
  <c r="T160" i="13"/>
  <c r="R160" i="13"/>
  <c r="U160" i="13" s="1"/>
  <c r="W160" i="13" s="1"/>
  <c r="U159" i="13"/>
  <c r="W159" i="13" s="1"/>
  <c r="T159" i="13"/>
  <c r="R159" i="13"/>
  <c r="R158" i="13"/>
  <c r="U158" i="13" s="1"/>
  <c r="W158" i="13" s="1"/>
  <c r="T157" i="13"/>
  <c r="R157" i="13"/>
  <c r="U157" i="13" s="1"/>
  <c r="W157" i="13" s="1"/>
  <c r="U156" i="13"/>
  <c r="W156" i="13" s="1"/>
  <c r="T156" i="13"/>
  <c r="R156" i="13"/>
  <c r="R155" i="13"/>
  <c r="U155" i="13" s="1"/>
  <c r="W155" i="13" s="1"/>
  <c r="T154" i="13"/>
  <c r="R154" i="13"/>
  <c r="U154" i="13" s="1"/>
  <c r="W154" i="13" s="1"/>
  <c r="U153" i="13"/>
  <c r="W153" i="13" s="1"/>
  <c r="T153" i="13"/>
  <c r="R153" i="13"/>
  <c r="R152" i="13"/>
  <c r="U152" i="13" s="1"/>
  <c r="W152" i="13" s="1"/>
  <c r="T151" i="13"/>
  <c r="R151" i="13"/>
  <c r="U151" i="13" s="1"/>
  <c r="W151" i="13" s="1"/>
  <c r="U150" i="13"/>
  <c r="W150" i="13" s="1"/>
  <c r="T150" i="13"/>
  <c r="R150" i="13"/>
  <c r="R149" i="13"/>
  <c r="U149" i="13" s="1"/>
  <c r="W149" i="13" s="1"/>
  <c r="T148" i="13"/>
  <c r="R148" i="13"/>
  <c r="U148" i="13" s="1"/>
  <c r="W148" i="13" s="1"/>
  <c r="U147" i="13"/>
  <c r="W147" i="13" s="1"/>
  <c r="T147" i="13"/>
  <c r="R147" i="13"/>
  <c r="R146" i="13"/>
  <c r="U146" i="13" s="1"/>
  <c r="W146" i="13" s="1"/>
  <c r="T145" i="13"/>
  <c r="R145" i="13"/>
  <c r="U145" i="13" s="1"/>
  <c r="W145" i="13" s="1"/>
  <c r="U144" i="13"/>
  <c r="W144" i="13" s="1"/>
  <c r="T144" i="13"/>
  <c r="R144" i="13"/>
  <c r="R143" i="13"/>
  <c r="U143" i="13" s="1"/>
  <c r="W143" i="13" s="1"/>
  <c r="T142" i="13"/>
  <c r="R142" i="13"/>
  <c r="U142" i="13" s="1"/>
  <c r="W142" i="13" s="1"/>
  <c r="U141" i="13"/>
  <c r="W141" i="13" s="1"/>
  <c r="T141" i="13"/>
  <c r="R141" i="13"/>
  <c r="R140" i="13"/>
  <c r="U140" i="13" s="1"/>
  <c r="W140" i="13" s="1"/>
  <c r="T139" i="13"/>
  <c r="R139" i="13"/>
  <c r="U139" i="13" s="1"/>
  <c r="W139" i="13" s="1"/>
  <c r="U138" i="13"/>
  <c r="W138" i="13" s="1"/>
  <c r="T138" i="13"/>
  <c r="R138" i="13"/>
  <c r="R137" i="13"/>
  <c r="U137" i="13" s="1"/>
  <c r="W137" i="13" s="1"/>
  <c r="T136" i="13"/>
  <c r="R136" i="13"/>
  <c r="U136" i="13" s="1"/>
  <c r="W136" i="13" s="1"/>
  <c r="U135" i="13"/>
  <c r="W135" i="13" s="1"/>
  <c r="T135" i="13"/>
  <c r="R135" i="13"/>
  <c r="R134" i="13"/>
  <c r="U134" i="13" s="1"/>
  <c r="W134" i="13" s="1"/>
  <c r="T133" i="13"/>
  <c r="R133" i="13"/>
  <c r="U133" i="13" s="1"/>
  <c r="W133" i="13" s="1"/>
  <c r="U132" i="13"/>
  <c r="W132" i="13" s="1"/>
  <c r="T132" i="13"/>
  <c r="R132" i="13"/>
  <c r="R131" i="13"/>
  <c r="U131" i="13" s="1"/>
  <c r="W131" i="13" s="1"/>
  <c r="T130" i="13"/>
  <c r="R130" i="13"/>
  <c r="U130" i="13" s="1"/>
  <c r="W130" i="13" s="1"/>
  <c r="U129" i="13"/>
  <c r="W129" i="13" s="1"/>
  <c r="T129" i="13"/>
  <c r="R129" i="13"/>
  <c r="R128" i="13"/>
  <c r="U128" i="13" s="1"/>
  <c r="W128" i="13" s="1"/>
  <c r="T127" i="13"/>
  <c r="R127" i="13"/>
  <c r="U127" i="13" s="1"/>
  <c r="W127" i="13" s="1"/>
  <c r="U126" i="13"/>
  <c r="W126" i="13" s="1"/>
  <c r="T126" i="13"/>
  <c r="R126" i="13"/>
  <c r="R125" i="13"/>
  <c r="U125" i="13" s="1"/>
  <c r="W125" i="13" s="1"/>
  <c r="T124" i="13"/>
  <c r="R124" i="13"/>
  <c r="U124" i="13" s="1"/>
  <c r="W124" i="13" s="1"/>
  <c r="U123" i="13"/>
  <c r="W123" i="13" s="1"/>
  <c r="T123" i="13"/>
  <c r="R123" i="13"/>
  <c r="R122" i="13"/>
  <c r="U122" i="13" s="1"/>
  <c r="W122" i="13" s="1"/>
  <c r="T121" i="13"/>
  <c r="R121" i="13"/>
  <c r="U121" i="13" s="1"/>
  <c r="W121" i="13" s="1"/>
  <c r="U120" i="13"/>
  <c r="W120" i="13" s="1"/>
  <c r="T120" i="13"/>
  <c r="R120" i="13"/>
  <c r="R119" i="13"/>
  <c r="U119" i="13" s="1"/>
  <c r="W119" i="13" s="1"/>
  <c r="T118" i="13"/>
  <c r="R118" i="13"/>
  <c r="U118" i="13" s="1"/>
  <c r="W118" i="13" s="1"/>
  <c r="U117" i="13"/>
  <c r="W117" i="13" s="1"/>
  <c r="T117" i="13"/>
  <c r="R117" i="13"/>
  <c r="R116" i="13"/>
  <c r="U116" i="13" s="1"/>
  <c r="W116" i="13" s="1"/>
  <c r="T115" i="13"/>
  <c r="R115" i="13"/>
  <c r="U115" i="13" s="1"/>
  <c r="W115" i="13" s="1"/>
  <c r="U114" i="13"/>
  <c r="W114" i="13" s="1"/>
  <c r="T114" i="13"/>
  <c r="R114" i="13"/>
  <c r="R113" i="13"/>
  <c r="U113" i="13" s="1"/>
  <c r="W113" i="13" s="1"/>
  <c r="R112" i="13"/>
  <c r="U112" i="13" s="1"/>
  <c r="W112" i="13" s="1"/>
  <c r="U111" i="13"/>
  <c r="W111" i="13" s="1"/>
  <c r="T111" i="13"/>
  <c r="R111" i="13"/>
  <c r="R110" i="13"/>
  <c r="U110" i="13" s="1"/>
  <c r="W110" i="13" s="1"/>
  <c r="R109" i="13"/>
  <c r="U109" i="13" s="1"/>
  <c r="W109" i="13" s="1"/>
  <c r="U108" i="13"/>
  <c r="W108" i="13" s="1"/>
  <c r="T108" i="13"/>
  <c r="R108" i="13"/>
  <c r="R107" i="13"/>
  <c r="U107" i="13" s="1"/>
  <c r="W107" i="13" s="1"/>
  <c r="R106" i="13"/>
  <c r="U106" i="13" s="1"/>
  <c r="W106" i="13" s="1"/>
  <c r="U105" i="13"/>
  <c r="W105" i="13" s="1"/>
  <c r="T105" i="13"/>
  <c r="R105" i="13"/>
  <c r="R104" i="13"/>
  <c r="U104" i="13" s="1"/>
  <c r="W104" i="13" s="1"/>
  <c r="R103" i="13"/>
  <c r="U103" i="13" s="1"/>
  <c r="W103" i="13" s="1"/>
  <c r="U102" i="13"/>
  <c r="W102" i="13" s="1"/>
  <c r="T102" i="13"/>
  <c r="R102" i="13"/>
  <c r="R101" i="13"/>
  <c r="U101" i="13" s="1"/>
  <c r="W101" i="13" s="1"/>
  <c r="R100" i="13"/>
  <c r="U100" i="13" s="1"/>
  <c r="W100" i="13" s="1"/>
  <c r="U99" i="13"/>
  <c r="W99" i="13" s="1"/>
  <c r="T99" i="13"/>
  <c r="R99" i="13"/>
  <c r="R98" i="13"/>
  <c r="U98" i="13" s="1"/>
  <c r="W98" i="13" s="1"/>
  <c r="R97" i="13"/>
  <c r="U97" i="13" s="1"/>
  <c r="W97" i="13" s="1"/>
  <c r="U96" i="13"/>
  <c r="W96" i="13" s="1"/>
  <c r="T96" i="13"/>
  <c r="R96" i="13"/>
  <c r="R95" i="13"/>
  <c r="U95" i="13" s="1"/>
  <c r="W95" i="13" s="1"/>
  <c r="R94" i="13"/>
  <c r="U94" i="13" s="1"/>
  <c r="W94" i="13" s="1"/>
  <c r="U93" i="13"/>
  <c r="W93" i="13" s="1"/>
  <c r="T93" i="13"/>
  <c r="R93" i="13"/>
  <c r="R92" i="13"/>
  <c r="U92" i="13" s="1"/>
  <c r="W92" i="13" s="1"/>
  <c r="R91" i="13"/>
  <c r="U91" i="13" s="1"/>
  <c r="W91" i="13" s="1"/>
  <c r="U90" i="13"/>
  <c r="W90" i="13" s="1"/>
  <c r="T90" i="13"/>
  <c r="R90" i="13"/>
  <c r="R89" i="13"/>
  <c r="U89" i="13" s="1"/>
  <c r="W89" i="13" s="1"/>
  <c r="R88" i="13"/>
  <c r="U88" i="13" s="1"/>
  <c r="W88" i="13" s="1"/>
  <c r="U87" i="13"/>
  <c r="W87" i="13" s="1"/>
  <c r="T87" i="13"/>
  <c r="R87" i="13"/>
  <c r="R86" i="13"/>
  <c r="U86" i="13" s="1"/>
  <c r="W86" i="13" s="1"/>
  <c r="R85" i="13"/>
  <c r="U85" i="13" s="1"/>
  <c r="W85" i="13" s="1"/>
  <c r="U84" i="13"/>
  <c r="W84" i="13" s="1"/>
  <c r="T84" i="13"/>
  <c r="R84" i="13"/>
  <c r="R83" i="13"/>
  <c r="U83" i="13" s="1"/>
  <c r="W83" i="13" s="1"/>
  <c r="R82" i="13"/>
  <c r="U82" i="13" s="1"/>
  <c r="W82" i="13" s="1"/>
  <c r="U81" i="13"/>
  <c r="W81" i="13" s="1"/>
  <c r="T81" i="13"/>
  <c r="R81" i="13"/>
  <c r="R80" i="13"/>
  <c r="U80" i="13" s="1"/>
  <c r="W80" i="13" s="1"/>
  <c r="R79" i="13"/>
  <c r="U79" i="13" s="1"/>
  <c r="W79" i="13" s="1"/>
  <c r="U78" i="13"/>
  <c r="W78" i="13" s="1"/>
  <c r="T78" i="13"/>
  <c r="R78" i="13"/>
  <c r="R77" i="13"/>
  <c r="U77" i="13" s="1"/>
  <c r="W77" i="13" s="1"/>
  <c r="R76" i="13"/>
  <c r="U76" i="13" s="1"/>
  <c r="W76" i="13" s="1"/>
  <c r="U75" i="13"/>
  <c r="W75" i="13" s="1"/>
  <c r="T75" i="13"/>
  <c r="R75" i="13"/>
  <c r="R74" i="13"/>
  <c r="U74" i="13" s="1"/>
  <c r="W74" i="13" s="1"/>
  <c r="R73" i="13"/>
  <c r="U73" i="13" s="1"/>
  <c r="W73" i="13" s="1"/>
  <c r="U72" i="13"/>
  <c r="W72" i="13" s="1"/>
  <c r="T72" i="13"/>
  <c r="R72" i="13"/>
  <c r="R71" i="13"/>
  <c r="U71" i="13" s="1"/>
  <c r="W71" i="13" s="1"/>
  <c r="R70" i="13"/>
  <c r="U70" i="13" s="1"/>
  <c r="W70" i="13" s="1"/>
  <c r="U69" i="13"/>
  <c r="W69" i="13" s="1"/>
  <c r="T69" i="13"/>
  <c r="R69" i="13"/>
  <c r="R68" i="13"/>
  <c r="U68" i="13" s="1"/>
  <c r="W68" i="13" s="1"/>
  <c r="R67" i="13"/>
  <c r="U67" i="13" s="1"/>
  <c r="W67" i="13" s="1"/>
  <c r="U66" i="13"/>
  <c r="W66" i="13" s="1"/>
  <c r="T66" i="13"/>
  <c r="R66" i="13"/>
  <c r="R65" i="13"/>
  <c r="U65" i="13" s="1"/>
  <c r="W65" i="13" s="1"/>
  <c r="R64" i="13"/>
  <c r="U64" i="13" s="1"/>
  <c r="W64" i="13" s="1"/>
  <c r="U63" i="13"/>
  <c r="W63" i="13" s="1"/>
  <c r="T63" i="13"/>
  <c r="R63" i="13"/>
  <c r="R62" i="13"/>
  <c r="U62" i="13" s="1"/>
  <c r="W62" i="13" s="1"/>
  <c r="R61" i="13"/>
  <c r="U61" i="13" s="1"/>
  <c r="W61" i="13" s="1"/>
  <c r="U60" i="13"/>
  <c r="W60" i="13" s="1"/>
  <c r="T60" i="13"/>
  <c r="R60" i="13"/>
  <c r="R59" i="13"/>
  <c r="U59" i="13" s="1"/>
  <c r="W59" i="13" s="1"/>
  <c r="R58" i="13"/>
  <c r="U58" i="13" s="1"/>
  <c r="W58" i="13" s="1"/>
  <c r="U57" i="13"/>
  <c r="W57" i="13" s="1"/>
  <c r="T57" i="13"/>
  <c r="R57" i="13"/>
  <c r="R56" i="13"/>
  <c r="U56" i="13" s="1"/>
  <c r="W56" i="13" s="1"/>
  <c r="R55" i="13"/>
  <c r="U55" i="13" s="1"/>
  <c r="W55" i="13" s="1"/>
  <c r="U54" i="13"/>
  <c r="W54" i="13" s="1"/>
  <c r="T54" i="13"/>
  <c r="R54" i="13"/>
  <c r="R53" i="13"/>
  <c r="U53" i="13" s="1"/>
  <c r="W53" i="13" s="1"/>
  <c r="R52" i="13"/>
  <c r="U52" i="13" s="1"/>
  <c r="W52" i="13" s="1"/>
  <c r="U51" i="13"/>
  <c r="W51" i="13" s="1"/>
  <c r="T51" i="13"/>
  <c r="R51" i="13"/>
  <c r="R50" i="13"/>
  <c r="U50" i="13" s="1"/>
  <c r="W50" i="13" s="1"/>
  <c r="R49" i="13"/>
  <c r="U49" i="13" s="1"/>
  <c r="W49" i="13" s="1"/>
  <c r="U48" i="13"/>
  <c r="W48" i="13" s="1"/>
  <c r="T48" i="13"/>
  <c r="R48" i="13"/>
  <c r="R47" i="13"/>
  <c r="U47" i="13" s="1"/>
  <c r="W47" i="13" s="1"/>
  <c r="R46" i="13"/>
  <c r="U46" i="13" s="1"/>
  <c r="W46" i="13" s="1"/>
  <c r="U45" i="13"/>
  <c r="W45" i="13" s="1"/>
  <c r="T45" i="13"/>
  <c r="R45" i="13"/>
  <c r="R44" i="13"/>
  <c r="U44" i="13" s="1"/>
  <c r="W44" i="13" s="1"/>
  <c r="R43" i="13"/>
  <c r="U43" i="13" s="1"/>
  <c r="W43" i="13" s="1"/>
  <c r="U42" i="13"/>
  <c r="W42" i="13" s="1"/>
  <c r="T42" i="13"/>
  <c r="R42" i="13"/>
  <c r="R41" i="13"/>
  <c r="U41" i="13" s="1"/>
  <c r="W41" i="13" s="1"/>
  <c r="R40" i="13"/>
  <c r="U40" i="13" s="1"/>
  <c r="W40" i="13" s="1"/>
  <c r="U39" i="13"/>
  <c r="W39" i="13" s="1"/>
  <c r="T39" i="13"/>
  <c r="R39" i="13"/>
  <c r="R38" i="13"/>
  <c r="U38" i="13" s="1"/>
  <c r="W38" i="13" s="1"/>
  <c r="R37" i="13"/>
  <c r="U37" i="13" s="1"/>
  <c r="W37" i="13" s="1"/>
  <c r="U36" i="13"/>
  <c r="W36" i="13" s="1"/>
  <c r="T36" i="13"/>
  <c r="R36" i="13"/>
  <c r="R35" i="13"/>
  <c r="U35" i="13" s="1"/>
  <c r="W35" i="13" s="1"/>
  <c r="R34" i="13"/>
  <c r="U34" i="13" s="1"/>
  <c r="W34" i="13" s="1"/>
  <c r="U33" i="13"/>
  <c r="W33" i="13" s="1"/>
  <c r="T33" i="13"/>
  <c r="R33" i="13"/>
  <c r="R32" i="13"/>
  <c r="U32" i="13" s="1"/>
  <c r="W32" i="13" s="1"/>
  <c r="R31" i="13"/>
  <c r="U31" i="13" s="1"/>
  <c r="W31" i="13" s="1"/>
  <c r="U30" i="13"/>
  <c r="W30" i="13" s="1"/>
  <c r="T30" i="13"/>
  <c r="R30" i="13"/>
  <c r="R29" i="13"/>
  <c r="U29" i="13" s="1"/>
  <c r="W29" i="13" s="1"/>
  <c r="R28" i="13"/>
  <c r="U28" i="13" s="1"/>
  <c r="W28" i="13" s="1"/>
  <c r="U27" i="13"/>
  <c r="W27" i="13" s="1"/>
  <c r="T27" i="13"/>
  <c r="R27" i="13"/>
  <c r="R26" i="13"/>
  <c r="U26" i="13" s="1"/>
  <c r="W26" i="13" s="1"/>
  <c r="R25" i="13"/>
  <c r="U25" i="13" s="1"/>
  <c r="W25" i="13" s="1"/>
  <c r="U24" i="13"/>
  <c r="W24" i="13" s="1"/>
  <c r="T24" i="13"/>
  <c r="R24" i="13"/>
  <c r="R23" i="13"/>
  <c r="U23" i="13" s="1"/>
  <c r="W23" i="13" s="1"/>
  <c r="W22" i="13"/>
  <c r="R22" i="13"/>
  <c r="U22" i="13" s="1"/>
  <c r="U21" i="13"/>
  <c r="W21" i="13" s="1"/>
  <c r="T21" i="13"/>
  <c r="R21" i="13"/>
  <c r="R20" i="13"/>
  <c r="U20" i="13" s="1"/>
  <c r="W20" i="13" s="1"/>
  <c r="W19" i="13"/>
  <c r="R19" i="13"/>
  <c r="U19" i="13" s="1"/>
  <c r="U18" i="13"/>
  <c r="W18" i="13" s="1"/>
  <c r="T18" i="13"/>
  <c r="R18" i="13"/>
  <c r="R17" i="13"/>
  <c r="U17" i="13" s="1"/>
  <c r="W17" i="13" s="1"/>
  <c r="W16" i="13"/>
  <c r="R16" i="13"/>
  <c r="U16" i="13" s="1"/>
  <c r="U15" i="13"/>
  <c r="W15" i="13" s="1"/>
  <c r="T15" i="13"/>
  <c r="R15" i="13"/>
  <c r="R14" i="13"/>
  <c r="U14" i="13" s="1"/>
  <c r="W14" i="13" s="1"/>
  <c r="W13" i="13"/>
  <c r="R13" i="13"/>
  <c r="U13" i="13" s="1"/>
  <c r="U12" i="13"/>
  <c r="W12" i="13" s="1"/>
  <c r="T12" i="13"/>
  <c r="R12" i="13"/>
  <c r="R11" i="13"/>
  <c r="U11" i="13" s="1"/>
  <c r="W11" i="13" s="1"/>
  <c r="W10" i="13"/>
  <c r="R10" i="13"/>
  <c r="U10" i="13" s="1"/>
  <c r="U9" i="13"/>
  <c r="W9" i="13" s="1"/>
  <c r="T9" i="13"/>
  <c r="R9" i="13"/>
  <c r="R8" i="13"/>
  <c r="U8" i="13" s="1"/>
  <c r="W8" i="13" s="1"/>
  <c r="W7" i="13"/>
  <c r="R7" i="13"/>
  <c r="U7" i="13" s="1"/>
  <c r="U6" i="13"/>
  <c r="W6" i="13" s="1"/>
  <c r="T6" i="13"/>
  <c r="R6" i="13"/>
  <c r="R5" i="13"/>
  <c r="U5" i="13" s="1"/>
  <c r="W5" i="13" s="1"/>
  <c r="U350" i="13" l="1"/>
  <c r="W350" i="13" s="1"/>
  <c r="T350" i="13"/>
  <c r="U422" i="13"/>
  <c r="W422" i="13" s="1"/>
  <c r="T422" i="13"/>
  <c r="U440" i="13"/>
  <c r="W440" i="13" s="1"/>
  <c r="T440" i="13"/>
  <c r="U317" i="13"/>
  <c r="W317" i="13" s="1"/>
  <c r="T317" i="13"/>
  <c r="U335" i="13"/>
  <c r="W335" i="13" s="1"/>
  <c r="T335" i="13"/>
  <c r="T348" i="13"/>
  <c r="U353" i="13"/>
  <c r="W353" i="13" s="1"/>
  <c r="T353" i="13"/>
  <c r="T366" i="13"/>
  <c r="U371" i="13"/>
  <c r="W371" i="13" s="1"/>
  <c r="T371" i="13"/>
  <c r="T384" i="13"/>
  <c r="U389" i="13"/>
  <c r="W389" i="13" s="1"/>
  <c r="T389" i="13"/>
  <c r="T402" i="13"/>
  <c r="T420" i="13"/>
  <c r="U425" i="13"/>
  <c r="W425" i="13" s="1"/>
  <c r="T425" i="13"/>
  <c r="T438" i="13"/>
  <c r="U443" i="13"/>
  <c r="W443" i="13" s="1"/>
  <c r="T443" i="13"/>
  <c r="T456" i="13"/>
  <c r="U461" i="13"/>
  <c r="W461" i="13" s="1"/>
  <c r="T461" i="13"/>
  <c r="T474" i="13"/>
  <c r="U479" i="13"/>
  <c r="W479" i="13" s="1"/>
  <c r="T479" i="13"/>
  <c r="T492" i="13"/>
  <c r="U497" i="13"/>
  <c r="W497" i="13" s="1"/>
  <c r="T497" i="13"/>
  <c r="T510" i="13"/>
  <c r="U515" i="13"/>
  <c r="W515" i="13" s="1"/>
  <c r="T515" i="13"/>
  <c r="T543" i="13"/>
  <c r="U546" i="13"/>
  <c r="W546" i="13" s="1"/>
  <c r="T546" i="13"/>
  <c r="U551" i="13"/>
  <c r="W551" i="13" s="1"/>
  <c r="T551" i="13"/>
  <c r="T592" i="13"/>
  <c r="U592" i="13"/>
  <c r="W592" i="13" s="1"/>
  <c r="T619" i="13"/>
  <c r="U619" i="13"/>
  <c r="W619" i="13" s="1"/>
  <c r="T646" i="13"/>
  <c r="U646" i="13"/>
  <c r="W646" i="13" s="1"/>
  <c r="T673" i="13"/>
  <c r="U673" i="13"/>
  <c r="W673" i="13" s="1"/>
  <c r="T700" i="13"/>
  <c r="U700" i="13"/>
  <c r="W700" i="13" s="1"/>
  <c r="T727" i="13"/>
  <c r="U727" i="13"/>
  <c r="W727" i="13" s="1"/>
  <c r="T754" i="13"/>
  <c r="U754" i="13"/>
  <c r="W754" i="13" s="1"/>
  <c r="U781" i="13"/>
  <c r="W781" i="13" s="1"/>
  <c r="T781" i="13"/>
  <c r="T976" i="13"/>
  <c r="U976" i="13"/>
  <c r="W976" i="13" s="1"/>
  <c r="T5" i="13"/>
  <c r="T8" i="13"/>
  <c r="T11" i="13"/>
  <c r="T14" i="13"/>
  <c r="T17" i="13"/>
  <c r="T20" i="13"/>
  <c r="T23" i="13"/>
  <c r="T26" i="13"/>
  <c r="T29" i="13"/>
  <c r="T32" i="13"/>
  <c r="T35" i="13"/>
  <c r="T38" i="13"/>
  <c r="T41" i="13"/>
  <c r="T44" i="13"/>
  <c r="T47" i="13"/>
  <c r="T50" i="13"/>
  <c r="T53" i="13"/>
  <c r="T56" i="13"/>
  <c r="T59" i="13"/>
  <c r="T62" i="13"/>
  <c r="T65" i="13"/>
  <c r="T68" i="13"/>
  <c r="T71" i="13"/>
  <c r="T74" i="13"/>
  <c r="T77" i="13"/>
  <c r="T80" i="13"/>
  <c r="T83" i="13"/>
  <c r="T86" i="13"/>
  <c r="T89" i="13"/>
  <c r="T92" i="13"/>
  <c r="T95" i="13"/>
  <c r="T98" i="13"/>
  <c r="T101" i="13"/>
  <c r="T104" i="13"/>
  <c r="T107" i="13"/>
  <c r="T110" i="13"/>
  <c r="T113" i="13"/>
  <c r="T116" i="13"/>
  <c r="T119" i="13"/>
  <c r="T122" i="13"/>
  <c r="T125" i="13"/>
  <c r="T128" i="13"/>
  <c r="T131" i="13"/>
  <c r="T134" i="13"/>
  <c r="T137" i="13"/>
  <c r="T140" i="13"/>
  <c r="T143" i="13"/>
  <c r="T146" i="13"/>
  <c r="T149" i="13"/>
  <c r="T152" i="13"/>
  <c r="T155" i="13"/>
  <c r="T158" i="13"/>
  <c r="T161" i="13"/>
  <c r="T164" i="13"/>
  <c r="T167" i="13"/>
  <c r="T170" i="13"/>
  <c r="T173" i="13"/>
  <c r="T176" i="13"/>
  <c r="T179" i="13"/>
  <c r="T182" i="13"/>
  <c r="T185" i="13"/>
  <c r="T188" i="13"/>
  <c r="T191" i="13"/>
  <c r="T194" i="13"/>
  <c r="T197" i="13"/>
  <c r="T200" i="13"/>
  <c r="T297" i="13"/>
  <c r="U302" i="13"/>
  <c r="W302" i="13" s="1"/>
  <c r="T302" i="13"/>
  <c r="T315" i="13"/>
  <c r="U320" i="13"/>
  <c r="W320" i="13" s="1"/>
  <c r="T320" i="13"/>
  <c r="T333" i="13"/>
  <c r="U338" i="13"/>
  <c r="W338" i="13" s="1"/>
  <c r="T338" i="13"/>
  <c r="T351" i="13"/>
  <c r="U356" i="13"/>
  <c r="W356" i="13" s="1"/>
  <c r="T356" i="13"/>
  <c r="T369" i="13"/>
  <c r="U374" i="13"/>
  <c r="W374" i="13" s="1"/>
  <c r="T374" i="13"/>
  <c r="T387" i="13"/>
  <c r="U392" i="13"/>
  <c r="W392" i="13" s="1"/>
  <c r="T392" i="13"/>
  <c r="T405" i="13"/>
  <c r="U410" i="13"/>
  <c r="W410" i="13" s="1"/>
  <c r="T410" i="13"/>
  <c r="T423" i="13"/>
  <c r="U428" i="13"/>
  <c r="W428" i="13" s="1"/>
  <c r="T428" i="13"/>
  <c r="T441" i="13"/>
  <c r="U446" i="13"/>
  <c r="W446" i="13" s="1"/>
  <c r="T446" i="13"/>
  <c r="T459" i="13"/>
  <c r="U464" i="13"/>
  <c r="W464" i="13" s="1"/>
  <c r="T464" i="13"/>
  <c r="T477" i="13"/>
  <c r="U482" i="13"/>
  <c r="W482" i="13" s="1"/>
  <c r="T482" i="13"/>
  <c r="T495" i="13"/>
  <c r="U500" i="13"/>
  <c r="W500" i="13" s="1"/>
  <c r="T500" i="13"/>
  <c r="T513" i="13"/>
  <c r="U516" i="13"/>
  <c r="W516" i="13" s="1"/>
  <c r="T516" i="13"/>
  <c r="U521" i="13"/>
  <c r="W521" i="13" s="1"/>
  <c r="T521" i="13"/>
  <c r="T549" i="13"/>
  <c r="U552" i="13"/>
  <c r="W552" i="13" s="1"/>
  <c r="T552" i="13"/>
  <c r="U557" i="13"/>
  <c r="W557" i="13" s="1"/>
  <c r="T557" i="13"/>
  <c r="U587" i="13"/>
  <c r="W587" i="13" s="1"/>
  <c r="U593" i="13"/>
  <c r="W593" i="13" s="1"/>
  <c r="T593" i="13"/>
  <c r="U614" i="13"/>
  <c r="W614" i="13" s="1"/>
  <c r="U641" i="13"/>
  <c r="W641" i="13" s="1"/>
  <c r="U668" i="13"/>
  <c r="W668" i="13" s="1"/>
  <c r="U695" i="13"/>
  <c r="W695" i="13" s="1"/>
  <c r="U722" i="13"/>
  <c r="W722" i="13" s="1"/>
  <c r="U749" i="13"/>
  <c r="W749" i="13" s="1"/>
  <c r="U776" i="13"/>
  <c r="W776" i="13" s="1"/>
  <c r="T776" i="13"/>
  <c r="U779" i="13"/>
  <c r="W779" i="13" s="1"/>
  <c r="T779" i="13"/>
  <c r="U818" i="13"/>
  <c r="W818" i="13" s="1"/>
  <c r="U960" i="13"/>
  <c r="W960" i="13" s="1"/>
  <c r="T960" i="13"/>
  <c r="U386" i="13"/>
  <c r="W386" i="13" s="1"/>
  <c r="T386" i="13"/>
  <c r="U299" i="13"/>
  <c r="W299" i="13" s="1"/>
  <c r="T299" i="13"/>
  <c r="T312" i="13"/>
  <c r="U407" i="13"/>
  <c r="W407" i="13" s="1"/>
  <c r="T407" i="13"/>
  <c r="U305" i="13"/>
  <c r="W305" i="13" s="1"/>
  <c r="T305" i="13"/>
  <c r="U323" i="13"/>
  <c r="W323" i="13" s="1"/>
  <c r="T323" i="13"/>
  <c r="U341" i="13"/>
  <c r="W341" i="13" s="1"/>
  <c r="T341" i="13"/>
  <c r="U359" i="13"/>
  <c r="W359" i="13" s="1"/>
  <c r="T359" i="13"/>
  <c r="U377" i="13"/>
  <c r="W377" i="13" s="1"/>
  <c r="T377" i="13"/>
  <c r="U395" i="13"/>
  <c r="W395" i="13" s="1"/>
  <c r="T395" i="13"/>
  <c r="U413" i="13"/>
  <c r="W413" i="13" s="1"/>
  <c r="T413" i="13"/>
  <c r="U431" i="13"/>
  <c r="W431" i="13" s="1"/>
  <c r="T431" i="13"/>
  <c r="U449" i="13"/>
  <c r="W449" i="13" s="1"/>
  <c r="T449" i="13"/>
  <c r="U467" i="13"/>
  <c r="W467" i="13" s="1"/>
  <c r="T467" i="13"/>
  <c r="U485" i="13"/>
  <c r="W485" i="13" s="1"/>
  <c r="T485" i="13"/>
  <c r="U503" i="13"/>
  <c r="W503" i="13" s="1"/>
  <c r="T503" i="13"/>
  <c r="U522" i="13"/>
  <c r="W522" i="13" s="1"/>
  <c r="T522" i="13"/>
  <c r="U527" i="13"/>
  <c r="W527" i="13" s="1"/>
  <c r="T527" i="13"/>
  <c r="U558" i="13"/>
  <c r="W558" i="13" s="1"/>
  <c r="T558" i="13"/>
  <c r="U563" i="13"/>
  <c r="W563" i="13" s="1"/>
  <c r="T563" i="13"/>
  <c r="U572" i="13"/>
  <c r="W572" i="13" s="1"/>
  <c r="T572" i="13"/>
  <c r="U332" i="13"/>
  <c r="W332" i="13" s="1"/>
  <c r="T332" i="13"/>
  <c r="U368" i="13"/>
  <c r="W368" i="13" s="1"/>
  <c r="T368" i="13"/>
  <c r="U458" i="13"/>
  <c r="W458" i="13" s="1"/>
  <c r="T458" i="13"/>
  <c r="U476" i="13"/>
  <c r="W476" i="13" s="1"/>
  <c r="T476" i="13"/>
  <c r="U545" i="13"/>
  <c r="W545" i="13" s="1"/>
  <c r="T545" i="13"/>
  <c r="T583" i="13"/>
  <c r="U583" i="13"/>
  <c r="W583" i="13" s="1"/>
  <c r="T203" i="13"/>
  <c r="T330" i="13"/>
  <c r="T7" i="13"/>
  <c r="T16" i="13"/>
  <c r="T19" i="13"/>
  <c r="T28" i="13"/>
  <c r="T37" i="13"/>
  <c r="T40" i="13"/>
  <c r="T46" i="13"/>
  <c r="T61" i="13"/>
  <c r="T64" i="13"/>
  <c r="T67" i="13"/>
  <c r="T70" i="13"/>
  <c r="T79" i="13"/>
  <c r="T82" i="13"/>
  <c r="T85" i="13"/>
  <c r="T94" i="13"/>
  <c r="T97" i="13"/>
  <c r="T106" i="13"/>
  <c r="T112" i="13"/>
  <c r="U308" i="13"/>
  <c r="W308" i="13" s="1"/>
  <c r="T308" i="13"/>
  <c r="U326" i="13"/>
  <c r="W326" i="13" s="1"/>
  <c r="T326" i="13"/>
  <c r="U344" i="13"/>
  <c r="W344" i="13" s="1"/>
  <c r="T344" i="13"/>
  <c r="U362" i="13"/>
  <c r="W362" i="13" s="1"/>
  <c r="T362" i="13"/>
  <c r="U380" i="13"/>
  <c r="W380" i="13" s="1"/>
  <c r="T380" i="13"/>
  <c r="U398" i="13"/>
  <c r="W398" i="13" s="1"/>
  <c r="T398" i="13"/>
  <c r="U416" i="13"/>
  <c r="W416" i="13" s="1"/>
  <c r="T416" i="13"/>
  <c r="U434" i="13"/>
  <c r="W434" i="13" s="1"/>
  <c r="T434" i="13"/>
  <c r="U452" i="13"/>
  <c r="W452" i="13" s="1"/>
  <c r="T452" i="13"/>
  <c r="U470" i="13"/>
  <c r="W470" i="13" s="1"/>
  <c r="T470" i="13"/>
  <c r="U488" i="13"/>
  <c r="W488" i="13" s="1"/>
  <c r="T488" i="13"/>
  <c r="U506" i="13"/>
  <c r="W506" i="13" s="1"/>
  <c r="T506" i="13"/>
  <c r="U528" i="13"/>
  <c r="W528" i="13" s="1"/>
  <c r="T528" i="13"/>
  <c r="U533" i="13"/>
  <c r="W533" i="13" s="1"/>
  <c r="T533" i="13"/>
  <c r="U564" i="13"/>
  <c r="W564" i="13" s="1"/>
  <c r="T564" i="13"/>
  <c r="U575" i="13"/>
  <c r="W575" i="13" s="1"/>
  <c r="T575" i="13"/>
  <c r="U602" i="13"/>
  <c r="W602" i="13" s="1"/>
  <c r="T602" i="13"/>
  <c r="U629" i="13"/>
  <c r="W629" i="13" s="1"/>
  <c r="T629" i="13"/>
  <c r="U656" i="13"/>
  <c r="W656" i="13" s="1"/>
  <c r="T656" i="13"/>
  <c r="U683" i="13"/>
  <c r="W683" i="13" s="1"/>
  <c r="T683" i="13"/>
  <c r="U710" i="13"/>
  <c r="W710" i="13" s="1"/>
  <c r="T710" i="13"/>
  <c r="U737" i="13"/>
  <c r="W737" i="13" s="1"/>
  <c r="T737" i="13"/>
  <c r="U839" i="13"/>
  <c r="W839" i="13" s="1"/>
  <c r="T839" i="13"/>
  <c r="U845" i="13"/>
  <c r="W845" i="13" s="1"/>
  <c r="T845" i="13"/>
  <c r="U877" i="13"/>
  <c r="W877" i="13" s="1"/>
  <c r="T877" i="13"/>
  <c r="T897" i="13"/>
  <c r="U897" i="13"/>
  <c r="W897" i="13" s="1"/>
  <c r="U948" i="13"/>
  <c r="W948" i="13" s="1"/>
  <c r="T948" i="13"/>
  <c r="U314" i="13"/>
  <c r="W314" i="13" s="1"/>
  <c r="T314" i="13"/>
  <c r="U404" i="13"/>
  <c r="W404" i="13" s="1"/>
  <c r="T404" i="13"/>
  <c r="U494" i="13"/>
  <c r="W494" i="13" s="1"/>
  <c r="T494" i="13"/>
  <c r="U512" i="13"/>
  <c r="W512" i="13" s="1"/>
  <c r="T512" i="13"/>
  <c r="U540" i="13"/>
  <c r="W540" i="13" s="1"/>
  <c r="T540" i="13"/>
  <c r="T10" i="13"/>
  <c r="T13" i="13"/>
  <c r="T22" i="13"/>
  <c r="T25" i="13"/>
  <c r="T31" i="13"/>
  <c r="T34" i="13"/>
  <c r="T43" i="13"/>
  <c r="T49" i="13"/>
  <c r="T52" i="13"/>
  <c r="T55" i="13"/>
  <c r="T58" i="13"/>
  <c r="T73" i="13"/>
  <c r="T76" i="13"/>
  <c r="T88" i="13"/>
  <c r="T91" i="13"/>
  <c r="T100" i="13"/>
  <c r="T103" i="13"/>
  <c r="T109" i="13"/>
  <c r="T306" i="13"/>
  <c r="U311" i="13"/>
  <c r="W311" i="13" s="1"/>
  <c r="T311" i="13"/>
  <c r="T324" i="13"/>
  <c r="U329" i="13"/>
  <c r="W329" i="13" s="1"/>
  <c r="T329" i="13"/>
  <c r="T342" i="13"/>
  <c r="U347" i="13"/>
  <c r="W347" i="13" s="1"/>
  <c r="T347" i="13"/>
  <c r="T360" i="13"/>
  <c r="U365" i="13"/>
  <c r="W365" i="13" s="1"/>
  <c r="T365" i="13"/>
  <c r="T378" i="13"/>
  <c r="U383" i="13"/>
  <c r="W383" i="13" s="1"/>
  <c r="T383" i="13"/>
  <c r="T396" i="13"/>
  <c r="U401" i="13"/>
  <c r="W401" i="13" s="1"/>
  <c r="T401" i="13"/>
  <c r="T414" i="13"/>
  <c r="U419" i="13"/>
  <c r="W419" i="13" s="1"/>
  <c r="T419" i="13"/>
  <c r="T432" i="13"/>
  <c r="U437" i="13"/>
  <c r="W437" i="13" s="1"/>
  <c r="T437" i="13"/>
  <c r="T450" i="13"/>
  <c r="U455" i="13"/>
  <c r="W455" i="13" s="1"/>
  <c r="T455" i="13"/>
  <c r="T468" i="13"/>
  <c r="U473" i="13"/>
  <c r="W473" i="13" s="1"/>
  <c r="T473" i="13"/>
  <c r="T486" i="13"/>
  <c r="U491" i="13"/>
  <c r="W491" i="13" s="1"/>
  <c r="T491" i="13"/>
  <c r="T504" i="13"/>
  <c r="U509" i="13"/>
  <c r="W509" i="13" s="1"/>
  <c r="T509" i="13"/>
  <c r="T531" i="13"/>
  <c r="U534" i="13"/>
  <c r="W534" i="13" s="1"/>
  <c r="T534" i="13"/>
  <c r="U539" i="13"/>
  <c r="W539" i="13" s="1"/>
  <c r="T539" i="13"/>
  <c r="U567" i="13"/>
  <c r="W567" i="13" s="1"/>
  <c r="T570" i="13"/>
  <c r="U570" i="13"/>
  <c r="W570" i="13" s="1"/>
  <c r="U790" i="13"/>
  <c r="W790" i="13" s="1"/>
  <c r="T790" i="13"/>
  <c r="T870" i="13"/>
  <c r="U870" i="13"/>
  <c r="W870" i="13" s="1"/>
  <c r="U886" i="13"/>
  <c r="W886" i="13" s="1"/>
  <c r="T886" i="13"/>
  <c r="U892" i="13"/>
  <c r="W892" i="13" s="1"/>
  <c r="T892" i="13"/>
  <c r="U895" i="13"/>
  <c r="W895" i="13" s="1"/>
  <c r="T895" i="13"/>
  <c r="U808" i="13"/>
  <c r="W808" i="13" s="1"/>
  <c r="T808" i="13"/>
  <c r="T843" i="13"/>
  <c r="U843" i="13"/>
  <c r="W843" i="13" s="1"/>
  <c r="U1017" i="13"/>
  <c r="W1017" i="13" s="1"/>
  <c r="T1017" i="13"/>
  <c r="U620" i="13"/>
  <c r="W620" i="13" s="1"/>
  <c r="T620" i="13"/>
  <c r="U647" i="13"/>
  <c r="W647" i="13" s="1"/>
  <c r="T647" i="13"/>
  <c r="U674" i="13"/>
  <c r="W674" i="13" s="1"/>
  <c r="T674" i="13"/>
  <c r="U701" i="13"/>
  <c r="W701" i="13" s="1"/>
  <c r="T701" i="13"/>
  <c r="U728" i="13"/>
  <c r="W728" i="13" s="1"/>
  <c r="T728" i="13"/>
  <c r="U755" i="13"/>
  <c r="W755" i="13" s="1"/>
  <c r="T755" i="13"/>
  <c r="U794" i="13"/>
  <c r="W794" i="13" s="1"/>
  <c r="T794" i="13"/>
  <c r="U799" i="13"/>
  <c r="W799" i="13" s="1"/>
  <c r="T799" i="13"/>
  <c r="U835" i="13"/>
  <c r="W835" i="13" s="1"/>
  <c r="T835" i="13"/>
  <c r="U850" i="13"/>
  <c r="W850" i="13" s="1"/>
  <c r="T850" i="13"/>
  <c r="U910" i="13"/>
  <c r="W910" i="13" s="1"/>
  <c r="T910" i="13"/>
  <c r="T922" i="13"/>
  <c r="U922" i="13"/>
  <c r="W922" i="13" s="1"/>
  <c r="T946" i="13"/>
  <c r="U946" i="13"/>
  <c r="W946" i="13" s="1"/>
  <c r="U1035" i="13"/>
  <c r="W1035" i="13" s="1"/>
  <c r="T1035" i="13"/>
  <c r="U518" i="13"/>
  <c r="W518" i="13" s="1"/>
  <c r="T518" i="13"/>
  <c r="U524" i="13"/>
  <c r="W524" i="13" s="1"/>
  <c r="T524" i="13"/>
  <c r="U530" i="13"/>
  <c r="W530" i="13" s="1"/>
  <c r="T530" i="13"/>
  <c r="U536" i="13"/>
  <c r="W536" i="13" s="1"/>
  <c r="T536" i="13"/>
  <c r="U542" i="13"/>
  <c r="W542" i="13" s="1"/>
  <c r="T542" i="13"/>
  <c r="U548" i="13"/>
  <c r="W548" i="13" s="1"/>
  <c r="T548" i="13"/>
  <c r="U554" i="13"/>
  <c r="W554" i="13" s="1"/>
  <c r="T554" i="13"/>
  <c r="U560" i="13"/>
  <c r="W560" i="13" s="1"/>
  <c r="T560" i="13"/>
  <c r="U566" i="13"/>
  <c r="W566" i="13" s="1"/>
  <c r="T566" i="13"/>
  <c r="U610" i="13"/>
  <c r="W610" i="13" s="1"/>
  <c r="U637" i="13"/>
  <c r="W637" i="13" s="1"/>
  <c r="U664" i="13"/>
  <c r="W664" i="13" s="1"/>
  <c r="U691" i="13"/>
  <c r="W691" i="13" s="1"/>
  <c r="U718" i="13"/>
  <c r="W718" i="13" s="1"/>
  <c r="U745" i="13"/>
  <c r="W745" i="13" s="1"/>
  <c r="U772" i="13"/>
  <c r="W772" i="13" s="1"/>
  <c r="T772" i="13"/>
  <c r="T797" i="13"/>
  <c r="U826" i="13"/>
  <c r="W826" i="13" s="1"/>
  <c r="T826" i="13"/>
  <c r="T833" i="13"/>
  <c r="U841" i="13"/>
  <c r="W841" i="13" s="1"/>
  <c r="T841" i="13"/>
  <c r="U847" i="13"/>
  <c r="W847" i="13" s="1"/>
  <c r="T847" i="13"/>
  <c r="T864" i="13"/>
  <c r="U864" i="13"/>
  <c r="W864" i="13" s="1"/>
  <c r="U881" i="13"/>
  <c r="W881" i="13" s="1"/>
  <c r="T881" i="13"/>
  <c r="U911" i="13"/>
  <c r="W911" i="13" s="1"/>
  <c r="T911" i="13"/>
  <c r="U569" i="13"/>
  <c r="W569" i="13" s="1"/>
  <c r="T569" i="13"/>
  <c r="U584" i="13"/>
  <c r="W584" i="13" s="1"/>
  <c r="T584" i="13"/>
  <c r="T594" i="13"/>
  <c r="U596" i="13"/>
  <c r="W596" i="13" s="1"/>
  <c r="U611" i="13"/>
  <c r="W611" i="13" s="1"/>
  <c r="T611" i="13"/>
  <c r="T621" i="13"/>
  <c r="U623" i="13"/>
  <c r="W623" i="13" s="1"/>
  <c r="U638" i="13"/>
  <c r="W638" i="13" s="1"/>
  <c r="T638" i="13"/>
  <c r="T648" i="13"/>
  <c r="U650" i="13"/>
  <c r="W650" i="13" s="1"/>
  <c r="U665" i="13"/>
  <c r="W665" i="13" s="1"/>
  <c r="T665" i="13"/>
  <c r="T675" i="13"/>
  <c r="U677" i="13"/>
  <c r="W677" i="13" s="1"/>
  <c r="U692" i="13"/>
  <c r="W692" i="13" s="1"/>
  <c r="T692" i="13"/>
  <c r="T702" i="13"/>
  <c r="U704" i="13"/>
  <c r="W704" i="13" s="1"/>
  <c r="U719" i="13"/>
  <c r="W719" i="13" s="1"/>
  <c r="T719" i="13"/>
  <c r="T729" i="13"/>
  <c r="U731" i="13"/>
  <c r="W731" i="13" s="1"/>
  <c r="U746" i="13"/>
  <c r="W746" i="13" s="1"/>
  <c r="T746" i="13"/>
  <c r="T756" i="13"/>
  <c r="U758" i="13"/>
  <c r="W758" i="13" s="1"/>
  <c r="U763" i="13"/>
  <c r="W763" i="13" s="1"/>
  <c r="T763" i="13"/>
  <c r="U800" i="13"/>
  <c r="W800" i="13" s="1"/>
  <c r="U812" i="13"/>
  <c r="W812" i="13" s="1"/>
  <c r="T812" i="13"/>
  <c r="U817" i="13"/>
  <c r="W817" i="13" s="1"/>
  <c r="T817" i="13"/>
  <c r="U848" i="13"/>
  <c r="W848" i="13" s="1"/>
  <c r="T848" i="13"/>
  <c r="U857" i="13"/>
  <c r="W857" i="13" s="1"/>
  <c r="T857" i="13"/>
  <c r="U865" i="13"/>
  <c r="W865" i="13" s="1"/>
  <c r="T865" i="13"/>
  <c r="U890" i="13"/>
  <c r="W890" i="13" s="1"/>
  <c r="T890" i="13"/>
  <c r="U766" i="13"/>
  <c r="W766" i="13" s="1"/>
  <c r="T766" i="13"/>
  <c r="U775" i="13"/>
  <c r="W775" i="13" s="1"/>
  <c r="T775" i="13"/>
  <c r="U784" i="13"/>
  <c r="W784" i="13" s="1"/>
  <c r="T784" i="13"/>
  <c r="U793" i="13"/>
  <c r="W793" i="13" s="1"/>
  <c r="T793" i="13"/>
  <c r="U802" i="13"/>
  <c r="W802" i="13" s="1"/>
  <c r="T802" i="13"/>
  <c r="U811" i="13"/>
  <c r="W811" i="13" s="1"/>
  <c r="T811" i="13"/>
  <c r="U820" i="13"/>
  <c r="W820" i="13" s="1"/>
  <c r="T820" i="13"/>
  <c r="U829" i="13"/>
  <c r="W829" i="13" s="1"/>
  <c r="T829" i="13"/>
  <c r="U838" i="13"/>
  <c r="W838" i="13" s="1"/>
  <c r="T838" i="13"/>
  <c r="U856" i="13"/>
  <c r="W856" i="13" s="1"/>
  <c r="T856" i="13"/>
  <c r="U908" i="13"/>
  <c r="W908" i="13" s="1"/>
  <c r="T908" i="13"/>
  <c r="T958" i="13"/>
  <c r="U958" i="13"/>
  <c r="W958" i="13" s="1"/>
  <c r="U769" i="13"/>
  <c r="W769" i="13" s="1"/>
  <c r="T769" i="13"/>
  <c r="U778" i="13"/>
  <c r="W778" i="13" s="1"/>
  <c r="T778" i="13"/>
  <c r="U787" i="13"/>
  <c r="W787" i="13" s="1"/>
  <c r="T787" i="13"/>
  <c r="U796" i="13"/>
  <c r="W796" i="13" s="1"/>
  <c r="T796" i="13"/>
  <c r="U805" i="13"/>
  <c r="W805" i="13" s="1"/>
  <c r="T805" i="13"/>
  <c r="U814" i="13"/>
  <c r="W814" i="13" s="1"/>
  <c r="T814" i="13"/>
  <c r="U823" i="13"/>
  <c r="W823" i="13" s="1"/>
  <c r="T823" i="13"/>
  <c r="U832" i="13"/>
  <c r="W832" i="13" s="1"/>
  <c r="T832" i="13"/>
  <c r="U854" i="13"/>
  <c r="W854" i="13" s="1"/>
  <c r="T854" i="13"/>
  <c r="U901" i="13"/>
  <c r="W901" i="13" s="1"/>
  <c r="T901" i="13"/>
  <c r="U904" i="13"/>
  <c r="W904" i="13" s="1"/>
  <c r="T904" i="13"/>
  <c r="T928" i="13"/>
  <c r="U928" i="13"/>
  <c r="W928" i="13" s="1"/>
  <c r="T891" i="13"/>
  <c r="U891" i="13"/>
  <c r="W891" i="13" s="1"/>
  <c r="U874" i="13"/>
  <c r="W874" i="13" s="1"/>
  <c r="T874" i="13"/>
  <c r="T940" i="13"/>
  <c r="U940" i="13"/>
  <c r="W940" i="13" s="1"/>
  <c r="U1008" i="13"/>
  <c r="W1008" i="13" s="1"/>
  <c r="T1008" i="13"/>
  <c r="U883" i="13"/>
  <c r="W883" i="13" s="1"/>
  <c r="T883" i="13"/>
  <c r="U915" i="13"/>
  <c r="W915" i="13" s="1"/>
  <c r="T915" i="13"/>
  <c r="U6" i="8" l="1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5" i="8"/>
  <c r="K6" i="8"/>
  <c r="P6" i="8" s="1"/>
  <c r="K7" i="8"/>
  <c r="K8" i="8"/>
  <c r="K9" i="8"/>
  <c r="M9" i="8" s="1"/>
  <c r="K10" i="8"/>
  <c r="K11" i="8"/>
  <c r="K12" i="8"/>
  <c r="K13" i="8"/>
  <c r="K14" i="8"/>
  <c r="K15" i="8"/>
  <c r="M15" i="8" s="1"/>
  <c r="K16" i="8"/>
  <c r="K17" i="8"/>
  <c r="M17" i="8" s="1"/>
  <c r="T5" i="8" s="1"/>
  <c r="K18" i="8"/>
  <c r="K19" i="8"/>
  <c r="K5" i="8"/>
  <c r="M5" i="8"/>
  <c r="P5" i="8"/>
  <c r="O5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O9" i="8"/>
  <c r="O15" i="8"/>
  <c r="L6" i="8"/>
  <c r="O6" i="8" s="1"/>
  <c r="L7" i="8"/>
  <c r="O7" i="8" s="1"/>
  <c r="L8" i="8"/>
  <c r="O8" i="8" s="1"/>
  <c r="L9" i="8"/>
  <c r="Q9" i="8" s="1"/>
  <c r="S9" i="8" s="1"/>
  <c r="L10" i="8"/>
  <c r="Q10" i="8" s="1"/>
  <c r="S10" i="8" s="1"/>
  <c r="L11" i="8"/>
  <c r="Q11" i="8" s="1"/>
  <c r="L12" i="8"/>
  <c r="O12" i="8" s="1"/>
  <c r="L13" i="8"/>
  <c r="O13" i="8" s="1"/>
  <c r="L14" i="8"/>
  <c r="O14" i="8" s="1"/>
  <c r="L15" i="8"/>
  <c r="Q15" i="8" s="1"/>
  <c r="S15" i="8" s="1"/>
  <c r="L16" i="8"/>
  <c r="Q16" i="8" s="1"/>
  <c r="S16" i="8" s="1"/>
  <c r="L17" i="8"/>
  <c r="Q17" i="8" s="1"/>
  <c r="L18" i="8"/>
  <c r="O18" i="8" s="1"/>
  <c r="L19" i="8"/>
  <c r="O19" i="8" s="1"/>
  <c r="L5" i="8"/>
  <c r="Q5" i="8" s="1"/>
  <c r="M6" i="8"/>
  <c r="M7" i="8"/>
  <c r="M8" i="8"/>
  <c r="M10" i="8"/>
  <c r="M11" i="8"/>
  <c r="M12" i="8"/>
  <c r="M13" i="8"/>
  <c r="M14" i="8"/>
  <c r="M16" i="8"/>
  <c r="M18" i="8"/>
  <c r="M19" i="8"/>
  <c r="D28" i="8"/>
  <c r="D27" i="8"/>
  <c r="D26" i="8"/>
  <c r="D25" i="8"/>
  <c r="D24" i="8"/>
  <c r="D23" i="8"/>
  <c r="D22" i="8"/>
  <c r="M21" i="7"/>
  <c r="S17" i="8" l="1"/>
  <c r="O17" i="8"/>
  <c r="O11" i="8"/>
  <c r="S7" i="8"/>
  <c r="S11" i="8"/>
  <c r="Q19" i="8"/>
  <c r="S19" i="8" s="1"/>
  <c r="Q13" i="8"/>
  <c r="S13" i="8" s="1"/>
  <c r="Q7" i="8"/>
  <c r="O16" i="8"/>
  <c r="O10" i="8"/>
  <c r="S18" i="8"/>
  <c r="Q14" i="8"/>
  <c r="Q8" i="8"/>
  <c r="Q18" i="8"/>
  <c r="Q12" i="8"/>
  <c r="S12" i="8" s="1"/>
  <c r="Q6" i="8"/>
  <c r="S6" i="8" s="1"/>
  <c r="S14" i="8"/>
  <c r="S8" i="8"/>
  <c r="S5" i="8"/>
  <c r="V20" i="9"/>
  <c r="J30" i="9" s="1"/>
  <c r="U20" i="9"/>
  <c r="I30" i="9" s="1"/>
  <c r="T20" i="9"/>
  <c r="H30" i="9" s="1"/>
  <c r="S20" i="9"/>
  <c r="G30" i="9" s="1"/>
  <c r="R20" i="9"/>
  <c r="F30" i="9" s="1"/>
  <c r="Q20" i="9"/>
  <c r="E30" i="9" s="1"/>
  <c r="P20" i="9"/>
  <c r="D30" i="9" s="1"/>
  <c r="O20" i="9"/>
  <c r="C30" i="9" s="1"/>
  <c r="V19" i="9"/>
  <c r="J29" i="9" s="1"/>
  <c r="U19" i="9"/>
  <c r="I29" i="9" s="1"/>
  <c r="T19" i="9"/>
  <c r="H29" i="9" s="1"/>
  <c r="S19" i="9"/>
  <c r="G29" i="9" s="1"/>
  <c r="R19" i="9"/>
  <c r="F29" i="9" s="1"/>
  <c r="Q19" i="9"/>
  <c r="E29" i="9" s="1"/>
  <c r="P19" i="9"/>
  <c r="D29" i="9" s="1"/>
  <c r="O19" i="9"/>
  <c r="C29" i="9" s="1"/>
  <c r="V18" i="9"/>
  <c r="J28" i="9" s="1"/>
  <c r="U18" i="9"/>
  <c r="I28" i="9" s="1"/>
  <c r="T18" i="9"/>
  <c r="H28" i="9" s="1"/>
  <c r="S18" i="9"/>
  <c r="G28" i="9" s="1"/>
  <c r="R18" i="9"/>
  <c r="F28" i="9" s="1"/>
  <c r="Q18" i="9"/>
  <c r="E28" i="9" s="1"/>
  <c r="P18" i="9"/>
  <c r="D28" i="9" s="1"/>
  <c r="O18" i="9"/>
  <c r="C28" i="9" s="1"/>
  <c r="V17" i="9"/>
  <c r="J27" i="9" s="1"/>
  <c r="U17" i="9"/>
  <c r="I27" i="9" s="1"/>
  <c r="T17" i="9"/>
  <c r="H27" i="9" s="1"/>
  <c r="S17" i="9"/>
  <c r="G27" i="9" s="1"/>
  <c r="R17" i="9"/>
  <c r="F27" i="9" s="1"/>
  <c r="Q17" i="9"/>
  <c r="E27" i="9" s="1"/>
  <c r="P17" i="9"/>
  <c r="D27" i="9" s="1"/>
  <c r="O17" i="9"/>
  <c r="C27" i="9" s="1"/>
  <c r="V16" i="9"/>
  <c r="J26" i="9" s="1"/>
  <c r="U16" i="9"/>
  <c r="I26" i="9" s="1"/>
  <c r="T16" i="9"/>
  <c r="H26" i="9" s="1"/>
  <c r="S16" i="9"/>
  <c r="G26" i="9" s="1"/>
  <c r="R16" i="9"/>
  <c r="F26" i="9" s="1"/>
  <c r="Q16" i="9"/>
  <c r="E26" i="9" s="1"/>
  <c r="P16" i="9"/>
  <c r="D26" i="9" s="1"/>
  <c r="O16" i="9"/>
  <c r="C26" i="9" s="1"/>
  <c r="V15" i="9"/>
  <c r="J25" i="9" s="1"/>
  <c r="U15" i="9"/>
  <c r="I25" i="9" s="1"/>
  <c r="T15" i="9"/>
  <c r="H25" i="9" s="1"/>
  <c r="S15" i="9"/>
  <c r="G25" i="9" s="1"/>
  <c r="R15" i="9"/>
  <c r="F25" i="9" s="1"/>
  <c r="Q15" i="9"/>
  <c r="E25" i="9" s="1"/>
  <c r="P15" i="9"/>
  <c r="D25" i="9" s="1"/>
  <c r="O15" i="9"/>
  <c r="C25" i="9" s="1"/>
  <c r="V14" i="9"/>
  <c r="J24" i="9" s="1"/>
  <c r="U14" i="9"/>
  <c r="I24" i="9" s="1"/>
  <c r="T14" i="9"/>
  <c r="H24" i="9" s="1"/>
  <c r="S14" i="9"/>
  <c r="G24" i="9" s="1"/>
  <c r="R14" i="9"/>
  <c r="F24" i="9" s="1"/>
  <c r="Q14" i="9"/>
  <c r="E24" i="9" s="1"/>
  <c r="P14" i="9"/>
  <c r="D24" i="9" s="1"/>
  <c r="O14" i="9"/>
  <c r="C24" i="9" s="1"/>
  <c r="V13" i="9"/>
  <c r="J23" i="9" s="1"/>
  <c r="U13" i="9"/>
  <c r="I23" i="9" s="1"/>
  <c r="T13" i="9"/>
  <c r="H23" i="9" s="1"/>
  <c r="S13" i="9"/>
  <c r="G23" i="9" s="1"/>
  <c r="R13" i="9"/>
  <c r="F23" i="9" s="1"/>
  <c r="Q13" i="9"/>
  <c r="E23" i="9" s="1"/>
  <c r="P13" i="9"/>
  <c r="D23" i="9" s="1"/>
  <c r="O13" i="9"/>
  <c r="C23" i="9" s="1"/>
  <c r="V12" i="9"/>
  <c r="J22" i="9" s="1"/>
  <c r="U12" i="9"/>
  <c r="I22" i="9" s="1"/>
  <c r="T12" i="9"/>
  <c r="H22" i="9" s="1"/>
  <c r="S12" i="9"/>
  <c r="G22" i="9" s="1"/>
  <c r="R12" i="9"/>
  <c r="F22" i="9" s="1"/>
  <c r="Q12" i="9"/>
  <c r="E22" i="9" s="1"/>
  <c r="P12" i="9"/>
  <c r="D22" i="9" s="1"/>
  <c r="O12" i="9"/>
  <c r="C22" i="9" s="1"/>
  <c r="V11" i="9"/>
  <c r="J21" i="9" s="1"/>
  <c r="U11" i="9"/>
  <c r="I21" i="9" s="1"/>
  <c r="T11" i="9"/>
  <c r="H21" i="9" s="1"/>
  <c r="S11" i="9"/>
  <c r="G21" i="9" s="1"/>
  <c r="R11" i="9"/>
  <c r="F21" i="9" s="1"/>
  <c r="Q11" i="9"/>
  <c r="E21" i="9" s="1"/>
  <c r="P11" i="9"/>
  <c r="D21" i="9" s="1"/>
  <c r="O11" i="9"/>
  <c r="C21" i="9" s="1"/>
  <c r="V10" i="9"/>
  <c r="J20" i="9" s="1"/>
  <c r="U10" i="9"/>
  <c r="I20" i="9" s="1"/>
  <c r="T10" i="9"/>
  <c r="H20" i="9" s="1"/>
  <c r="S10" i="9"/>
  <c r="G20" i="9" s="1"/>
  <c r="R10" i="9"/>
  <c r="F20" i="9" s="1"/>
  <c r="Q10" i="9"/>
  <c r="E20" i="9" s="1"/>
  <c r="P10" i="9"/>
  <c r="D20" i="9" s="1"/>
  <c r="O10" i="9"/>
  <c r="C20" i="9" s="1"/>
  <c r="V9" i="9"/>
  <c r="J19" i="9" s="1"/>
  <c r="U9" i="9"/>
  <c r="I19" i="9" s="1"/>
  <c r="T9" i="9"/>
  <c r="H19" i="9" s="1"/>
  <c r="S9" i="9"/>
  <c r="G19" i="9" s="1"/>
  <c r="R9" i="9"/>
  <c r="F19" i="9" s="1"/>
  <c r="Q9" i="9"/>
  <c r="E19" i="9" s="1"/>
  <c r="P9" i="9"/>
  <c r="D19" i="9" s="1"/>
  <c r="O9" i="9"/>
  <c r="C19" i="9" s="1"/>
  <c r="D7" i="11"/>
  <c r="E7" i="11"/>
  <c r="F7" i="11"/>
  <c r="G7" i="11"/>
  <c r="H7" i="11"/>
  <c r="I7" i="11"/>
  <c r="J7" i="11"/>
  <c r="K7" i="11"/>
  <c r="D8" i="11"/>
  <c r="E8" i="11"/>
  <c r="F8" i="11"/>
  <c r="G8" i="11"/>
  <c r="H8" i="11"/>
  <c r="I8" i="11"/>
  <c r="J8" i="11"/>
  <c r="K8" i="11"/>
  <c r="D9" i="11"/>
  <c r="E9" i="11"/>
  <c r="F9" i="11"/>
  <c r="G9" i="11"/>
  <c r="H9" i="11"/>
  <c r="I9" i="11"/>
  <c r="J9" i="11"/>
  <c r="K9" i="11"/>
  <c r="D10" i="11"/>
  <c r="E10" i="11"/>
  <c r="F10" i="11"/>
  <c r="G10" i="11"/>
  <c r="H10" i="11"/>
  <c r="I10" i="11"/>
  <c r="J10" i="11"/>
  <c r="K10" i="11"/>
  <c r="D11" i="11"/>
  <c r="E11" i="11"/>
  <c r="F11" i="11"/>
  <c r="G11" i="11"/>
  <c r="H11" i="11"/>
  <c r="I11" i="11"/>
  <c r="J11" i="11"/>
  <c r="K11" i="11"/>
  <c r="D12" i="11"/>
  <c r="E12" i="11"/>
  <c r="F12" i="11"/>
  <c r="G12" i="11"/>
  <c r="H12" i="11"/>
  <c r="I12" i="11"/>
  <c r="J12" i="11"/>
  <c r="K12" i="11"/>
  <c r="D13" i="11"/>
  <c r="E13" i="11"/>
  <c r="F13" i="11"/>
  <c r="G13" i="11"/>
  <c r="H13" i="11"/>
  <c r="I13" i="11"/>
  <c r="J13" i="11"/>
  <c r="K13" i="11"/>
  <c r="D14" i="11"/>
  <c r="E14" i="11"/>
  <c r="F14" i="11"/>
  <c r="G14" i="11"/>
  <c r="H14" i="11"/>
  <c r="I14" i="11"/>
  <c r="J14" i="11"/>
  <c r="K14" i="11"/>
  <c r="D15" i="11"/>
  <c r="E15" i="11"/>
  <c r="F15" i="11"/>
  <c r="G15" i="11"/>
  <c r="H15" i="11"/>
  <c r="I15" i="11"/>
  <c r="J15" i="11"/>
  <c r="K15" i="11"/>
  <c r="D16" i="11"/>
  <c r="E16" i="11"/>
  <c r="F16" i="11"/>
  <c r="G16" i="11"/>
  <c r="H16" i="11"/>
  <c r="I16" i="11"/>
  <c r="J16" i="11"/>
  <c r="K16" i="11"/>
  <c r="D17" i="11"/>
  <c r="E17" i="11"/>
  <c r="F17" i="11"/>
  <c r="G17" i="11"/>
  <c r="H17" i="11"/>
  <c r="I17" i="11"/>
  <c r="J17" i="11"/>
  <c r="K17" i="11"/>
  <c r="D18" i="11"/>
  <c r="E18" i="11"/>
  <c r="F18" i="11"/>
  <c r="G18" i="11"/>
  <c r="H18" i="11"/>
  <c r="I18" i="11"/>
  <c r="J18" i="11"/>
  <c r="K18" i="11"/>
  <c r="D19" i="11"/>
  <c r="E19" i="11"/>
  <c r="F19" i="11"/>
  <c r="G19" i="11"/>
  <c r="H19" i="11"/>
  <c r="I19" i="11"/>
  <c r="J19" i="11"/>
  <c r="K19" i="11"/>
  <c r="D20" i="11"/>
  <c r="E20" i="11"/>
  <c r="F20" i="11"/>
  <c r="G20" i="11"/>
  <c r="H20" i="11"/>
  <c r="I20" i="11"/>
  <c r="J20" i="11"/>
  <c r="K20" i="11"/>
  <c r="D21" i="11"/>
  <c r="E21" i="11"/>
  <c r="F21" i="11"/>
  <c r="G21" i="11"/>
  <c r="H21" i="11"/>
  <c r="I21" i="11"/>
  <c r="J21" i="11"/>
  <c r="K21" i="11"/>
  <c r="D22" i="11"/>
  <c r="E22" i="11"/>
  <c r="F22" i="11"/>
  <c r="G22" i="11"/>
  <c r="H22" i="11"/>
  <c r="I22" i="11"/>
  <c r="J22" i="11"/>
  <c r="K22" i="11"/>
  <c r="D23" i="11"/>
  <c r="E23" i="11"/>
  <c r="F23" i="11"/>
  <c r="G23" i="11"/>
  <c r="H23" i="11"/>
  <c r="I23" i="11"/>
  <c r="J23" i="11"/>
  <c r="K23" i="11"/>
  <c r="D24" i="11"/>
  <c r="E24" i="11"/>
  <c r="F24" i="11"/>
  <c r="G24" i="11"/>
  <c r="H24" i="11"/>
  <c r="I24" i="11"/>
  <c r="J24" i="11"/>
  <c r="K24" i="11"/>
  <c r="D25" i="11"/>
  <c r="E25" i="11"/>
  <c r="F25" i="11"/>
  <c r="G25" i="11"/>
  <c r="H25" i="11"/>
  <c r="I25" i="11"/>
  <c r="J25" i="11"/>
  <c r="K25" i="11"/>
  <c r="D26" i="11"/>
  <c r="E26" i="11"/>
  <c r="F26" i="11"/>
  <c r="G26" i="11"/>
  <c r="H26" i="11"/>
  <c r="I26" i="11"/>
  <c r="J26" i="11"/>
  <c r="K26" i="11"/>
  <c r="D27" i="11"/>
  <c r="E27" i="11"/>
  <c r="F27" i="11"/>
  <c r="G27" i="11"/>
  <c r="H27" i="11"/>
  <c r="I27" i="11"/>
  <c r="J27" i="11"/>
  <c r="K27" i="11"/>
  <c r="D28" i="11"/>
  <c r="E28" i="11"/>
  <c r="F28" i="11"/>
  <c r="G28" i="11"/>
  <c r="H28" i="11"/>
  <c r="I28" i="11"/>
  <c r="J28" i="11"/>
  <c r="K28" i="11"/>
  <c r="D29" i="11"/>
  <c r="E29" i="11"/>
  <c r="F29" i="11"/>
  <c r="G29" i="11"/>
  <c r="H29" i="11"/>
  <c r="I29" i="11"/>
  <c r="J29" i="11"/>
  <c r="K29" i="11"/>
  <c r="D30" i="11"/>
  <c r="E30" i="11"/>
  <c r="F30" i="11"/>
  <c r="G30" i="11"/>
  <c r="H30" i="11"/>
  <c r="I30" i="11"/>
  <c r="J30" i="11"/>
  <c r="K30" i="11"/>
  <c r="D31" i="11"/>
  <c r="E31" i="11"/>
  <c r="F31" i="11"/>
  <c r="G31" i="11"/>
  <c r="H31" i="11"/>
  <c r="I31" i="11"/>
  <c r="J31" i="11"/>
  <c r="K31" i="11"/>
  <c r="D32" i="11"/>
  <c r="E32" i="11"/>
  <c r="F32" i="11"/>
  <c r="G32" i="11"/>
  <c r="H32" i="11"/>
  <c r="I32" i="11"/>
  <c r="J32" i="11"/>
  <c r="K32" i="11"/>
  <c r="D33" i="11"/>
  <c r="E33" i="11"/>
  <c r="F33" i="11"/>
  <c r="G33" i="11"/>
  <c r="H33" i="11"/>
  <c r="I33" i="11"/>
  <c r="J33" i="11"/>
  <c r="K33" i="11"/>
  <c r="D34" i="11"/>
  <c r="E34" i="11"/>
  <c r="F34" i="11"/>
  <c r="G34" i="11"/>
  <c r="H34" i="11"/>
  <c r="I34" i="11"/>
  <c r="J34" i="11"/>
  <c r="K34" i="11"/>
  <c r="D35" i="11"/>
  <c r="E35" i="11"/>
  <c r="F35" i="11"/>
  <c r="G35" i="11"/>
  <c r="H35" i="11"/>
  <c r="I35" i="11"/>
  <c r="J35" i="11"/>
  <c r="K35" i="11"/>
  <c r="D36" i="11"/>
  <c r="E36" i="11"/>
  <c r="F36" i="11"/>
  <c r="G36" i="11"/>
  <c r="H36" i="11"/>
  <c r="I36" i="11"/>
  <c r="J36" i="11"/>
  <c r="K36" i="11"/>
  <c r="D37" i="11"/>
  <c r="E37" i="11"/>
  <c r="F37" i="11"/>
  <c r="G37" i="11"/>
  <c r="H37" i="11"/>
  <c r="I37" i="11"/>
  <c r="J37" i="11"/>
  <c r="K37" i="11"/>
  <c r="D38" i="11"/>
  <c r="E38" i="11"/>
  <c r="F38" i="11"/>
  <c r="G38" i="11"/>
  <c r="H38" i="11"/>
  <c r="I38" i="11"/>
  <c r="J38" i="11"/>
  <c r="K38" i="11"/>
  <c r="D39" i="11"/>
  <c r="E39" i="11"/>
  <c r="F39" i="11"/>
  <c r="G39" i="11"/>
  <c r="H39" i="11"/>
  <c r="I39" i="11"/>
  <c r="J39" i="11"/>
  <c r="K39" i="11"/>
  <c r="D40" i="11"/>
  <c r="E40" i="11"/>
  <c r="F40" i="11"/>
  <c r="G40" i="11"/>
  <c r="H40" i="11"/>
  <c r="I40" i="11"/>
  <c r="J40" i="11"/>
  <c r="K40" i="11"/>
  <c r="D41" i="11"/>
  <c r="E41" i="11"/>
  <c r="F41" i="11"/>
  <c r="G41" i="11"/>
  <c r="H41" i="11"/>
  <c r="I41" i="11"/>
  <c r="J41" i="11"/>
  <c r="K41" i="11"/>
  <c r="D42" i="11"/>
  <c r="E42" i="11"/>
  <c r="F42" i="11"/>
  <c r="G42" i="11"/>
  <c r="H42" i="11"/>
  <c r="I42" i="11"/>
  <c r="J42" i="11"/>
  <c r="K42" i="11"/>
  <c r="D43" i="11"/>
  <c r="E43" i="11"/>
  <c r="F43" i="11"/>
  <c r="G43" i="11"/>
  <c r="H43" i="11"/>
  <c r="I43" i="11"/>
  <c r="J43" i="11"/>
  <c r="K43" i="11"/>
  <c r="D44" i="11"/>
  <c r="E44" i="11"/>
  <c r="F44" i="11"/>
  <c r="G44" i="11"/>
  <c r="H44" i="11"/>
  <c r="I44" i="11"/>
  <c r="J44" i="11"/>
  <c r="K44" i="11"/>
  <c r="D45" i="11"/>
  <c r="E45" i="11"/>
  <c r="F45" i="11"/>
  <c r="G45" i="11"/>
  <c r="H45" i="11"/>
  <c r="I45" i="11"/>
  <c r="J45" i="11"/>
  <c r="K45" i="11"/>
  <c r="D46" i="11"/>
  <c r="E46" i="11"/>
  <c r="F46" i="11"/>
  <c r="G46" i="11"/>
  <c r="H46" i="11"/>
  <c r="I46" i="11"/>
  <c r="J46" i="11"/>
  <c r="K46" i="11"/>
  <c r="D47" i="11"/>
  <c r="E47" i="11"/>
  <c r="F47" i="11"/>
  <c r="G47" i="11"/>
  <c r="H47" i="11"/>
  <c r="I47" i="11"/>
  <c r="J47" i="11"/>
  <c r="K47" i="11"/>
  <c r="D48" i="11"/>
  <c r="E48" i="11"/>
  <c r="F48" i="11"/>
  <c r="G48" i="11"/>
  <c r="H48" i="11"/>
  <c r="I48" i="11"/>
  <c r="J48" i="11"/>
  <c r="K48" i="11"/>
  <c r="D49" i="11"/>
  <c r="E49" i="11"/>
  <c r="F49" i="11"/>
  <c r="G49" i="11"/>
  <c r="H49" i="11"/>
  <c r="I49" i="11"/>
  <c r="J49" i="11"/>
  <c r="K49" i="11"/>
  <c r="D50" i="11"/>
  <c r="E50" i="11"/>
  <c r="F50" i="11"/>
  <c r="G50" i="11"/>
  <c r="H50" i="11"/>
  <c r="I50" i="11"/>
  <c r="J50" i="11"/>
  <c r="K50" i="11"/>
  <c r="D51" i="11"/>
  <c r="E51" i="11"/>
  <c r="F51" i="11"/>
  <c r="G51" i="11"/>
  <c r="H51" i="11"/>
  <c r="I51" i="11"/>
  <c r="J51" i="11"/>
  <c r="K51" i="11"/>
  <c r="D52" i="11"/>
  <c r="E52" i="11"/>
  <c r="F52" i="11"/>
  <c r="G52" i="11"/>
  <c r="H52" i="11"/>
  <c r="I52" i="11"/>
  <c r="J52" i="11"/>
  <c r="K52" i="11"/>
  <c r="D53" i="11"/>
  <c r="E53" i="11"/>
  <c r="F53" i="11"/>
  <c r="G53" i="11"/>
  <c r="H53" i="11"/>
  <c r="I53" i="11"/>
  <c r="J53" i="11"/>
  <c r="K53" i="11"/>
  <c r="D54" i="11"/>
  <c r="E54" i="11"/>
  <c r="F54" i="11"/>
  <c r="G54" i="11"/>
  <c r="H54" i="11"/>
  <c r="I54" i="11"/>
  <c r="J54" i="11"/>
  <c r="K54" i="11"/>
  <c r="D55" i="11"/>
  <c r="E55" i="11"/>
  <c r="F55" i="11"/>
  <c r="G55" i="11"/>
  <c r="H55" i="11"/>
  <c r="I55" i="11"/>
  <c r="J55" i="11"/>
  <c r="K55" i="11"/>
  <c r="D56" i="11"/>
  <c r="E56" i="11"/>
  <c r="F56" i="11"/>
  <c r="G56" i="11"/>
  <c r="H56" i="11"/>
  <c r="I56" i="11"/>
  <c r="J56" i="11"/>
  <c r="K56" i="11"/>
  <c r="D57" i="11"/>
  <c r="E57" i="11"/>
  <c r="F57" i="11"/>
  <c r="G57" i="11"/>
  <c r="H57" i="11"/>
  <c r="I57" i="11"/>
  <c r="J57" i="11"/>
  <c r="K57" i="11"/>
  <c r="D58" i="11"/>
  <c r="E58" i="11"/>
  <c r="F58" i="11"/>
  <c r="G58" i="11"/>
  <c r="H58" i="11"/>
  <c r="I58" i="11"/>
  <c r="J58" i="11"/>
  <c r="K58" i="11"/>
  <c r="D59" i="11"/>
  <c r="E59" i="11"/>
  <c r="F59" i="11"/>
  <c r="G59" i="11"/>
  <c r="H59" i="11"/>
  <c r="I59" i="11"/>
  <c r="J59" i="11"/>
  <c r="K59" i="11"/>
  <c r="D60" i="11"/>
  <c r="E60" i="11"/>
  <c r="F60" i="11"/>
  <c r="G60" i="11"/>
  <c r="H60" i="11"/>
  <c r="I60" i="11"/>
  <c r="J60" i="11"/>
  <c r="K60" i="11"/>
  <c r="D61" i="11"/>
  <c r="E61" i="11"/>
  <c r="F61" i="11"/>
  <c r="G61" i="11"/>
  <c r="H61" i="11"/>
  <c r="I61" i="11"/>
  <c r="J61" i="11"/>
  <c r="K61" i="11"/>
  <c r="D62" i="11"/>
  <c r="E62" i="11"/>
  <c r="F62" i="11"/>
  <c r="G62" i="11"/>
  <c r="H62" i="11"/>
  <c r="I62" i="11"/>
  <c r="J62" i="11"/>
  <c r="K62" i="11"/>
  <c r="D63" i="11"/>
  <c r="E63" i="11"/>
  <c r="F63" i="11"/>
  <c r="G63" i="11"/>
  <c r="H63" i="11"/>
  <c r="I63" i="11"/>
  <c r="J63" i="11"/>
  <c r="K63" i="11"/>
  <c r="D64" i="11"/>
  <c r="E64" i="11"/>
  <c r="F64" i="11"/>
  <c r="G64" i="11"/>
  <c r="H64" i="11"/>
  <c r="I64" i="11"/>
  <c r="J64" i="11"/>
  <c r="K64" i="11"/>
  <c r="D65" i="11"/>
  <c r="E65" i="11"/>
  <c r="F65" i="11"/>
  <c r="G65" i="11"/>
  <c r="H65" i="11"/>
  <c r="I65" i="11"/>
  <c r="J65" i="11"/>
  <c r="K65" i="11"/>
  <c r="D66" i="11"/>
  <c r="E66" i="11"/>
  <c r="F66" i="11"/>
  <c r="G66" i="11"/>
  <c r="H66" i="11"/>
  <c r="I66" i="11"/>
  <c r="J66" i="11"/>
  <c r="K66" i="11"/>
  <c r="D67" i="11"/>
  <c r="E67" i="11"/>
  <c r="F67" i="11"/>
  <c r="G67" i="11"/>
  <c r="H67" i="11"/>
  <c r="I67" i="11"/>
  <c r="J67" i="11"/>
  <c r="K67" i="11"/>
  <c r="D68" i="11"/>
  <c r="E68" i="11"/>
  <c r="F68" i="11"/>
  <c r="G68" i="11"/>
  <c r="H68" i="11"/>
  <c r="I68" i="11"/>
  <c r="J68" i="11"/>
  <c r="K68" i="11"/>
  <c r="D69" i="11"/>
  <c r="E69" i="11"/>
  <c r="F69" i="11"/>
  <c r="G69" i="11"/>
  <c r="H69" i="11"/>
  <c r="I69" i="11"/>
  <c r="J69" i="11"/>
  <c r="K69" i="11"/>
  <c r="D70" i="11"/>
  <c r="E70" i="11"/>
  <c r="F70" i="11"/>
  <c r="G70" i="11"/>
  <c r="H70" i="11"/>
  <c r="I70" i="11"/>
  <c r="J70" i="11"/>
  <c r="K70" i="11"/>
  <c r="D71" i="11"/>
  <c r="E71" i="11"/>
  <c r="F71" i="11"/>
  <c r="G71" i="11"/>
  <c r="H71" i="11"/>
  <c r="I71" i="11"/>
  <c r="J71" i="11"/>
  <c r="K71" i="11"/>
  <c r="D72" i="11"/>
  <c r="E72" i="11"/>
  <c r="F72" i="11"/>
  <c r="G72" i="11"/>
  <c r="H72" i="11"/>
  <c r="I72" i="11"/>
  <c r="J72" i="11"/>
  <c r="K72" i="11"/>
  <c r="D73" i="11"/>
  <c r="E73" i="11"/>
  <c r="F73" i="11"/>
  <c r="G73" i="11"/>
  <c r="H73" i="11"/>
  <c r="I73" i="11"/>
  <c r="J73" i="11"/>
  <c r="K73" i="11"/>
  <c r="D74" i="11"/>
  <c r="E74" i="11"/>
  <c r="F74" i="11"/>
  <c r="G74" i="11"/>
  <c r="H74" i="11"/>
  <c r="I74" i="11"/>
  <c r="J74" i="11"/>
  <c r="K74" i="11"/>
  <c r="D75" i="11"/>
  <c r="E75" i="11"/>
  <c r="F75" i="11"/>
  <c r="G75" i="11"/>
  <c r="H75" i="11"/>
  <c r="I75" i="11"/>
  <c r="J75" i="11"/>
  <c r="K75" i="11"/>
  <c r="D76" i="11"/>
  <c r="E76" i="11"/>
  <c r="F76" i="11"/>
  <c r="G76" i="11"/>
  <c r="H76" i="11"/>
  <c r="I76" i="11"/>
  <c r="J76" i="11"/>
  <c r="K76" i="11"/>
  <c r="D77" i="11"/>
  <c r="E77" i="11"/>
  <c r="F77" i="11"/>
  <c r="G77" i="11"/>
  <c r="H77" i="11"/>
  <c r="I77" i="11"/>
  <c r="J77" i="11"/>
  <c r="K77" i="11"/>
  <c r="D78" i="11"/>
  <c r="E78" i="11"/>
  <c r="F78" i="11"/>
  <c r="G78" i="11"/>
  <c r="H78" i="11"/>
  <c r="I78" i="11"/>
  <c r="J78" i="11"/>
  <c r="K78" i="11"/>
  <c r="D79" i="11"/>
  <c r="E79" i="11"/>
  <c r="F79" i="11"/>
  <c r="G79" i="11"/>
  <c r="H79" i="11"/>
  <c r="I79" i="11"/>
  <c r="J79" i="11"/>
  <c r="K79" i="11"/>
  <c r="D80" i="11"/>
  <c r="E80" i="11"/>
  <c r="F80" i="11"/>
  <c r="G80" i="11"/>
  <c r="H80" i="11"/>
  <c r="I80" i="11"/>
  <c r="J80" i="11"/>
  <c r="K80" i="11"/>
  <c r="D81" i="11"/>
  <c r="E81" i="11"/>
  <c r="F81" i="11"/>
  <c r="G81" i="11"/>
  <c r="H81" i="11"/>
  <c r="I81" i="11"/>
  <c r="J81" i="11"/>
  <c r="K81" i="11"/>
  <c r="D82" i="11"/>
  <c r="E82" i="11"/>
  <c r="F82" i="11"/>
  <c r="G82" i="11"/>
  <c r="H82" i="11"/>
  <c r="I82" i="11"/>
  <c r="J82" i="11"/>
  <c r="K82" i="11"/>
  <c r="D83" i="11"/>
  <c r="E83" i="11"/>
  <c r="F83" i="11"/>
  <c r="G83" i="11"/>
  <c r="H83" i="11"/>
  <c r="I83" i="11"/>
  <c r="J83" i="11"/>
  <c r="K83" i="11"/>
  <c r="D84" i="11"/>
  <c r="E84" i="11"/>
  <c r="F84" i="11"/>
  <c r="G84" i="11"/>
  <c r="H84" i="11"/>
  <c r="I84" i="11"/>
  <c r="J84" i="11"/>
  <c r="K84" i="11"/>
  <c r="D85" i="11"/>
  <c r="E85" i="11"/>
  <c r="F85" i="11"/>
  <c r="G85" i="11"/>
  <c r="H85" i="11"/>
  <c r="I85" i="11"/>
  <c r="J85" i="11"/>
  <c r="K85" i="11"/>
  <c r="D86" i="11"/>
  <c r="E86" i="11"/>
  <c r="F86" i="11"/>
  <c r="G86" i="11"/>
  <c r="H86" i="11"/>
  <c r="I86" i="11"/>
  <c r="J86" i="11"/>
  <c r="K86" i="11"/>
  <c r="D87" i="11"/>
  <c r="E87" i="11"/>
  <c r="F87" i="11"/>
  <c r="G87" i="11"/>
  <c r="H87" i="11"/>
  <c r="I87" i="11"/>
  <c r="J87" i="11"/>
  <c r="K87" i="11"/>
  <c r="D88" i="11"/>
  <c r="E88" i="11"/>
  <c r="F88" i="11"/>
  <c r="G88" i="11"/>
  <c r="H88" i="11"/>
  <c r="I88" i="11"/>
  <c r="J88" i="11"/>
  <c r="K88" i="11"/>
  <c r="D89" i="11"/>
  <c r="E89" i="11"/>
  <c r="F89" i="11"/>
  <c r="G89" i="11"/>
  <c r="H89" i="11"/>
  <c r="I89" i="11"/>
  <c r="J89" i="11"/>
  <c r="K89" i="11"/>
  <c r="D90" i="11"/>
  <c r="E90" i="11"/>
  <c r="F90" i="11"/>
  <c r="G90" i="11"/>
  <c r="H90" i="11"/>
  <c r="I90" i="11"/>
  <c r="J90" i="11"/>
  <c r="K90" i="11"/>
  <c r="D91" i="11"/>
  <c r="E91" i="11"/>
  <c r="F91" i="11"/>
  <c r="G91" i="11"/>
  <c r="H91" i="11"/>
  <c r="I91" i="11"/>
  <c r="J91" i="11"/>
  <c r="K91" i="11"/>
  <c r="D92" i="11"/>
  <c r="E92" i="11"/>
  <c r="F92" i="11"/>
  <c r="G92" i="11"/>
  <c r="H92" i="11"/>
  <c r="I92" i="11"/>
  <c r="J92" i="11"/>
  <c r="K92" i="11"/>
  <c r="D93" i="11"/>
  <c r="E93" i="11"/>
  <c r="F93" i="11"/>
  <c r="G93" i="11"/>
  <c r="H93" i="11"/>
  <c r="I93" i="11"/>
  <c r="J93" i="11"/>
  <c r="K93" i="11"/>
  <c r="D94" i="11"/>
  <c r="E94" i="11"/>
  <c r="F94" i="11"/>
  <c r="G94" i="11"/>
  <c r="H94" i="11"/>
  <c r="I94" i="11"/>
  <c r="J94" i="11"/>
  <c r="K94" i="11"/>
  <c r="D95" i="11"/>
  <c r="E95" i="11"/>
  <c r="F95" i="11"/>
  <c r="G95" i="11"/>
  <c r="H95" i="11"/>
  <c r="I95" i="11"/>
  <c r="J95" i="11"/>
  <c r="K95" i="11"/>
  <c r="D96" i="11"/>
  <c r="E96" i="11"/>
  <c r="F96" i="11"/>
  <c r="G96" i="11"/>
  <c r="H96" i="11"/>
  <c r="I96" i="11"/>
  <c r="J96" i="11"/>
  <c r="K96" i="11"/>
  <c r="D97" i="11"/>
  <c r="E97" i="11"/>
  <c r="F97" i="11"/>
  <c r="G97" i="11"/>
  <c r="H97" i="11"/>
  <c r="I97" i="11"/>
  <c r="J97" i="11"/>
  <c r="K97" i="11"/>
  <c r="D98" i="11"/>
  <c r="E98" i="11"/>
  <c r="F98" i="11"/>
  <c r="G98" i="11"/>
  <c r="H98" i="11"/>
  <c r="I98" i="11"/>
  <c r="J98" i="11"/>
  <c r="K98" i="11"/>
  <c r="D99" i="11"/>
  <c r="E99" i="11"/>
  <c r="F99" i="11"/>
  <c r="G99" i="11"/>
  <c r="H99" i="11"/>
  <c r="I99" i="11"/>
  <c r="J99" i="11"/>
  <c r="K99" i="11"/>
  <c r="D100" i="11"/>
  <c r="E100" i="11"/>
  <c r="F100" i="11"/>
  <c r="G100" i="11"/>
  <c r="H100" i="11"/>
  <c r="I100" i="11"/>
  <c r="J100" i="11"/>
  <c r="K100" i="11"/>
  <c r="D101" i="11"/>
  <c r="E101" i="11"/>
  <c r="F101" i="11"/>
  <c r="G101" i="11"/>
  <c r="H101" i="11"/>
  <c r="I101" i="11"/>
  <c r="J101" i="11"/>
  <c r="K101" i="11"/>
  <c r="D102" i="11"/>
  <c r="E102" i="11"/>
  <c r="F102" i="11"/>
  <c r="G102" i="11"/>
  <c r="H102" i="11"/>
  <c r="I102" i="11"/>
  <c r="J102" i="11"/>
  <c r="K102" i="11"/>
  <c r="D103" i="11"/>
  <c r="E103" i="11"/>
  <c r="F103" i="11"/>
  <c r="G103" i="11"/>
  <c r="H103" i="11"/>
  <c r="I103" i="11"/>
  <c r="J103" i="11"/>
  <c r="K103" i="11"/>
  <c r="D104" i="11"/>
  <c r="E104" i="11"/>
  <c r="F104" i="11"/>
  <c r="G104" i="11"/>
  <c r="H104" i="11"/>
  <c r="I104" i="11"/>
  <c r="J104" i="11"/>
  <c r="K104" i="11"/>
  <c r="D105" i="11"/>
  <c r="E105" i="11"/>
  <c r="F105" i="11"/>
  <c r="G105" i="11"/>
  <c r="H105" i="11"/>
  <c r="I105" i="11"/>
  <c r="J105" i="11"/>
  <c r="K105" i="11"/>
  <c r="D106" i="11"/>
  <c r="E106" i="11"/>
  <c r="F106" i="11"/>
  <c r="G106" i="11"/>
  <c r="H106" i="11"/>
  <c r="I106" i="11"/>
  <c r="J106" i="11"/>
  <c r="K106" i="11"/>
  <c r="D107" i="11"/>
  <c r="E107" i="11"/>
  <c r="F107" i="11"/>
  <c r="G107" i="11"/>
  <c r="H107" i="11"/>
  <c r="I107" i="11"/>
  <c r="J107" i="11"/>
  <c r="K107" i="11"/>
  <c r="D108" i="11"/>
  <c r="E108" i="11"/>
  <c r="F108" i="11"/>
  <c r="G108" i="11"/>
  <c r="H108" i="11"/>
  <c r="I108" i="11"/>
  <c r="J108" i="11"/>
  <c r="K108" i="11"/>
  <c r="D109" i="11"/>
  <c r="E109" i="11"/>
  <c r="F109" i="11"/>
  <c r="G109" i="11"/>
  <c r="H109" i="11"/>
  <c r="I109" i="11"/>
  <c r="J109" i="11"/>
  <c r="K109" i="11"/>
  <c r="D110" i="11"/>
  <c r="E110" i="11"/>
  <c r="F110" i="11"/>
  <c r="G110" i="11"/>
  <c r="H110" i="11"/>
  <c r="I110" i="11"/>
  <c r="J110" i="11"/>
  <c r="K110" i="11"/>
  <c r="D111" i="11"/>
  <c r="E111" i="11"/>
  <c r="F111" i="11"/>
  <c r="G111" i="11"/>
  <c r="H111" i="11"/>
  <c r="I111" i="11"/>
  <c r="J111" i="11"/>
  <c r="K111" i="11"/>
  <c r="D112" i="11"/>
  <c r="E112" i="11"/>
  <c r="F112" i="11"/>
  <c r="G112" i="11"/>
  <c r="H112" i="11"/>
  <c r="I112" i="11"/>
  <c r="J112" i="11"/>
  <c r="K112" i="11"/>
  <c r="D113" i="11"/>
  <c r="E113" i="11"/>
  <c r="F113" i="11"/>
  <c r="G113" i="11"/>
  <c r="H113" i="11"/>
  <c r="I113" i="11"/>
  <c r="J113" i="11"/>
  <c r="K113" i="11"/>
  <c r="D114" i="11"/>
  <c r="E114" i="11"/>
  <c r="F114" i="11"/>
  <c r="G114" i="11"/>
  <c r="H114" i="11"/>
  <c r="I114" i="11"/>
  <c r="J114" i="11"/>
  <c r="K114" i="11"/>
  <c r="D115" i="11"/>
  <c r="E115" i="11"/>
  <c r="F115" i="11"/>
  <c r="G115" i="11"/>
  <c r="H115" i="11"/>
  <c r="I115" i="11"/>
  <c r="J115" i="11"/>
  <c r="K115" i="11"/>
  <c r="D116" i="11"/>
  <c r="E116" i="11"/>
  <c r="F116" i="11"/>
  <c r="G116" i="11"/>
  <c r="H116" i="11"/>
  <c r="I116" i="11"/>
  <c r="J116" i="11"/>
  <c r="K116" i="11"/>
  <c r="D117" i="11"/>
  <c r="E117" i="11"/>
  <c r="F117" i="11"/>
  <c r="G117" i="11"/>
  <c r="H117" i="11"/>
  <c r="I117" i="11"/>
  <c r="J117" i="11"/>
  <c r="K117" i="11"/>
  <c r="D118" i="11"/>
  <c r="E118" i="11"/>
  <c r="F118" i="11"/>
  <c r="G118" i="11"/>
  <c r="H118" i="11"/>
  <c r="I118" i="11"/>
  <c r="J118" i="11"/>
  <c r="K118" i="11"/>
  <c r="D119" i="11"/>
  <c r="E119" i="11"/>
  <c r="F119" i="11"/>
  <c r="G119" i="11"/>
  <c r="H119" i="11"/>
  <c r="I119" i="11"/>
  <c r="J119" i="11"/>
  <c r="K119" i="11"/>
  <c r="D120" i="11"/>
  <c r="E120" i="11"/>
  <c r="F120" i="11"/>
  <c r="G120" i="11"/>
  <c r="H120" i="11"/>
  <c r="I120" i="11"/>
  <c r="J120" i="11"/>
  <c r="K120" i="11"/>
  <c r="D121" i="11"/>
  <c r="E121" i="11"/>
  <c r="F121" i="11"/>
  <c r="G121" i="11"/>
  <c r="H121" i="11"/>
  <c r="I121" i="11"/>
  <c r="J121" i="11"/>
  <c r="K121" i="11"/>
  <c r="D122" i="11"/>
  <c r="E122" i="11"/>
  <c r="F122" i="11"/>
  <c r="G122" i="11"/>
  <c r="H122" i="11"/>
  <c r="I122" i="11"/>
  <c r="J122" i="11"/>
  <c r="K122" i="11"/>
  <c r="D123" i="11"/>
  <c r="E123" i="11"/>
  <c r="F123" i="11"/>
  <c r="G123" i="11"/>
  <c r="H123" i="11"/>
  <c r="I123" i="11"/>
  <c r="J123" i="11"/>
  <c r="K123" i="11"/>
  <c r="D124" i="11"/>
  <c r="E124" i="11"/>
  <c r="F124" i="11"/>
  <c r="G124" i="11"/>
  <c r="H124" i="11"/>
  <c r="I124" i="11"/>
  <c r="J124" i="11"/>
  <c r="K124" i="11"/>
  <c r="D125" i="11"/>
  <c r="E125" i="11"/>
  <c r="F125" i="11"/>
  <c r="G125" i="11"/>
  <c r="H125" i="11"/>
  <c r="I125" i="11"/>
  <c r="J125" i="11"/>
  <c r="K125" i="11"/>
  <c r="D126" i="11"/>
  <c r="E126" i="11"/>
  <c r="F126" i="11"/>
  <c r="G126" i="11"/>
  <c r="H126" i="11"/>
  <c r="I126" i="11"/>
  <c r="J126" i="11"/>
  <c r="K126" i="11"/>
  <c r="D127" i="11"/>
  <c r="E127" i="11"/>
  <c r="F127" i="11"/>
  <c r="G127" i="11"/>
  <c r="H127" i="11"/>
  <c r="I127" i="11"/>
  <c r="J127" i="11"/>
  <c r="K127" i="11"/>
  <c r="D128" i="11"/>
  <c r="E128" i="11"/>
  <c r="F128" i="11"/>
  <c r="G128" i="11"/>
  <c r="H128" i="11"/>
  <c r="I128" i="11"/>
  <c r="J128" i="11"/>
  <c r="K128" i="11"/>
  <c r="D129" i="11"/>
  <c r="E129" i="11"/>
  <c r="F129" i="11"/>
  <c r="G129" i="11"/>
  <c r="H129" i="11"/>
  <c r="I129" i="11"/>
  <c r="J129" i="11"/>
  <c r="K129" i="11"/>
  <c r="D130" i="11"/>
  <c r="E130" i="11"/>
  <c r="F130" i="11"/>
  <c r="G130" i="11"/>
  <c r="H130" i="11"/>
  <c r="I130" i="11"/>
  <c r="J130" i="11"/>
  <c r="K130" i="11"/>
  <c r="D131" i="11"/>
  <c r="E131" i="11"/>
  <c r="F131" i="11"/>
  <c r="G131" i="11"/>
  <c r="H131" i="11"/>
  <c r="I131" i="11"/>
  <c r="J131" i="11"/>
  <c r="K131" i="11"/>
  <c r="D132" i="11"/>
  <c r="E132" i="11"/>
  <c r="F132" i="11"/>
  <c r="G132" i="11"/>
  <c r="H132" i="11"/>
  <c r="I132" i="11"/>
  <c r="J132" i="11"/>
  <c r="K132" i="11"/>
  <c r="D133" i="11"/>
  <c r="E133" i="11"/>
  <c r="F133" i="11"/>
  <c r="G133" i="11"/>
  <c r="H133" i="11"/>
  <c r="I133" i="11"/>
  <c r="J133" i="11"/>
  <c r="K133" i="11"/>
  <c r="D134" i="11"/>
  <c r="E134" i="11"/>
  <c r="F134" i="11"/>
  <c r="G134" i="11"/>
  <c r="H134" i="11"/>
  <c r="I134" i="11"/>
  <c r="J134" i="11"/>
  <c r="K134" i="11"/>
  <c r="D135" i="11"/>
  <c r="E135" i="11"/>
  <c r="F135" i="11"/>
  <c r="G135" i="11"/>
  <c r="H135" i="11"/>
  <c r="I135" i="11"/>
  <c r="J135" i="11"/>
  <c r="K135" i="11"/>
  <c r="D136" i="11"/>
  <c r="E136" i="11"/>
  <c r="F136" i="11"/>
  <c r="G136" i="11"/>
  <c r="H136" i="11"/>
  <c r="I136" i="11"/>
  <c r="J136" i="11"/>
  <c r="K136" i="11"/>
  <c r="D137" i="11"/>
  <c r="E137" i="11"/>
  <c r="F137" i="11"/>
  <c r="G137" i="11"/>
  <c r="H137" i="11"/>
  <c r="I137" i="11"/>
  <c r="J137" i="11"/>
  <c r="K137" i="11"/>
  <c r="D138" i="11"/>
  <c r="E138" i="11"/>
  <c r="F138" i="11"/>
  <c r="G138" i="11"/>
  <c r="H138" i="11"/>
  <c r="I138" i="11"/>
  <c r="J138" i="11"/>
  <c r="K138" i="11"/>
  <c r="D139" i="11"/>
  <c r="E139" i="11"/>
  <c r="F139" i="11"/>
  <c r="G139" i="11"/>
  <c r="H139" i="11"/>
  <c r="I139" i="11"/>
  <c r="J139" i="11"/>
  <c r="K139" i="11"/>
  <c r="D140" i="11"/>
  <c r="E140" i="11"/>
  <c r="F140" i="11"/>
  <c r="G140" i="11"/>
  <c r="H140" i="11"/>
  <c r="I140" i="11"/>
  <c r="J140" i="11"/>
  <c r="K140" i="11"/>
  <c r="D141" i="11"/>
  <c r="E141" i="11"/>
  <c r="F141" i="11"/>
  <c r="G141" i="11"/>
  <c r="H141" i="11"/>
  <c r="I141" i="11"/>
  <c r="J141" i="11"/>
  <c r="K141" i="11"/>
  <c r="D142" i="11"/>
  <c r="E142" i="11"/>
  <c r="F142" i="11"/>
  <c r="G142" i="11"/>
  <c r="H142" i="11"/>
  <c r="I142" i="11"/>
  <c r="J142" i="11"/>
  <c r="K142" i="11"/>
  <c r="D143" i="11"/>
  <c r="E143" i="11"/>
  <c r="F143" i="11"/>
  <c r="G143" i="11"/>
  <c r="H143" i="11"/>
  <c r="I143" i="11"/>
  <c r="J143" i="11"/>
  <c r="K143" i="11"/>
  <c r="D144" i="11"/>
  <c r="E144" i="11"/>
  <c r="F144" i="11"/>
  <c r="G144" i="11"/>
  <c r="H144" i="11"/>
  <c r="I144" i="11"/>
  <c r="J144" i="11"/>
  <c r="K144" i="11"/>
  <c r="D145" i="11"/>
  <c r="E145" i="11"/>
  <c r="F145" i="11"/>
  <c r="G145" i="11"/>
  <c r="H145" i="11"/>
  <c r="I145" i="11"/>
  <c r="J145" i="11"/>
  <c r="K145" i="11"/>
  <c r="D146" i="11"/>
  <c r="E146" i="11"/>
  <c r="F146" i="11"/>
  <c r="G146" i="11"/>
  <c r="H146" i="11"/>
  <c r="I146" i="11"/>
  <c r="J146" i="11"/>
  <c r="K146" i="11"/>
  <c r="D147" i="11"/>
  <c r="E147" i="11"/>
  <c r="F147" i="11"/>
  <c r="G147" i="11"/>
  <c r="H147" i="11"/>
  <c r="I147" i="11"/>
  <c r="J147" i="11"/>
  <c r="K147" i="11"/>
  <c r="D148" i="11"/>
  <c r="E148" i="11"/>
  <c r="F148" i="11"/>
  <c r="G148" i="11"/>
  <c r="H148" i="11"/>
  <c r="I148" i="11"/>
  <c r="J148" i="11"/>
  <c r="K148" i="11"/>
  <c r="D149" i="11"/>
  <c r="E149" i="11"/>
  <c r="F149" i="11"/>
  <c r="G149" i="11"/>
  <c r="H149" i="11"/>
  <c r="I149" i="11"/>
  <c r="J149" i="11"/>
  <c r="K149" i="11"/>
  <c r="D150" i="11"/>
  <c r="E150" i="11"/>
  <c r="F150" i="11"/>
  <c r="G150" i="11"/>
  <c r="H150" i="11"/>
  <c r="I150" i="11"/>
  <c r="J150" i="11"/>
  <c r="K150" i="11"/>
  <c r="D151" i="11"/>
  <c r="E151" i="11"/>
  <c r="F151" i="11"/>
  <c r="G151" i="11"/>
  <c r="H151" i="11"/>
  <c r="I151" i="11"/>
  <c r="J151" i="11"/>
  <c r="K151" i="11"/>
  <c r="D152" i="11"/>
  <c r="E152" i="11"/>
  <c r="F152" i="11"/>
  <c r="G152" i="11"/>
  <c r="H152" i="11"/>
  <c r="I152" i="11"/>
  <c r="J152" i="11"/>
  <c r="K152" i="11"/>
  <c r="D153" i="11"/>
  <c r="E153" i="11"/>
  <c r="F153" i="11"/>
  <c r="G153" i="11"/>
  <c r="H153" i="11"/>
  <c r="I153" i="11"/>
  <c r="J153" i="11"/>
  <c r="K153" i="11"/>
  <c r="D154" i="11"/>
  <c r="E154" i="11"/>
  <c r="F154" i="11"/>
  <c r="G154" i="11"/>
  <c r="H154" i="11"/>
  <c r="I154" i="11"/>
  <c r="J154" i="11"/>
  <c r="K154" i="11"/>
  <c r="D155" i="11"/>
  <c r="E155" i="11"/>
  <c r="F155" i="11"/>
  <c r="G155" i="11"/>
  <c r="H155" i="11"/>
  <c r="I155" i="11"/>
  <c r="J155" i="11"/>
  <c r="K155" i="11"/>
  <c r="D156" i="11"/>
  <c r="E156" i="11"/>
  <c r="F156" i="11"/>
  <c r="G156" i="11"/>
  <c r="H156" i="11"/>
  <c r="I156" i="11"/>
  <c r="J156" i="11"/>
  <c r="K156" i="11"/>
  <c r="D157" i="11"/>
  <c r="E157" i="11"/>
  <c r="F157" i="11"/>
  <c r="G157" i="11"/>
  <c r="H157" i="11"/>
  <c r="I157" i="11"/>
  <c r="J157" i="11"/>
  <c r="K157" i="11"/>
  <c r="D158" i="11"/>
  <c r="E158" i="11"/>
  <c r="F158" i="11"/>
  <c r="G158" i="11"/>
  <c r="H158" i="11"/>
  <c r="I158" i="11"/>
  <c r="J158" i="11"/>
  <c r="K158" i="11"/>
  <c r="D159" i="11"/>
  <c r="E159" i="11"/>
  <c r="F159" i="11"/>
  <c r="G159" i="11"/>
  <c r="H159" i="11"/>
  <c r="I159" i="11"/>
  <c r="J159" i="11"/>
  <c r="K159" i="11"/>
  <c r="D160" i="11"/>
  <c r="E160" i="11"/>
  <c r="F160" i="11"/>
  <c r="G160" i="11"/>
  <c r="H160" i="11"/>
  <c r="I160" i="11"/>
  <c r="J160" i="11"/>
  <c r="K160" i="11"/>
  <c r="D161" i="11"/>
  <c r="E161" i="11"/>
  <c r="F161" i="11"/>
  <c r="G161" i="11"/>
  <c r="H161" i="11"/>
  <c r="I161" i="11"/>
  <c r="J161" i="11"/>
  <c r="K161" i="11"/>
  <c r="D162" i="11"/>
  <c r="E162" i="11"/>
  <c r="F162" i="11"/>
  <c r="G162" i="11"/>
  <c r="H162" i="11"/>
  <c r="I162" i="11"/>
  <c r="J162" i="11"/>
  <c r="K162" i="11"/>
  <c r="D163" i="11"/>
  <c r="E163" i="11"/>
  <c r="F163" i="11"/>
  <c r="G163" i="11"/>
  <c r="H163" i="11"/>
  <c r="I163" i="11"/>
  <c r="J163" i="11"/>
  <c r="K163" i="11"/>
  <c r="D164" i="11"/>
  <c r="E164" i="11"/>
  <c r="F164" i="11"/>
  <c r="G164" i="11"/>
  <c r="H164" i="11"/>
  <c r="I164" i="11"/>
  <c r="J164" i="11"/>
  <c r="K164" i="11"/>
  <c r="D165" i="11"/>
  <c r="E165" i="11"/>
  <c r="F165" i="11"/>
  <c r="G165" i="11"/>
  <c r="H165" i="11"/>
  <c r="I165" i="11"/>
  <c r="J165" i="11"/>
  <c r="K165" i="11"/>
  <c r="D166" i="11"/>
  <c r="E166" i="11"/>
  <c r="F166" i="11"/>
  <c r="G166" i="11"/>
  <c r="H166" i="11"/>
  <c r="I166" i="11"/>
  <c r="J166" i="11"/>
  <c r="K166" i="11"/>
  <c r="D167" i="11"/>
  <c r="E167" i="11"/>
  <c r="F167" i="11"/>
  <c r="G167" i="11"/>
  <c r="H167" i="11"/>
  <c r="I167" i="11"/>
  <c r="J167" i="11"/>
  <c r="K167" i="11"/>
  <c r="D168" i="11"/>
  <c r="E168" i="11"/>
  <c r="F168" i="11"/>
  <c r="G168" i="11"/>
  <c r="H168" i="11"/>
  <c r="I168" i="11"/>
  <c r="J168" i="11"/>
  <c r="K168" i="11"/>
  <c r="D169" i="11"/>
  <c r="E169" i="11"/>
  <c r="F169" i="11"/>
  <c r="G169" i="11"/>
  <c r="H169" i="11"/>
  <c r="I169" i="11"/>
  <c r="J169" i="11"/>
  <c r="K169" i="11"/>
  <c r="D170" i="11"/>
  <c r="E170" i="11"/>
  <c r="F170" i="11"/>
  <c r="G170" i="11"/>
  <c r="H170" i="11"/>
  <c r="I170" i="11"/>
  <c r="J170" i="11"/>
  <c r="K170" i="11"/>
  <c r="D171" i="11"/>
  <c r="E171" i="11"/>
  <c r="F171" i="11"/>
  <c r="G171" i="11"/>
  <c r="H171" i="11"/>
  <c r="I171" i="11"/>
  <c r="J171" i="11"/>
  <c r="K171" i="11"/>
  <c r="D172" i="11"/>
  <c r="E172" i="11"/>
  <c r="F172" i="11"/>
  <c r="G172" i="11"/>
  <c r="H172" i="11"/>
  <c r="I172" i="11"/>
  <c r="J172" i="11"/>
  <c r="K172" i="11"/>
  <c r="D173" i="11"/>
  <c r="E173" i="11"/>
  <c r="F173" i="11"/>
  <c r="G173" i="11"/>
  <c r="H173" i="11"/>
  <c r="I173" i="11"/>
  <c r="J173" i="11"/>
  <c r="K173" i="11"/>
  <c r="D174" i="11"/>
  <c r="E174" i="11"/>
  <c r="F174" i="11"/>
  <c r="G174" i="11"/>
  <c r="H174" i="11"/>
  <c r="I174" i="11"/>
  <c r="J174" i="11"/>
  <c r="K174" i="11"/>
  <c r="D175" i="11"/>
  <c r="E175" i="11"/>
  <c r="F175" i="11"/>
  <c r="G175" i="11"/>
  <c r="H175" i="11"/>
  <c r="I175" i="11"/>
  <c r="J175" i="11"/>
  <c r="K175" i="11"/>
  <c r="D176" i="11"/>
  <c r="E176" i="11"/>
  <c r="F176" i="11"/>
  <c r="G176" i="11"/>
  <c r="H176" i="11"/>
  <c r="I176" i="11"/>
  <c r="J176" i="11"/>
  <c r="K176" i="11"/>
  <c r="D177" i="11"/>
  <c r="E177" i="11"/>
  <c r="F177" i="11"/>
  <c r="G177" i="11"/>
  <c r="H177" i="11"/>
  <c r="I177" i="11"/>
  <c r="J177" i="11"/>
  <c r="K177" i="11"/>
  <c r="D178" i="11"/>
  <c r="E178" i="11"/>
  <c r="F178" i="11"/>
  <c r="G178" i="11"/>
  <c r="H178" i="11"/>
  <c r="I178" i="11"/>
  <c r="J178" i="11"/>
  <c r="K178" i="11"/>
  <c r="D179" i="11"/>
  <c r="E179" i="11"/>
  <c r="F179" i="11"/>
  <c r="G179" i="11"/>
  <c r="H179" i="11"/>
  <c r="I179" i="11"/>
  <c r="J179" i="11"/>
  <c r="K179" i="11"/>
  <c r="D180" i="11"/>
  <c r="E180" i="11"/>
  <c r="F180" i="11"/>
  <c r="G180" i="11"/>
  <c r="H180" i="11"/>
  <c r="I180" i="11"/>
  <c r="J180" i="11"/>
  <c r="K180" i="11"/>
  <c r="D181" i="11"/>
  <c r="E181" i="11"/>
  <c r="F181" i="11"/>
  <c r="G181" i="11"/>
  <c r="H181" i="11"/>
  <c r="I181" i="11"/>
  <c r="J181" i="11"/>
  <c r="K181" i="11"/>
  <c r="D182" i="11"/>
  <c r="E182" i="11"/>
  <c r="F182" i="11"/>
  <c r="G182" i="11"/>
  <c r="H182" i="11"/>
  <c r="I182" i="11"/>
  <c r="J182" i="11"/>
  <c r="K182" i="11"/>
  <c r="D183" i="11"/>
  <c r="E183" i="11"/>
  <c r="F183" i="11"/>
  <c r="G183" i="11"/>
  <c r="H183" i="11"/>
  <c r="I183" i="11"/>
  <c r="J183" i="11"/>
  <c r="K183" i="11"/>
  <c r="D184" i="11"/>
  <c r="E184" i="11"/>
  <c r="F184" i="11"/>
  <c r="G184" i="11"/>
  <c r="H184" i="11"/>
  <c r="I184" i="11"/>
  <c r="J184" i="11"/>
  <c r="K184" i="11"/>
  <c r="D185" i="11"/>
  <c r="E185" i="11"/>
  <c r="F185" i="11"/>
  <c r="G185" i="11"/>
  <c r="H185" i="11"/>
  <c r="I185" i="11"/>
  <c r="J185" i="11"/>
  <c r="K185" i="11"/>
  <c r="D186" i="11"/>
  <c r="E186" i="11"/>
  <c r="F186" i="11"/>
  <c r="G186" i="11"/>
  <c r="H186" i="11"/>
  <c r="I186" i="11"/>
  <c r="J186" i="11"/>
  <c r="K186" i="11"/>
  <c r="D187" i="11"/>
  <c r="E187" i="11"/>
  <c r="F187" i="11"/>
  <c r="G187" i="11"/>
  <c r="H187" i="11"/>
  <c r="I187" i="11"/>
  <c r="J187" i="11"/>
  <c r="K187" i="11"/>
  <c r="D188" i="11"/>
  <c r="E188" i="11"/>
  <c r="F188" i="11"/>
  <c r="G188" i="11"/>
  <c r="H188" i="11"/>
  <c r="I188" i="11"/>
  <c r="J188" i="11"/>
  <c r="K188" i="11"/>
  <c r="D189" i="11"/>
  <c r="E189" i="11"/>
  <c r="F189" i="11"/>
  <c r="G189" i="11"/>
  <c r="H189" i="11"/>
  <c r="I189" i="11"/>
  <c r="J189" i="11"/>
  <c r="K189" i="11"/>
  <c r="D190" i="11"/>
  <c r="E190" i="11"/>
  <c r="F190" i="11"/>
  <c r="G190" i="11"/>
  <c r="H190" i="11"/>
  <c r="I190" i="11"/>
  <c r="J190" i="11"/>
  <c r="K190" i="11"/>
  <c r="D191" i="11"/>
  <c r="E191" i="11"/>
  <c r="F191" i="11"/>
  <c r="G191" i="11"/>
  <c r="H191" i="11"/>
  <c r="I191" i="11"/>
  <c r="J191" i="11"/>
  <c r="K191" i="11"/>
  <c r="D192" i="11"/>
  <c r="E192" i="11"/>
  <c r="F192" i="11"/>
  <c r="G192" i="11"/>
  <c r="H192" i="11"/>
  <c r="I192" i="11"/>
  <c r="J192" i="11"/>
  <c r="K192" i="11"/>
  <c r="D193" i="11"/>
  <c r="E193" i="11"/>
  <c r="F193" i="11"/>
  <c r="G193" i="11"/>
  <c r="H193" i="11"/>
  <c r="I193" i="11"/>
  <c r="J193" i="11"/>
  <c r="K193" i="11"/>
  <c r="D194" i="11"/>
  <c r="E194" i="11"/>
  <c r="F194" i="11"/>
  <c r="G194" i="11"/>
  <c r="H194" i="11"/>
  <c r="I194" i="11"/>
  <c r="J194" i="11"/>
  <c r="K194" i="11"/>
  <c r="D195" i="11"/>
  <c r="E195" i="11"/>
  <c r="F195" i="11"/>
  <c r="G195" i="11"/>
  <c r="H195" i="11"/>
  <c r="I195" i="11"/>
  <c r="J195" i="11"/>
  <c r="K195" i="11"/>
  <c r="D196" i="11"/>
  <c r="E196" i="11"/>
  <c r="F196" i="11"/>
  <c r="G196" i="11"/>
  <c r="H196" i="11"/>
  <c r="I196" i="11"/>
  <c r="J196" i="11"/>
  <c r="K196" i="11"/>
  <c r="D197" i="11"/>
  <c r="E197" i="11"/>
  <c r="F197" i="11"/>
  <c r="G197" i="11"/>
  <c r="H197" i="11"/>
  <c r="I197" i="11"/>
  <c r="J197" i="11"/>
  <c r="K197" i="11"/>
  <c r="D198" i="11"/>
  <c r="E198" i="11"/>
  <c r="F198" i="11"/>
  <c r="G198" i="11"/>
  <c r="H198" i="11"/>
  <c r="I198" i="11"/>
  <c r="J198" i="11"/>
  <c r="K198" i="11"/>
  <c r="D199" i="11"/>
  <c r="E199" i="11"/>
  <c r="F199" i="11"/>
  <c r="G199" i="11"/>
  <c r="H199" i="11"/>
  <c r="I199" i="11"/>
  <c r="J199" i="11"/>
  <c r="K199" i="11"/>
  <c r="D200" i="11"/>
  <c r="E200" i="11"/>
  <c r="F200" i="11"/>
  <c r="G200" i="11"/>
  <c r="H200" i="11"/>
  <c r="I200" i="11"/>
  <c r="J200" i="11"/>
  <c r="K200" i="11"/>
  <c r="D201" i="11"/>
  <c r="E201" i="11"/>
  <c r="F201" i="11"/>
  <c r="G201" i="11"/>
  <c r="H201" i="11"/>
  <c r="I201" i="11"/>
  <c r="J201" i="11"/>
  <c r="K201" i="11"/>
  <c r="D202" i="11"/>
  <c r="E202" i="11"/>
  <c r="F202" i="11"/>
  <c r="G202" i="11"/>
  <c r="H202" i="11"/>
  <c r="I202" i="11"/>
  <c r="J202" i="11"/>
  <c r="K202" i="11"/>
  <c r="D203" i="11"/>
  <c r="E203" i="11"/>
  <c r="F203" i="11"/>
  <c r="G203" i="11"/>
  <c r="H203" i="11"/>
  <c r="I203" i="11"/>
  <c r="J203" i="11"/>
  <c r="K203" i="11"/>
  <c r="D204" i="11"/>
  <c r="E204" i="11"/>
  <c r="F204" i="11"/>
  <c r="G204" i="11"/>
  <c r="H204" i="11"/>
  <c r="I204" i="11"/>
  <c r="J204" i="11"/>
  <c r="K204" i="11"/>
  <c r="D205" i="11"/>
  <c r="E205" i="11"/>
  <c r="F205" i="11"/>
  <c r="G205" i="11"/>
  <c r="H205" i="11"/>
  <c r="I205" i="11"/>
  <c r="J205" i="11"/>
  <c r="K205" i="11"/>
  <c r="D206" i="11"/>
  <c r="E206" i="11"/>
  <c r="F206" i="11"/>
  <c r="G206" i="11"/>
  <c r="H206" i="11"/>
  <c r="I206" i="11"/>
  <c r="J206" i="11"/>
  <c r="K206" i="11"/>
  <c r="D207" i="11"/>
  <c r="E207" i="11"/>
  <c r="F207" i="11"/>
  <c r="G207" i="11"/>
  <c r="H207" i="11"/>
  <c r="I207" i="11"/>
  <c r="J207" i="11"/>
  <c r="K207" i="11"/>
  <c r="D208" i="11"/>
  <c r="E208" i="11"/>
  <c r="F208" i="11"/>
  <c r="G208" i="11"/>
  <c r="H208" i="11"/>
  <c r="I208" i="11"/>
  <c r="J208" i="11"/>
  <c r="K208" i="11"/>
  <c r="D209" i="11"/>
  <c r="E209" i="11"/>
  <c r="F209" i="11"/>
  <c r="G209" i="11"/>
  <c r="H209" i="11"/>
  <c r="I209" i="11"/>
  <c r="J209" i="11"/>
  <c r="K209" i="11"/>
  <c r="D210" i="11"/>
  <c r="E210" i="11"/>
  <c r="F210" i="11"/>
  <c r="G210" i="11"/>
  <c r="H210" i="11"/>
  <c r="I210" i="11"/>
  <c r="J210" i="11"/>
  <c r="K210" i="11"/>
  <c r="D211" i="11"/>
  <c r="E211" i="11"/>
  <c r="F211" i="11"/>
  <c r="G211" i="11"/>
  <c r="H211" i="11"/>
  <c r="I211" i="11"/>
  <c r="J211" i="11"/>
  <c r="K211" i="11"/>
  <c r="D212" i="11"/>
  <c r="E212" i="11"/>
  <c r="F212" i="11"/>
  <c r="G212" i="11"/>
  <c r="H212" i="11"/>
  <c r="I212" i="11"/>
  <c r="J212" i="11"/>
  <c r="K212" i="11"/>
  <c r="D213" i="11"/>
  <c r="E213" i="11"/>
  <c r="F213" i="11"/>
  <c r="G213" i="11"/>
  <c r="H213" i="11"/>
  <c r="I213" i="11"/>
  <c r="J213" i="11"/>
  <c r="K213" i="11"/>
  <c r="D214" i="11"/>
  <c r="E214" i="11"/>
  <c r="F214" i="11"/>
  <c r="G214" i="11"/>
  <c r="H214" i="11"/>
  <c r="I214" i="11"/>
  <c r="J214" i="11"/>
  <c r="K214" i="11"/>
  <c r="D215" i="11"/>
  <c r="E215" i="11"/>
  <c r="F215" i="11"/>
  <c r="G215" i="11"/>
  <c r="H215" i="11"/>
  <c r="I215" i="11"/>
  <c r="J215" i="11"/>
  <c r="K215" i="11"/>
  <c r="D216" i="11"/>
  <c r="E216" i="11"/>
  <c r="F216" i="11"/>
  <c r="G216" i="11"/>
  <c r="H216" i="11"/>
  <c r="I216" i="11"/>
  <c r="J216" i="11"/>
  <c r="K216" i="11"/>
  <c r="D217" i="11"/>
  <c r="E217" i="11"/>
  <c r="F217" i="11"/>
  <c r="G217" i="11"/>
  <c r="H217" i="11"/>
  <c r="I217" i="11"/>
  <c r="J217" i="11"/>
  <c r="K217" i="11"/>
  <c r="D218" i="11"/>
  <c r="E218" i="11"/>
  <c r="F218" i="11"/>
  <c r="G218" i="11"/>
  <c r="H218" i="11"/>
  <c r="I218" i="11"/>
  <c r="J218" i="11"/>
  <c r="K218" i="11"/>
  <c r="D219" i="11"/>
  <c r="E219" i="11"/>
  <c r="F219" i="11"/>
  <c r="G219" i="11"/>
  <c r="H219" i="11"/>
  <c r="I219" i="11"/>
  <c r="J219" i="11"/>
  <c r="K219" i="11"/>
  <c r="D220" i="11"/>
  <c r="E220" i="11"/>
  <c r="F220" i="11"/>
  <c r="G220" i="11"/>
  <c r="H220" i="11"/>
  <c r="I220" i="11"/>
  <c r="J220" i="11"/>
  <c r="K220" i="11"/>
  <c r="D221" i="11"/>
  <c r="E221" i="11"/>
  <c r="F221" i="11"/>
  <c r="G221" i="11"/>
  <c r="H221" i="11"/>
  <c r="I221" i="11"/>
  <c r="J221" i="11"/>
  <c r="K221" i="11"/>
  <c r="D222" i="11"/>
  <c r="E222" i="11"/>
  <c r="F222" i="11"/>
  <c r="G222" i="11"/>
  <c r="H222" i="11"/>
  <c r="I222" i="11"/>
  <c r="J222" i="11"/>
  <c r="K222" i="11"/>
  <c r="D223" i="11"/>
  <c r="E223" i="11"/>
  <c r="F223" i="11"/>
  <c r="G223" i="11"/>
  <c r="H223" i="11"/>
  <c r="I223" i="11"/>
  <c r="J223" i="11"/>
  <c r="K223" i="11"/>
  <c r="D224" i="11"/>
  <c r="E224" i="11"/>
  <c r="F224" i="11"/>
  <c r="G224" i="11"/>
  <c r="H224" i="11"/>
  <c r="I224" i="11"/>
  <c r="J224" i="11"/>
  <c r="K224" i="11"/>
  <c r="D225" i="11"/>
  <c r="E225" i="11"/>
  <c r="F225" i="11"/>
  <c r="G225" i="11"/>
  <c r="H225" i="11"/>
  <c r="I225" i="11"/>
  <c r="J225" i="11"/>
  <c r="K225" i="11"/>
  <c r="D226" i="11"/>
  <c r="E226" i="11"/>
  <c r="F226" i="11"/>
  <c r="G226" i="11"/>
  <c r="H226" i="11"/>
  <c r="I226" i="11"/>
  <c r="J226" i="11"/>
  <c r="K226" i="11"/>
  <c r="D227" i="11"/>
  <c r="E227" i="11"/>
  <c r="F227" i="11"/>
  <c r="G227" i="11"/>
  <c r="H227" i="11"/>
  <c r="I227" i="11"/>
  <c r="J227" i="11"/>
  <c r="K227" i="11"/>
  <c r="D228" i="11"/>
  <c r="E228" i="11"/>
  <c r="F228" i="11"/>
  <c r="G228" i="11"/>
  <c r="H228" i="11"/>
  <c r="I228" i="11"/>
  <c r="J228" i="11"/>
  <c r="K228" i="11"/>
  <c r="D229" i="11"/>
  <c r="E229" i="11"/>
  <c r="F229" i="11"/>
  <c r="G229" i="11"/>
  <c r="H229" i="11"/>
  <c r="I229" i="11"/>
  <c r="J229" i="11"/>
  <c r="K229" i="11"/>
  <c r="D230" i="11"/>
  <c r="E230" i="11"/>
  <c r="F230" i="11"/>
  <c r="G230" i="11"/>
  <c r="H230" i="11"/>
  <c r="I230" i="11"/>
  <c r="J230" i="11"/>
  <c r="K230" i="11"/>
  <c r="D231" i="11"/>
  <c r="E231" i="11"/>
  <c r="F231" i="11"/>
  <c r="G231" i="11"/>
  <c r="H231" i="11"/>
  <c r="I231" i="11"/>
  <c r="J231" i="11"/>
  <c r="K231" i="11"/>
  <c r="D232" i="11"/>
  <c r="E232" i="11"/>
  <c r="F232" i="11"/>
  <c r="G232" i="11"/>
  <c r="H232" i="11"/>
  <c r="I232" i="11"/>
  <c r="J232" i="11"/>
  <c r="K232" i="11"/>
  <c r="D233" i="11"/>
  <c r="E233" i="11"/>
  <c r="F233" i="11"/>
  <c r="G233" i="11"/>
  <c r="H233" i="11"/>
  <c r="I233" i="11"/>
  <c r="J233" i="11"/>
  <c r="K233" i="11"/>
  <c r="D234" i="11"/>
  <c r="E234" i="11"/>
  <c r="F234" i="11"/>
  <c r="G234" i="11"/>
  <c r="H234" i="11"/>
  <c r="I234" i="11"/>
  <c r="J234" i="11"/>
  <c r="K234" i="11"/>
  <c r="D235" i="11"/>
  <c r="E235" i="11"/>
  <c r="F235" i="11"/>
  <c r="G235" i="11"/>
  <c r="H235" i="11"/>
  <c r="I235" i="11"/>
  <c r="J235" i="11"/>
  <c r="K235" i="11"/>
  <c r="D236" i="11"/>
  <c r="E236" i="11"/>
  <c r="F236" i="11"/>
  <c r="G236" i="11"/>
  <c r="H236" i="11"/>
  <c r="I236" i="11"/>
  <c r="J236" i="11"/>
  <c r="K236" i="11"/>
  <c r="D237" i="11"/>
  <c r="E237" i="11"/>
  <c r="F237" i="11"/>
  <c r="G237" i="11"/>
  <c r="H237" i="11"/>
  <c r="I237" i="11"/>
  <c r="J237" i="11"/>
  <c r="K237" i="11"/>
  <c r="D238" i="11"/>
  <c r="E238" i="11"/>
  <c r="F238" i="11"/>
  <c r="G238" i="11"/>
  <c r="H238" i="11"/>
  <c r="I238" i="11"/>
  <c r="J238" i="11"/>
  <c r="K238" i="11"/>
  <c r="D239" i="11"/>
  <c r="E239" i="11"/>
  <c r="F239" i="11"/>
  <c r="G239" i="11"/>
  <c r="H239" i="11"/>
  <c r="I239" i="11"/>
  <c r="J239" i="11"/>
  <c r="K239" i="11"/>
  <c r="D240" i="11"/>
  <c r="E240" i="11"/>
  <c r="F240" i="11"/>
  <c r="G240" i="11"/>
  <c r="H240" i="11"/>
  <c r="I240" i="11"/>
  <c r="J240" i="11"/>
  <c r="K240" i="11"/>
  <c r="D241" i="11"/>
  <c r="E241" i="11"/>
  <c r="F241" i="11"/>
  <c r="G241" i="11"/>
  <c r="H241" i="11"/>
  <c r="I241" i="11"/>
  <c r="J241" i="11"/>
  <c r="K241" i="11"/>
  <c r="D242" i="11"/>
  <c r="E242" i="11"/>
  <c r="F242" i="11"/>
  <c r="G242" i="11"/>
  <c r="H242" i="11"/>
  <c r="I242" i="11"/>
  <c r="J242" i="11"/>
  <c r="K242" i="11"/>
  <c r="D243" i="11"/>
  <c r="E243" i="11"/>
  <c r="F243" i="11"/>
  <c r="G243" i="11"/>
  <c r="H243" i="11"/>
  <c r="I243" i="11"/>
  <c r="J243" i="11"/>
  <c r="K243" i="11"/>
  <c r="D244" i="11"/>
  <c r="E244" i="11"/>
  <c r="F244" i="11"/>
  <c r="G244" i="11"/>
  <c r="H244" i="11"/>
  <c r="I244" i="11"/>
  <c r="J244" i="11"/>
  <c r="K244" i="11"/>
  <c r="D245" i="11"/>
  <c r="E245" i="11"/>
  <c r="F245" i="11"/>
  <c r="G245" i="11"/>
  <c r="H245" i="11"/>
  <c r="I245" i="11"/>
  <c r="J245" i="11"/>
  <c r="K245" i="11"/>
  <c r="D246" i="11"/>
  <c r="E246" i="11"/>
  <c r="F246" i="11"/>
  <c r="G246" i="11"/>
  <c r="H246" i="11"/>
  <c r="I246" i="11"/>
  <c r="J246" i="11"/>
  <c r="K246" i="11"/>
  <c r="D247" i="11"/>
  <c r="E247" i="11"/>
  <c r="F247" i="11"/>
  <c r="G247" i="11"/>
  <c r="H247" i="11"/>
  <c r="I247" i="11"/>
  <c r="J247" i="11"/>
  <c r="K247" i="11"/>
  <c r="D248" i="11"/>
  <c r="E248" i="11"/>
  <c r="F248" i="11"/>
  <c r="G248" i="11"/>
  <c r="H248" i="11"/>
  <c r="I248" i="11"/>
  <c r="J248" i="11"/>
  <c r="K248" i="11"/>
  <c r="D249" i="11"/>
  <c r="E249" i="11"/>
  <c r="F249" i="11"/>
  <c r="G249" i="11"/>
  <c r="H249" i="11"/>
  <c r="I249" i="11"/>
  <c r="J249" i="11"/>
  <c r="K249" i="11"/>
  <c r="D250" i="11"/>
  <c r="E250" i="11"/>
  <c r="F250" i="11"/>
  <c r="G250" i="11"/>
  <c r="H250" i="11"/>
  <c r="I250" i="11"/>
  <c r="J250" i="11"/>
  <c r="K250" i="11"/>
  <c r="D251" i="11"/>
  <c r="E251" i="11"/>
  <c r="F251" i="11"/>
  <c r="G251" i="11"/>
  <c r="H251" i="11"/>
  <c r="I251" i="11"/>
  <c r="J251" i="11"/>
  <c r="K251" i="11"/>
  <c r="D252" i="11"/>
  <c r="E252" i="11"/>
  <c r="F252" i="11"/>
  <c r="G252" i="11"/>
  <c r="H252" i="11"/>
  <c r="I252" i="11"/>
  <c r="J252" i="11"/>
  <c r="K252" i="11"/>
  <c r="D253" i="11"/>
  <c r="E253" i="11"/>
  <c r="F253" i="11"/>
  <c r="G253" i="11"/>
  <c r="H253" i="11"/>
  <c r="I253" i="11"/>
  <c r="J253" i="11"/>
  <c r="K253" i="11"/>
  <c r="D254" i="11"/>
  <c r="E254" i="11"/>
  <c r="F254" i="11"/>
  <c r="G254" i="11"/>
  <c r="H254" i="11"/>
  <c r="I254" i="11"/>
  <c r="J254" i="11"/>
  <c r="K254" i="11"/>
  <c r="D255" i="11"/>
  <c r="E255" i="11"/>
  <c r="F255" i="11"/>
  <c r="G255" i="11"/>
  <c r="H255" i="11"/>
  <c r="I255" i="11"/>
  <c r="J255" i="11"/>
  <c r="K255" i="11"/>
  <c r="D256" i="11"/>
  <c r="E256" i="11"/>
  <c r="F256" i="11"/>
  <c r="G256" i="11"/>
  <c r="H256" i="11"/>
  <c r="I256" i="11"/>
  <c r="J256" i="11"/>
  <c r="K256" i="11"/>
  <c r="D257" i="11"/>
  <c r="E257" i="11"/>
  <c r="F257" i="11"/>
  <c r="G257" i="11"/>
  <c r="H257" i="11"/>
  <c r="I257" i="11"/>
  <c r="J257" i="11"/>
  <c r="K257" i="11"/>
  <c r="D258" i="11"/>
  <c r="E258" i="11"/>
  <c r="F258" i="11"/>
  <c r="G258" i="11"/>
  <c r="H258" i="11"/>
  <c r="I258" i="11"/>
  <c r="J258" i="11"/>
  <c r="K258" i="11"/>
  <c r="D259" i="11"/>
  <c r="E259" i="11"/>
  <c r="F259" i="11"/>
  <c r="G259" i="11"/>
  <c r="H259" i="11"/>
  <c r="I259" i="11"/>
  <c r="J259" i="11"/>
  <c r="K259" i="11"/>
  <c r="D260" i="11"/>
  <c r="E260" i="11"/>
  <c r="F260" i="11"/>
  <c r="G260" i="11"/>
  <c r="H260" i="11"/>
  <c r="I260" i="11"/>
  <c r="J260" i="11"/>
  <c r="K260" i="11"/>
  <c r="D261" i="11"/>
  <c r="E261" i="11"/>
  <c r="F261" i="11"/>
  <c r="G261" i="11"/>
  <c r="H261" i="11"/>
  <c r="I261" i="11"/>
  <c r="J261" i="11"/>
  <c r="K261" i="11"/>
  <c r="D262" i="11"/>
  <c r="E262" i="11"/>
  <c r="F262" i="11"/>
  <c r="G262" i="11"/>
  <c r="H262" i="11"/>
  <c r="I262" i="11"/>
  <c r="J262" i="11"/>
  <c r="K262" i="11"/>
  <c r="D263" i="11"/>
  <c r="E263" i="11"/>
  <c r="F263" i="11"/>
  <c r="G263" i="11"/>
  <c r="H263" i="11"/>
  <c r="I263" i="11"/>
  <c r="J263" i="11"/>
  <c r="K263" i="11"/>
  <c r="D264" i="11"/>
  <c r="E264" i="11"/>
  <c r="F264" i="11"/>
  <c r="G264" i="11"/>
  <c r="H264" i="11"/>
  <c r="I264" i="11"/>
  <c r="J264" i="11"/>
  <c r="K264" i="11"/>
  <c r="D265" i="11"/>
  <c r="E265" i="11"/>
  <c r="F265" i="11"/>
  <c r="G265" i="11"/>
  <c r="H265" i="11"/>
  <c r="I265" i="11"/>
  <c r="J265" i="11"/>
  <c r="K265" i="11"/>
  <c r="D266" i="11"/>
  <c r="E266" i="11"/>
  <c r="F266" i="11"/>
  <c r="G266" i="11"/>
  <c r="H266" i="11"/>
  <c r="I266" i="11"/>
  <c r="J266" i="11"/>
  <c r="K266" i="11"/>
  <c r="D267" i="11"/>
  <c r="E267" i="11"/>
  <c r="F267" i="11"/>
  <c r="G267" i="11"/>
  <c r="H267" i="11"/>
  <c r="I267" i="11"/>
  <c r="J267" i="11"/>
  <c r="K267" i="11"/>
  <c r="D268" i="11"/>
  <c r="E268" i="11"/>
  <c r="F268" i="11"/>
  <c r="G268" i="11"/>
  <c r="H268" i="11"/>
  <c r="I268" i="11"/>
  <c r="J268" i="11"/>
  <c r="K268" i="11"/>
  <c r="D269" i="11"/>
  <c r="E269" i="11"/>
  <c r="F269" i="11"/>
  <c r="G269" i="11"/>
  <c r="H269" i="11"/>
  <c r="I269" i="11"/>
  <c r="J269" i="11"/>
  <c r="K269" i="11"/>
  <c r="D270" i="11"/>
  <c r="E270" i="11"/>
  <c r="F270" i="11"/>
  <c r="G270" i="11"/>
  <c r="H270" i="11"/>
  <c r="I270" i="11"/>
  <c r="J270" i="11"/>
  <c r="K270" i="11"/>
  <c r="D271" i="11"/>
  <c r="E271" i="11"/>
  <c r="F271" i="11"/>
  <c r="G271" i="11"/>
  <c r="H271" i="11"/>
  <c r="I271" i="11"/>
  <c r="J271" i="11"/>
  <c r="K271" i="11"/>
  <c r="D272" i="11"/>
  <c r="E272" i="11"/>
  <c r="F272" i="11"/>
  <c r="G272" i="11"/>
  <c r="H272" i="11"/>
  <c r="I272" i="11"/>
  <c r="J272" i="11"/>
  <c r="K272" i="11"/>
  <c r="D273" i="11"/>
  <c r="E273" i="11"/>
  <c r="F273" i="11"/>
  <c r="G273" i="11"/>
  <c r="H273" i="11"/>
  <c r="I273" i="11"/>
  <c r="J273" i="11"/>
  <c r="K273" i="11"/>
  <c r="D274" i="11"/>
  <c r="E274" i="11"/>
  <c r="F274" i="11"/>
  <c r="G274" i="11"/>
  <c r="H274" i="11"/>
  <c r="I274" i="11"/>
  <c r="J274" i="11"/>
  <c r="K274" i="11"/>
  <c r="D275" i="11"/>
  <c r="E275" i="11"/>
  <c r="F275" i="11"/>
  <c r="G275" i="11"/>
  <c r="H275" i="11"/>
  <c r="I275" i="11"/>
  <c r="J275" i="11"/>
  <c r="K275" i="11"/>
  <c r="D276" i="11"/>
  <c r="E276" i="11"/>
  <c r="F276" i="11"/>
  <c r="G276" i="11"/>
  <c r="H276" i="11"/>
  <c r="I276" i="11"/>
  <c r="J276" i="11"/>
  <c r="K276" i="11"/>
  <c r="D277" i="11"/>
  <c r="E277" i="11"/>
  <c r="F277" i="11"/>
  <c r="G277" i="11"/>
  <c r="H277" i="11"/>
  <c r="I277" i="11"/>
  <c r="J277" i="11"/>
  <c r="K277" i="11"/>
  <c r="D278" i="11"/>
  <c r="E278" i="11"/>
  <c r="F278" i="11"/>
  <c r="G278" i="11"/>
  <c r="H278" i="11"/>
  <c r="I278" i="11"/>
  <c r="J278" i="11"/>
  <c r="K278" i="11"/>
  <c r="D279" i="11"/>
  <c r="E279" i="11"/>
  <c r="F279" i="11"/>
  <c r="G279" i="11"/>
  <c r="H279" i="11"/>
  <c r="I279" i="11"/>
  <c r="J279" i="11"/>
  <c r="K279" i="11"/>
  <c r="D280" i="11"/>
  <c r="E280" i="11"/>
  <c r="F280" i="11"/>
  <c r="G280" i="11"/>
  <c r="H280" i="11"/>
  <c r="I280" i="11"/>
  <c r="J280" i="11"/>
  <c r="K280" i="11"/>
  <c r="D281" i="11"/>
  <c r="E281" i="11"/>
  <c r="F281" i="11"/>
  <c r="G281" i="11"/>
  <c r="H281" i="11"/>
  <c r="I281" i="11"/>
  <c r="J281" i="11"/>
  <c r="K281" i="11"/>
  <c r="D282" i="11"/>
  <c r="E282" i="11"/>
  <c r="F282" i="11"/>
  <c r="G282" i="11"/>
  <c r="H282" i="11"/>
  <c r="I282" i="11"/>
  <c r="J282" i="11"/>
  <c r="K282" i="11"/>
  <c r="D283" i="11"/>
  <c r="E283" i="11"/>
  <c r="F283" i="11"/>
  <c r="G283" i="11"/>
  <c r="H283" i="11"/>
  <c r="I283" i="11"/>
  <c r="J283" i="11"/>
  <c r="K283" i="11"/>
  <c r="D284" i="11"/>
  <c r="E284" i="11"/>
  <c r="F284" i="11"/>
  <c r="G284" i="11"/>
  <c r="H284" i="11"/>
  <c r="I284" i="11"/>
  <c r="J284" i="11"/>
  <c r="K284" i="11"/>
  <c r="D285" i="11"/>
  <c r="E285" i="11"/>
  <c r="F285" i="11"/>
  <c r="G285" i="11"/>
  <c r="H285" i="11"/>
  <c r="I285" i="11"/>
  <c r="J285" i="11"/>
  <c r="K285" i="11"/>
  <c r="D286" i="11"/>
  <c r="E286" i="11"/>
  <c r="F286" i="11"/>
  <c r="G286" i="11"/>
  <c r="H286" i="11"/>
  <c r="I286" i="11"/>
  <c r="J286" i="11"/>
  <c r="K286" i="11"/>
  <c r="D287" i="11"/>
  <c r="E287" i="11"/>
  <c r="F287" i="11"/>
  <c r="G287" i="11"/>
  <c r="H287" i="11"/>
  <c r="I287" i="11"/>
  <c r="J287" i="11"/>
  <c r="K287" i="11"/>
  <c r="D288" i="11"/>
  <c r="E288" i="11"/>
  <c r="F288" i="11"/>
  <c r="G288" i="11"/>
  <c r="H288" i="11"/>
  <c r="I288" i="11"/>
  <c r="J288" i="11"/>
  <c r="K288" i="11"/>
  <c r="D289" i="11"/>
  <c r="E289" i="11"/>
  <c r="F289" i="11"/>
  <c r="G289" i="11"/>
  <c r="H289" i="11"/>
  <c r="I289" i="11"/>
  <c r="J289" i="11"/>
  <c r="K289" i="11"/>
  <c r="D290" i="11"/>
  <c r="E290" i="11"/>
  <c r="F290" i="11"/>
  <c r="G290" i="11"/>
  <c r="H290" i="11"/>
  <c r="I290" i="11"/>
  <c r="J290" i="11"/>
  <c r="K290" i="11"/>
  <c r="D291" i="11"/>
  <c r="E291" i="11"/>
  <c r="F291" i="11"/>
  <c r="G291" i="11"/>
  <c r="H291" i="11"/>
  <c r="I291" i="11"/>
  <c r="J291" i="11"/>
  <c r="K291" i="11"/>
  <c r="D292" i="11"/>
  <c r="E292" i="11"/>
  <c r="F292" i="11"/>
  <c r="G292" i="11"/>
  <c r="H292" i="11"/>
  <c r="I292" i="11"/>
  <c r="J292" i="11"/>
  <c r="K292" i="11"/>
  <c r="D293" i="11"/>
  <c r="E293" i="11"/>
  <c r="F293" i="11"/>
  <c r="G293" i="11"/>
  <c r="H293" i="11"/>
  <c r="I293" i="11"/>
  <c r="J293" i="11"/>
  <c r="K293" i="11"/>
  <c r="D294" i="11"/>
  <c r="E294" i="11"/>
  <c r="F294" i="11"/>
  <c r="G294" i="11"/>
  <c r="H294" i="11"/>
  <c r="I294" i="11"/>
  <c r="J294" i="11"/>
  <c r="K294" i="11"/>
  <c r="D295" i="11"/>
  <c r="E295" i="11"/>
  <c r="F295" i="11"/>
  <c r="G295" i="11"/>
  <c r="H295" i="11"/>
  <c r="I295" i="11"/>
  <c r="J295" i="11"/>
  <c r="K295" i="11"/>
  <c r="D296" i="11"/>
  <c r="E296" i="11"/>
  <c r="F296" i="11"/>
  <c r="G296" i="11"/>
  <c r="H296" i="11"/>
  <c r="I296" i="11"/>
  <c r="J296" i="11"/>
  <c r="K296" i="11"/>
  <c r="D297" i="11"/>
  <c r="E297" i="11"/>
  <c r="F297" i="11"/>
  <c r="G297" i="11"/>
  <c r="H297" i="11"/>
  <c r="I297" i="11"/>
  <c r="J297" i="11"/>
  <c r="K297" i="11"/>
  <c r="D298" i="11"/>
  <c r="E298" i="11"/>
  <c r="F298" i="11"/>
  <c r="G298" i="11"/>
  <c r="H298" i="11"/>
  <c r="I298" i="11"/>
  <c r="J298" i="11"/>
  <c r="K298" i="11"/>
  <c r="D299" i="11"/>
  <c r="E299" i="11"/>
  <c r="F299" i="11"/>
  <c r="G299" i="11"/>
  <c r="H299" i="11"/>
  <c r="I299" i="11"/>
  <c r="J299" i="11"/>
  <c r="K299" i="11"/>
  <c r="D300" i="11"/>
  <c r="E300" i="11"/>
  <c r="F300" i="11"/>
  <c r="G300" i="11"/>
  <c r="H300" i="11"/>
  <c r="I300" i="11"/>
  <c r="J300" i="11"/>
  <c r="K300" i="11"/>
  <c r="D301" i="11"/>
  <c r="E301" i="11"/>
  <c r="F301" i="11"/>
  <c r="G301" i="11"/>
  <c r="H301" i="11"/>
  <c r="I301" i="11"/>
  <c r="J301" i="11"/>
  <c r="K301" i="11"/>
  <c r="D302" i="11"/>
  <c r="E302" i="11"/>
  <c r="F302" i="11"/>
  <c r="G302" i="11"/>
  <c r="H302" i="11"/>
  <c r="I302" i="11"/>
  <c r="J302" i="11"/>
  <c r="K302" i="11"/>
  <c r="D303" i="11"/>
  <c r="E303" i="11"/>
  <c r="F303" i="11"/>
  <c r="G303" i="11"/>
  <c r="H303" i="11"/>
  <c r="I303" i="11"/>
  <c r="J303" i="11"/>
  <c r="K303" i="11"/>
  <c r="D304" i="11"/>
  <c r="E304" i="11"/>
  <c r="F304" i="11"/>
  <c r="G304" i="11"/>
  <c r="H304" i="11"/>
  <c r="I304" i="11"/>
  <c r="J304" i="11"/>
  <c r="K304" i="11"/>
  <c r="D305" i="11"/>
  <c r="E305" i="11"/>
  <c r="F305" i="11"/>
  <c r="G305" i="11"/>
  <c r="H305" i="11"/>
  <c r="I305" i="11"/>
  <c r="J305" i="11"/>
  <c r="K305" i="11"/>
  <c r="D306" i="11"/>
  <c r="E306" i="11"/>
  <c r="F306" i="11"/>
  <c r="G306" i="11"/>
  <c r="H306" i="11"/>
  <c r="I306" i="11"/>
  <c r="J306" i="11"/>
  <c r="K306" i="11"/>
  <c r="D307" i="11"/>
  <c r="E307" i="11"/>
  <c r="F307" i="11"/>
  <c r="G307" i="11"/>
  <c r="H307" i="11"/>
  <c r="I307" i="11"/>
  <c r="J307" i="11"/>
  <c r="K307" i="11"/>
  <c r="D308" i="11"/>
  <c r="E308" i="11"/>
  <c r="F308" i="11"/>
  <c r="G308" i="11"/>
  <c r="H308" i="11"/>
  <c r="I308" i="11"/>
  <c r="J308" i="11"/>
  <c r="K308" i="11"/>
  <c r="D309" i="11"/>
  <c r="E309" i="11"/>
  <c r="F309" i="11"/>
  <c r="G309" i="11"/>
  <c r="H309" i="11"/>
  <c r="I309" i="11"/>
  <c r="J309" i="11"/>
  <c r="K309" i="11"/>
  <c r="D310" i="11"/>
  <c r="E310" i="11"/>
  <c r="F310" i="11"/>
  <c r="G310" i="11"/>
  <c r="H310" i="11"/>
  <c r="I310" i="11"/>
  <c r="J310" i="11"/>
  <c r="K310" i="11"/>
  <c r="D311" i="11"/>
  <c r="E311" i="11"/>
  <c r="F311" i="11"/>
  <c r="G311" i="11"/>
  <c r="H311" i="11"/>
  <c r="I311" i="11"/>
  <c r="J311" i="11"/>
  <c r="K311" i="11"/>
  <c r="D312" i="11"/>
  <c r="E312" i="11"/>
  <c r="F312" i="11"/>
  <c r="G312" i="11"/>
  <c r="H312" i="11"/>
  <c r="I312" i="11"/>
  <c r="J312" i="11"/>
  <c r="K312" i="11"/>
  <c r="D313" i="11"/>
  <c r="E313" i="11"/>
  <c r="F313" i="11"/>
  <c r="G313" i="11"/>
  <c r="H313" i="11"/>
  <c r="I313" i="11"/>
  <c r="J313" i="11"/>
  <c r="K313" i="11"/>
  <c r="D314" i="11"/>
  <c r="E314" i="11"/>
  <c r="F314" i="11"/>
  <c r="G314" i="11"/>
  <c r="H314" i="11"/>
  <c r="I314" i="11"/>
  <c r="J314" i="11"/>
  <c r="K314" i="11"/>
  <c r="D315" i="11"/>
  <c r="E315" i="11"/>
  <c r="F315" i="11"/>
  <c r="G315" i="11"/>
  <c r="H315" i="11"/>
  <c r="I315" i="11"/>
  <c r="J315" i="11"/>
  <c r="K315" i="11"/>
  <c r="D316" i="11"/>
  <c r="E316" i="11"/>
  <c r="F316" i="11"/>
  <c r="G316" i="11"/>
  <c r="H316" i="11"/>
  <c r="I316" i="11"/>
  <c r="J316" i="11"/>
  <c r="K316" i="11"/>
  <c r="D317" i="11"/>
  <c r="E317" i="11"/>
  <c r="F317" i="11"/>
  <c r="G317" i="11"/>
  <c r="H317" i="11"/>
  <c r="I317" i="11"/>
  <c r="J317" i="11"/>
  <c r="K317" i="11"/>
  <c r="D318" i="11"/>
  <c r="E318" i="11"/>
  <c r="F318" i="11"/>
  <c r="G318" i="11"/>
  <c r="H318" i="11"/>
  <c r="I318" i="11"/>
  <c r="J318" i="11"/>
  <c r="K318" i="11"/>
  <c r="D319" i="11"/>
  <c r="E319" i="11"/>
  <c r="F319" i="11"/>
  <c r="G319" i="11"/>
  <c r="H319" i="11"/>
  <c r="I319" i="11"/>
  <c r="J319" i="11"/>
  <c r="K319" i="11"/>
  <c r="D320" i="11"/>
  <c r="E320" i="11"/>
  <c r="F320" i="11"/>
  <c r="G320" i="11"/>
  <c r="H320" i="11"/>
  <c r="I320" i="11"/>
  <c r="J320" i="11"/>
  <c r="K320" i="11"/>
  <c r="D321" i="11"/>
  <c r="E321" i="11"/>
  <c r="F321" i="11"/>
  <c r="G321" i="11"/>
  <c r="H321" i="11"/>
  <c r="I321" i="11"/>
  <c r="J321" i="11"/>
  <c r="K321" i="11"/>
  <c r="D322" i="11"/>
  <c r="E322" i="11"/>
  <c r="F322" i="11"/>
  <c r="G322" i="11"/>
  <c r="H322" i="11"/>
  <c r="I322" i="11"/>
  <c r="J322" i="11"/>
  <c r="K322" i="11"/>
  <c r="D323" i="11"/>
  <c r="E323" i="11"/>
  <c r="F323" i="11"/>
  <c r="G323" i="11"/>
  <c r="H323" i="11"/>
  <c r="I323" i="11"/>
  <c r="J323" i="11"/>
  <c r="K323" i="11"/>
  <c r="D324" i="11"/>
  <c r="E324" i="11"/>
  <c r="F324" i="11"/>
  <c r="G324" i="11"/>
  <c r="H324" i="11"/>
  <c r="I324" i="11"/>
  <c r="J324" i="11"/>
  <c r="K324" i="11"/>
  <c r="D325" i="11"/>
  <c r="E325" i="11"/>
  <c r="F325" i="11"/>
  <c r="G325" i="11"/>
  <c r="H325" i="11"/>
  <c r="I325" i="11"/>
  <c r="J325" i="11"/>
  <c r="K325" i="11"/>
  <c r="D326" i="11"/>
  <c r="E326" i="11"/>
  <c r="F326" i="11"/>
  <c r="G326" i="11"/>
  <c r="H326" i="11"/>
  <c r="I326" i="11"/>
  <c r="J326" i="11"/>
  <c r="K326" i="11"/>
  <c r="D327" i="11"/>
  <c r="E327" i="11"/>
  <c r="F327" i="11"/>
  <c r="G327" i="11"/>
  <c r="H327" i="11"/>
  <c r="I327" i="11"/>
  <c r="J327" i="11"/>
  <c r="K327" i="11"/>
  <c r="D328" i="11"/>
  <c r="E328" i="11"/>
  <c r="F328" i="11"/>
  <c r="G328" i="11"/>
  <c r="H328" i="11"/>
  <c r="I328" i="11"/>
  <c r="J328" i="11"/>
  <c r="K328" i="11"/>
  <c r="D329" i="11"/>
  <c r="E329" i="11"/>
  <c r="F329" i="11"/>
  <c r="G329" i="11"/>
  <c r="H329" i="11"/>
  <c r="I329" i="11"/>
  <c r="J329" i="11"/>
  <c r="K329" i="11"/>
  <c r="D330" i="11"/>
  <c r="E330" i="11"/>
  <c r="F330" i="11"/>
  <c r="G330" i="11"/>
  <c r="H330" i="11"/>
  <c r="I330" i="11"/>
  <c r="J330" i="11"/>
  <c r="K330" i="11"/>
  <c r="D331" i="11"/>
  <c r="E331" i="11"/>
  <c r="F331" i="11"/>
  <c r="G331" i="11"/>
  <c r="H331" i="11"/>
  <c r="I331" i="11"/>
  <c r="J331" i="11"/>
  <c r="K331" i="11"/>
  <c r="D332" i="11"/>
  <c r="E332" i="11"/>
  <c r="F332" i="11"/>
  <c r="G332" i="11"/>
  <c r="H332" i="11"/>
  <c r="I332" i="11"/>
  <c r="J332" i="11"/>
  <c r="K332" i="11"/>
  <c r="D333" i="11"/>
  <c r="E333" i="11"/>
  <c r="F333" i="11"/>
  <c r="G333" i="11"/>
  <c r="H333" i="11"/>
  <c r="I333" i="11"/>
  <c r="J333" i="11"/>
  <c r="K333" i="11"/>
  <c r="D334" i="11"/>
  <c r="E334" i="11"/>
  <c r="F334" i="11"/>
  <c r="G334" i="11"/>
  <c r="H334" i="11"/>
  <c r="I334" i="11"/>
  <c r="J334" i="11"/>
  <c r="K334" i="11"/>
  <c r="D335" i="11"/>
  <c r="E335" i="11"/>
  <c r="F335" i="11"/>
  <c r="G335" i="11"/>
  <c r="H335" i="11"/>
  <c r="I335" i="11"/>
  <c r="J335" i="11"/>
  <c r="K335" i="11"/>
  <c r="D336" i="11"/>
  <c r="E336" i="11"/>
  <c r="F336" i="11"/>
  <c r="G336" i="11"/>
  <c r="H336" i="11"/>
  <c r="I336" i="11"/>
  <c r="J336" i="11"/>
  <c r="K336" i="11"/>
  <c r="D337" i="11"/>
  <c r="E337" i="11"/>
  <c r="F337" i="11"/>
  <c r="G337" i="11"/>
  <c r="H337" i="11"/>
  <c r="I337" i="11"/>
  <c r="J337" i="11"/>
  <c r="K337" i="11"/>
  <c r="D338" i="11"/>
  <c r="E338" i="11"/>
  <c r="F338" i="11"/>
  <c r="G338" i="11"/>
  <c r="H338" i="11"/>
  <c r="I338" i="11"/>
  <c r="J338" i="11"/>
  <c r="K338" i="11"/>
  <c r="D339" i="11"/>
  <c r="E339" i="11"/>
  <c r="F339" i="11"/>
  <c r="G339" i="11"/>
  <c r="H339" i="11"/>
  <c r="I339" i="11"/>
  <c r="J339" i="11"/>
  <c r="K339" i="11"/>
  <c r="D340" i="11"/>
  <c r="E340" i="11"/>
  <c r="F340" i="11"/>
  <c r="G340" i="11"/>
  <c r="H340" i="11"/>
  <c r="I340" i="11"/>
  <c r="J340" i="11"/>
  <c r="K340" i="11"/>
  <c r="D341" i="11"/>
  <c r="E341" i="11"/>
  <c r="F341" i="11"/>
  <c r="G341" i="11"/>
  <c r="H341" i="11"/>
  <c r="I341" i="11"/>
  <c r="J341" i="11"/>
  <c r="K341" i="11"/>
  <c r="D342" i="11"/>
  <c r="E342" i="11"/>
  <c r="F342" i="11"/>
  <c r="G342" i="11"/>
  <c r="H342" i="11"/>
  <c r="I342" i="11"/>
  <c r="J342" i="11"/>
  <c r="K342" i="11"/>
  <c r="D343" i="11"/>
  <c r="E343" i="11"/>
  <c r="F343" i="11"/>
  <c r="G343" i="11"/>
  <c r="H343" i="11"/>
  <c r="I343" i="11"/>
  <c r="J343" i="11"/>
  <c r="K343" i="11"/>
  <c r="D344" i="11"/>
  <c r="E344" i="11"/>
  <c r="F344" i="11"/>
  <c r="G344" i="11"/>
  <c r="H344" i="11"/>
  <c r="I344" i="11"/>
  <c r="J344" i="11"/>
  <c r="K344" i="11"/>
  <c r="D345" i="11"/>
  <c r="E345" i="11"/>
  <c r="F345" i="11"/>
  <c r="G345" i="11"/>
  <c r="H345" i="11"/>
  <c r="I345" i="11"/>
  <c r="J345" i="11"/>
  <c r="K345" i="11"/>
  <c r="D346" i="11"/>
  <c r="E346" i="11"/>
  <c r="F346" i="11"/>
  <c r="G346" i="11"/>
  <c r="H346" i="11"/>
  <c r="I346" i="11"/>
  <c r="J346" i="11"/>
  <c r="K346" i="11"/>
  <c r="D347" i="11"/>
  <c r="E347" i="11"/>
  <c r="F347" i="11"/>
  <c r="G347" i="11"/>
  <c r="H347" i="11"/>
  <c r="I347" i="11"/>
  <c r="J347" i="11"/>
  <c r="K347" i="11"/>
  <c r="D348" i="11"/>
  <c r="E348" i="11"/>
  <c r="F348" i="11"/>
  <c r="G348" i="11"/>
  <c r="H348" i="11"/>
  <c r="I348" i="11"/>
  <c r="J348" i="11"/>
  <c r="K348" i="11"/>
  <c r="D349" i="11"/>
  <c r="E349" i="11"/>
  <c r="F349" i="11"/>
  <c r="G349" i="11"/>
  <c r="H349" i="11"/>
  <c r="I349" i="11"/>
  <c r="J349" i="11"/>
  <c r="K349" i="11"/>
  <c r="D350" i="11"/>
  <c r="E350" i="11"/>
  <c r="F350" i="11"/>
  <c r="G350" i="11"/>
  <c r="H350" i="11"/>
  <c r="I350" i="11"/>
  <c r="J350" i="11"/>
  <c r="K350" i="11"/>
  <c r="D351" i="11"/>
  <c r="E351" i="11"/>
  <c r="F351" i="11"/>
  <c r="G351" i="11"/>
  <c r="H351" i="11"/>
  <c r="I351" i="11"/>
  <c r="J351" i="11"/>
  <c r="K351" i="11"/>
  <c r="D352" i="11"/>
  <c r="E352" i="11"/>
  <c r="F352" i="11"/>
  <c r="G352" i="11"/>
  <c r="H352" i="11"/>
  <c r="I352" i="11"/>
  <c r="J352" i="11"/>
  <c r="K352" i="11"/>
  <c r="D353" i="11"/>
  <c r="E353" i="11"/>
  <c r="F353" i="11"/>
  <c r="G353" i="11"/>
  <c r="H353" i="11"/>
  <c r="I353" i="11"/>
  <c r="J353" i="11"/>
  <c r="K353" i="11"/>
  <c r="D354" i="11"/>
  <c r="E354" i="11"/>
  <c r="F354" i="11"/>
  <c r="G354" i="11"/>
  <c r="H354" i="11"/>
  <c r="I354" i="11"/>
  <c r="J354" i="11"/>
  <c r="K354" i="11"/>
  <c r="D355" i="11"/>
  <c r="E355" i="11"/>
  <c r="F355" i="11"/>
  <c r="G355" i="11"/>
  <c r="H355" i="11"/>
  <c r="I355" i="11"/>
  <c r="J355" i="11"/>
  <c r="K355" i="11"/>
  <c r="D356" i="11"/>
  <c r="E356" i="11"/>
  <c r="F356" i="11"/>
  <c r="G356" i="11"/>
  <c r="H356" i="11"/>
  <c r="I356" i="11"/>
  <c r="J356" i="11"/>
  <c r="K356" i="11"/>
  <c r="D357" i="11"/>
  <c r="E357" i="11"/>
  <c r="F357" i="11"/>
  <c r="G357" i="11"/>
  <c r="H357" i="11"/>
  <c r="I357" i="11"/>
  <c r="J357" i="11"/>
  <c r="K357" i="11"/>
  <c r="D358" i="11"/>
  <c r="E358" i="11"/>
  <c r="F358" i="11"/>
  <c r="G358" i="11"/>
  <c r="H358" i="11"/>
  <c r="I358" i="11"/>
  <c r="J358" i="11"/>
  <c r="K358" i="11"/>
  <c r="D359" i="11"/>
  <c r="E359" i="11"/>
  <c r="F359" i="11"/>
  <c r="G359" i="11"/>
  <c r="H359" i="11"/>
  <c r="I359" i="11"/>
  <c r="J359" i="11"/>
  <c r="K359" i="11"/>
  <c r="D360" i="11"/>
  <c r="E360" i="11"/>
  <c r="F360" i="11"/>
  <c r="G360" i="11"/>
  <c r="H360" i="11"/>
  <c r="I360" i="11"/>
  <c r="J360" i="11"/>
  <c r="K360" i="11"/>
  <c r="D361" i="11"/>
  <c r="E361" i="11"/>
  <c r="F361" i="11"/>
  <c r="G361" i="11"/>
  <c r="H361" i="11"/>
  <c r="I361" i="11"/>
  <c r="J361" i="11"/>
  <c r="K361" i="11"/>
  <c r="D362" i="11"/>
  <c r="E362" i="11"/>
  <c r="F362" i="11"/>
  <c r="G362" i="11"/>
  <c r="H362" i="11"/>
  <c r="I362" i="11"/>
  <c r="J362" i="11"/>
  <c r="K362" i="11"/>
  <c r="D363" i="11"/>
  <c r="E363" i="11"/>
  <c r="F363" i="11"/>
  <c r="G363" i="11"/>
  <c r="H363" i="11"/>
  <c r="I363" i="11"/>
  <c r="J363" i="11"/>
  <c r="K363" i="11"/>
  <c r="D364" i="11"/>
  <c r="E364" i="11"/>
  <c r="F364" i="11"/>
  <c r="G364" i="11"/>
  <c r="H364" i="11"/>
  <c r="I364" i="11"/>
  <c r="J364" i="11"/>
  <c r="K364" i="11"/>
  <c r="D365" i="11"/>
  <c r="E365" i="11"/>
  <c r="F365" i="11"/>
  <c r="G365" i="11"/>
  <c r="H365" i="11"/>
  <c r="I365" i="11"/>
  <c r="J365" i="11"/>
  <c r="K365" i="11"/>
  <c r="D366" i="11"/>
  <c r="E366" i="11"/>
  <c r="F366" i="11"/>
  <c r="G366" i="11"/>
  <c r="H366" i="11"/>
  <c r="I366" i="11"/>
  <c r="J366" i="11"/>
  <c r="K366" i="11"/>
  <c r="D367" i="11"/>
  <c r="E367" i="11"/>
  <c r="F367" i="11"/>
  <c r="G367" i="11"/>
  <c r="H367" i="11"/>
  <c r="I367" i="11"/>
  <c r="J367" i="11"/>
  <c r="K367" i="11"/>
  <c r="D368" i="11"/>
  <c r="E368" i="11"/>
  <c r="F368" i="11"/>
  <c r="G368" i="11"/>
  <c r="H368" i="11"/>
  <c r="I368" i="11"/>
  <c r="J368" i="11"/>
  <c r="K368" i="11"/>
  <c r="D369" i="11"/>
  <c r="E369" i="11"/>
  <c r="F369" i="11"/>
  <c r="G369" i="11"/>
  <c r="H369" i="11"/>
  <c r="I369" i="11"/>
  <c r="J369" i="11"/>
  <c r="K369" i="11"/>
  <c r="D370" i="11"/>
  <c r="E370" i="11"/>
  <c r="F370" i="11"/>
  <c r="G370" i="11"/>
  <c r="H370" i="11"/>
  <c r="I370" i="11"/>
  <c r="J370" i="11"/>
  <c r="K370" i="11"/>
  <c r="D371" i="11"/>
  <c r="E371" i="11"/>
  <c r="F371" i="11"/>
  <c r="G371" i="11"/>
  <c r="H371" i="11"/>
  <c r="I371" i="11"/>
  <c r="J371" i="11"/>
  <c r="K371" i="11"/>
  <c r="D372" i="11"/>
  <c r="E372" i="11"/>
  <c r="F372" i="11"/>
  <c r="G372" i="11"/>
  <c r="H372" i="11"/>
  <c r="I372" i="11"/>
  <c r="J372" i="11"/>
  <c r="K372" i="11"/>
  <c r="D373" i="11"/>
  <c r="E373" i="11"/>
  <c r="F373" i="11"/>
  <c r="G373" i="11"/>
  <c r="H373" i="11"/>
  <c r="I373" i="11"/>
  <c r="J373" i="11"/>
  <c r="K373" i="11"/>
  <c r="D374" i="11"/>
  <c r="E374" i="11"/>
  <c r="F374" i="11"/>
  <c r="G374" i="11"/>
  <c r="H374" i="11"/>
  <c r="I374" i="11"/>
  <c r="J374" i="11"/>
  <c r="K374" i="11"/>
  <c r="D375" i="11"/>
  <c r="E375" i="11"/>
  <c r="F375" i="11"/>
  <c r="G375" i="11"/>
  <c r="H375" i="11"/>
  <c r="I375" i="11"/>
  <c r="J375" i="11"/>
  <c r="K375" i="11"/>
  <c r="D376" i="11"/>
  <c r="E376" i="11"/>
  <c r="F376" i="11"/>
  <c r="G376" i="11"/>
  <c r="H376" i="11"/>
  <c r="I376" i="11"/>
  <c r="J376" i="11"/>
  <c r="K376" i="11"/>
  <c r="D377" i="11"/>
  <c r="E377" i="11"/>
  <c r="F377" i="11"/>
  <c r="G377" i="11"/>
  <c r="H377" i="11"/>
  <c r="I377" i="11"/>
  <c r="J377" i="11"/>
  <c r="K377" i="11"/>
  <c r="D378" i="11"/>
  <c r="E378" i="11"/>
  <c r="F378" i="11"/>
  <c r="G378" i="11"/>
  <c r="H378" i="11"/>
  <c r="I378" i="11"/>
  <c r="J378" i="11"/>
  <c r="K378" i="11"/>
  <c r="D379" i="11"/>
  <c r="E379" i="11"/>
  <c r="F379" i="11"/>
  <c r="G379" i="11"/>
  <c r="H379" i="11"/>
  <c r="I379" i="11"/>
  <c r="J379" i="11"/>
  <c r="K379" i="11"/>
  <c r="D380" i="11"/>
  <c r="E380" i="11"/>
  <c r="F380" i="11"/>
  <c r="G380" i="11"/>
  <c r="H380" i="11"/>
  <c r="I380" i="11"/>
  <c r="J380" i="11"/>
  <c r="K380" i="11"/>
  <c r="D381" i="11"/>
  <c r="E381" i="11"/>
  <c r="F381" i="11"/>
  <c r="G381" i="11"/>
  <c r="H381" i="11"/>
  <c r="I381" i="11"/>
  <c r="J381" i="11"/>
  <c r="K381" i="11"/>
  <c r="D382" i="11"/>
  <c r="E382" i="11"/>
  <c r="F382" i="11"/>
  <c r="G382" i="11"/>
  <c r="H382" i="11"/>
  <c r="I382" i="11"/>
  <c r="J382" i="11"/>
  <c r="K382" i="11"/>
  <c r="D383" i="11"/>
  <c r="E383" i="11"/>
  <c r="F383" i="11"/>
  <c r="G383" i="11"/>
  <c r="H383" i="11"/>
  <c r="I383" i="11"/>
  <c r="J383" i="11"/>
  <c r="K383" i="11"/>
  <c r="D384" i="11"/>
  <c r="E384" i="11"/>
  <c r="F384" i="11"/>
  <c r="G384" i="11"/>
  <c r="H384" i="11"/>
  <c r="I384" i="11"/>
  <c r="J384" i="11"/>
  <c r="K384" i="11"/>
  <c r="D385" i="11"/>
  <c r="E385" i="11"/>
  <c r="F385" i="11"/>
  <c r="G385" i="11"/>
  <c r="H385" i="11"/>
  <c r="I385" i="11"/>
  <c r="J385" i="11"/>
  <c r="K385" i="11"/>
  <c r="D386" i="11"/>
  <c r="E386" i="11"/>
  <c r="F386" i="11"/>
  <c r="G386" i="11"/>
  <c r="H386" i="11"/>
  <c r="I386" i="11"/>
  <c r="J386" i="11"/>
  <c r="K386" i="11"/>
  <c r="D387" i="11"/>
  <c r="E387" i="11"/>
  <c r="F387" i="11"/>
  <c r="G387" i="11"/>
  <c r="H387" i="11"/>
  <c r="I387" i="11"/>
  <c r="J387" i="11"/>
  <c r="K387" i="11"/>
  <c r="D388" i="11"/>
  <c r="E388" i="11"/>
  <c r="F388" i="11"/>
  <c r="G388" i="11"/>
  <c r="H388" i="11"/>
  <c r="I388" i="11"/>
  <c r="J388" i="11"/>
  <c r="K388" i="11"/>
  <c r="D389" i="11"/>
  <c r="E389" i="11"/>
  <c r="F389" i="11"/>
  <c r="G389" i="11"/>
  <c r="H389" i="11"/>
  <c r="I389" i="11"/>
  <c r="J389" i="11"/>
  <c r="K389" i="11"/>
  <c r="D390" i="11"/>
  <c r="E390" i="11"/>
  <c r="F390" i="11"/>
  <c r="G390" i="11"/>
  <c r="H390" i="11"/>
  <c r="I390" i="11"/>
  <c r="J390" i="11"/>
  <c r="K390" i="11"/>
  <c r="D391" i="11"/>
  <c r="E391" i="11"/>
  <c r="F391" i="11"/>
  <c r="G391" i="11"/>
  <c r="H391" i="11"/>
  <c r="I391" i="11"/>
  <c r="J391" i="11"/>
  <c r="K391" i="11"/>
  <c r="D392" i="11"/>
  <c r="E392" i="11"/>
  <c r="F392" i="11"/>
  <c r="G392" i="11"/>
  <c r="H392" i="11"/>
  <c r="I392" i="11"/>
  <c r="J392" i="11"/>
  <c r="K392" i="11"/>
  <c r="D393" i="11"/>
  <c r="E393" i="11"/>
  <c r="F393" i="11"/>
  <c r="G393" i="11"/>
  <c r="H393" i="11"/>
  <c r="I393" i="11"/>
  <c r="J393" i="11"/>
  <c r="K393" i="11"/>
  <c r="D394" i="11"/>
  <c r="E394" i="11"/>
  <c r="F394" i="11"/>
  <c r="G394" i="11"/>
  <c r="H394" i="11"/>
  <c r="I394" i="11"/>
  <c r="J394" i="11"/>
  <c r="K394" i="11"/>
  <c r="D395" i="11"/>
  <c r="E395" i="11"/>
  <c r="F395" i="11"/>
  <c r="G395" i="11"/>
  <c r="H395" i="11"/>
  <c r="I395" i="11"/>
  <c r="J395" i="11"/>
  <c r="K395" i="11"/>
  <c r="D396" i="11"/>
  <c r="E396" i="11"/>
  <c r="F396" i="11"/>
  <c r="G396" i="11"/>
  <c r="H396" i="11"/>
  <c r="I396" i="11"/>
  <c r="J396" i="11"/>
  <c r="K396" i="11"/>
  <c r="D397" i="11"/>
  <c r="E397" i="11"/>
  <c r="F397" i="11"/>
  <c r="G397" i="11"/>
  <c r="H397" i="11"/>
  <c r="I397" i="11"/>
  <c r="J397" i="11"/>
  <c r="K397" i="11"/>
  <c r="D398" i="11"/>
  <c r="E398" i="11"/>
  <c r="F398" i="11"/>
  <c r="G398" i="11"/>
  <c r="H398" i="11"/>
  <c r="I398" i="11"/>
  <c r="J398" i="11"/>
  <c r="K398" i="11"/>
  <c r="D399" i="11"/>
  <c r="E399" i="11"/>
  <c r="F399" i="11"/>
  <c r="G399" i="11"/>
  <c r="H399" i="11"/>
  <c r="I399" i="11"/>
  <c r="J399" i="11"/>
  <c r="K399" i="11"/>
  <c r="D400" i="11"/>
  <c r="E400" i="11"/>
  <c r="F400" i="11"/>
  <c r="G400" i="11"/>
  <c r="H400" i="11"/>
  <c r="I400" i="11"/>
  <c r="J400" i="11"/>
  <c r="K400" i="11"/>
  <c r="D401" i="11"/>
  <c r="E401" i="11"/>
  <c r="F401" i="11"/>
  <c r="G401" i="11"/>
  <c r="H401" i="11"/>
  <c r="I401" i="11"/>
  <c r="J401" i="11"/>
  <c r="K401" i="11"/>
  <c r="D402" i="11"/>
  <c r="E402" i="11"/>
  <c r="F402" i="11"/>
  <c r="G402" i="11"/>
  <c r="H402" i="11"/>
  <c r="I402" i="11"/>
  <c r="J402" i="11"/>
  <c r="K402" i="11"/>
  <c r="D403" i="11"/>
  <c r="E403" i="11"/>
  <c r="F403" i="11"/>
  <c r="G403" i="11"/>
  <c r="H403" i="11"/>
  <c r="I403" i="11"/>
  <c r="J403" i="11"/>
  <c r="K403" i="11"/>
  <c r="D404" i="11"/>
  <c r="E404" i="11"/>
  <c r="F404" i="11"/>
  <c r="G404" i="11"/>
  <c r="H404" i="11"/>
  <c r="I404" i="11"/>
  <c r="J404" i="11"/>
  <c r="K404" i="11"/>
  <c r="D405" i="11"/>
  <c r="E405" i="11"/>
  <c r="F405" i="11"/>
  <c r="G405" i="11"/>
  <c r="H405" i="11"/>
  <c r="I405" i="11"/>
  <c r="J405" i="11"/>
  <c r="K405" i="11"/>
  <c r="D406" i="11"/>
  <c r="E406" i="11"/>
  <c r="F406" i="11"/>
  <c r="G406" i="11"/>
  <c r="H406" i="11"/>
  <c r="I406" i="11"/>
  <c r="J406" i="11"/>
  <c r="K406" i="11"/>
  <c r="D407" i="11"/>
  <c r="E407" i="11"/>
  <c r="F407" i="11"/>
  <c r="G407" i="11"/>
  <c r="H407" i="11"/>
  <c r="I407" i="11"/>
  <c r="J407" i="11"/>
  <c r="K407" i="11"/>
  <c r="D408" i="11"/>
  <c r="E408" i="11"/>
  <c r="F408" i="11"/>
  <c r="G408" i="11"/>
  <c r="H408" i="11"/>
  <c r="I408" i="11"/>
  <c r="J408" i="11"/>
  <c r="K408" i="11"/>
  <c r="D409" i="11"/>
  <c r="E409" i="11"/>
  <c r="F409" i="11"/>
  <c r="G409" i="11"/>
  <c r="H409" i="11"/>
  <c r="I409" i="11"/>
  <c r="J409" i="11"/>
  <c r="K409" i="11"/>
  <c r="D410" i="11"/>
  <c r="E410" i="11"/>
  <c r="F410" i="11"/>
  <c r="G410" i="11"/>
  <c r="H410" i="11"/>
  <c r="I410" i="11"/>
  <c r="J410" i="11"/>
  <c r="K410" i="11"/>
  <c r="D411" i="11"/>
  <c r="E411" i="11"/>
  <c r="F411" i="11"/>
  <c r="G411" i="11"/>
  <c r="H411" i="11"/>
  <c r="I411" i="11"/>
  <c r="J411" i="11"/>
  <c r="K411" i="11"/>
  <c r="D412" i="11"/>
  <c r="E412" i="11"/>
  <c r="F412" i="11"/>
  <c r="G412" i="11"/>
  <c r="H412" i="11"/>
  <c r="I412" i="11"/>
  <c r="J412" i="11"/>
  <c r="K412" i="11"/>
  <c r="D413" i="11"/>
  <c r="E413" i="11"/>
  <c r="F413" i="11"/>
  <c r="G413" i="11"/>
  <c r="H413" i="11"/>
  <c r="I413" i="11"/>
  <c r="J413" i="11"/>
  <c r="K413" i="11"/>
  <c r="D414" i="11"/>
  <c r="E414" i="11"/>
  <c r="F414" i="11"/>
  <c r="G414" i="11"/>
  <c r="H414" i="11"/>
  <c r="I414" i="11"/>
  <c r="J414" i="11"/>
  <c r="K414" i="11"/>
  <c r="D415" i="11"/>
  <c r="E415" i="11"/>
  <c r="F415" i="11"/>
  <c r="G415" i="11"/>
  <c r="H415" i="11"/>
  <c r="I415" i="11"/>
  <c r="J415" i="11"/>
  <c r="K415" i="11"/>
  <c r="D416" i="11"/>
  <c r="E416" i="11"/>
  <c r="F416" i="11"/>
  <c r="G416" i="11"/>
  <c r="H416" i="11"/>
  <c r="I416" i="11"/>
  <c r="J416" i="11"/>
  <c r="K416" i="11"/>
  <c r="D417" i="11"/>
  <c r="E417" i="11"/>
  <c r="F417" i="11"/>
  <c r="G417" i="11"/>
  <c r="H417" i="11"/>
  <c r="I417" i="11"/>
  <c r="J417" i="11"/>
  <c r="K417" i="11"/>
  <c r="D418" i="11"/>
  <c r="E418" i="11"/>
  <c r="F418" i="11"/>
  <c r="G418" i="11"/>
  <c r="H418" i="11"/>
  <c r="I418" i="11"/>
  <c r="J418" i="11"/>
  <c r="K418" i="11"/>
  <c r="D419" i="11"/>
  <c r="E419" i="11"/>
  <c r="F419" i="11"/>
  <c r="G419" i="11"/>
  <c r="H419" i="11"/>
  <c r="I419" i="11"/>
  <c r="J419" i="11"/>
  <c r="K419" i="11"/>
  <c r="D420" i="11"/>
  <c r="E420" i="11"/>
  <c r="F420" i="11"/>
  <c r="G420" i="11"/>
  <c r="H420" i="11"/>
  <c r="I420" i="11"/>
  <c r="J420" i="11"/>
  <c r="K420" i="11"/>
  <c r="D421" i="11"/>
  <c r="E421" i="11"/>
  <c r="F421" i="11"/>
  <c r="G421" i="11"/>
  <c r="H421" i="11"/>
  <c r="I421" i="11"/>
  <c r="J421" i="11"/>
  <c r="K421" i="11"/>
  <c r="D422" i="11"/>
  <c r="E422" i="11"/>
  <c r="F422" i="11"/>
  <c r="G422" i="11"/>
  <c r="H422" i="11"/>
  <c r="I422" i="11"/>
  <c r="J422" i="11"/>
  <c r="K422" i="11"/>
  <c r="D423" i="11"/>
  <c r="E423" i="11"/>
  <c r="F423" i="11"/>
  <c r="G423" i="11"/>
  <c r="H423" i="11"/>
  <c r="I423" i="11"/>
  <c r="J423" i="11"/>
  <c r="K423" i="11"/>
  <c r="D424" i="11"/>
  <c r="E424" i="11"/>
  <c r="F424" i="11"/>
  <c r="G424" i="11"/>
  <c r="H424" i="11"/>
  <c r="I424" i="11"/>
  <c r="J424" i="11"/>
  <c r="K424" i="11"/>
  <c r="D425" i="11"/>
  <c r="E425" i="11"/>
  <c r="F425" i="11"/>
  <c r="G425" i="11"/>
  <c r="H425" i="11"/>
  <c r="I425" i="11"/>
  <c r="J425" i="11"/>
  <c r="K425" i="11"/>
  <c r="D426" i="11"/>
  <c r="E426" i="11"/>
  <c r="F426" i="11"/>
  <c r="G426" i="11"/>
  <c r="H426" i="11"/>
  <c r="I426" i="11"/>
  <c r="J426" i="11"/>
  <c r="K426" i="11"/>
  <c r="D427" i="11"/>
  <c r="E427" i="11"/>
  <c r="F427" i="11"/>
  <c r="G427" i="11"/>
  <c r="H427" i="11"/>
  <c r="I427" i="11"/>
  <c r="J427" i="11"/>
  <c r="K427" i="11"/>
  <c r="D428" i="11"/>
  <c r="E428" i="11"/>
  <c r="F428" i="11"/>
  <c r="G428" i="11"/>
  <c r="H428" i="11"/>
  <c r="I428" i="11"/>
  <c r="J428" i="11"/>
  <c r="K428" i="11"/>
  <c r="D429" i="11"/>
  <c r="E429" i="11"/>
  <c r="F429" i="11"/>
  <c r="G429" i="11"/>
  <c r="H429" i="11"/>
  <c r="I429" i="11"/>
  <c r="J429" i="11"/>
  <c r="K429" i="11"/>
  <c r="D430" i="11"/>
  <c r="E430" i="11"/>
  <c r="F430" i="11"/>
  <c r="G430" i="11"/>
  <c r="H430" i="11"/>
  <c r="I430" i="11"/>
  <c r="J430" i="11"/>
  <c r="K430" i="11"/>
  <c r="D431" i="11"/>
  <c r="E431" i="11"/>
  <c r="F431" i="11"/>
  <c r="G431" i="11"/>
  <c r="H431" i="11"/>
  <c r="I431" i="11"/>
  <c r="J431" i="11"/>
  <c r="K431" i="11"/>
  <c r="D432" i="11"/>
  <c r="E432" i="11"/>
  <c r="F432" i="11"/>
  <c r="G432" i="11"/>
  <c r="H432" i="11"/>
  <c r="I432" i="11"/>
  <c r="J432" i="11"/>
  <c r="K432" i="11"/>
  <c r="D433" i="11"/>
  <c r="E433" i="11"/>
  <c r="F433" i="11"/>
  <c r="G433" i="11"/>
  <c r="H433" i="11"/>
  <c r="I433" i="11"/>
  <c r="J433" i="11"/>
  <c r="K433" i="11"/>
  <c r="D434" i="11"/>
  <c r="E434" i="11"/>
  <c r="F434" i="11"/>
  <c r="G434" i="11"/>
  <c r="H434" i="11"/>
  <c r="I434" i="11"/>
  <c r="J434" i="11"/>
  <c r="K434" i="11"/>
  <c r="D435" i="11"/>
  <c r="E435" i="11"/>
  <c r="F435" i="11"/>
  <c r="G435" i="11"/>
  <c r="H435" i="11"/>
  <c r="I435" i="11"/>
  <c r="J435" i="11"/>
  <c r="K435" i="11"/>
  <c r="D436" i="11"/>
  <c r="E436" i="11"/>
  <c r="F436" i="11"/>
  <c r="G436" i="11"/>
  <c r="H436" i="11"/>
  <c r="I436" i="11"/>
  <c r="J436" i="11"/>
  <c r="K436" i="11"/>
  <c r="D437" i="11"/>
  <c r="E437" i="11"/>
  <c r="F437" i="11"/>
  <c r="G437" i="11"/>
  <c r="H437" i="11"/>
  <c r="I437" i="11"/>
  <c r="J437" i="11"/>
  <c r="K437" i="11"/>
  <c r="D438" i="11"/>
  <c r="E438" i="11"/>
  <c r="F438" i="11"/>
  <c r="G438" i="11"/>
  <c r="H438" i="11"/>
  <c r="I438" i="11"/>
  <c r="J438" i="11"/>
  <c r="K438" i="11"/>
  <c r="D439" i="11"/>
  <c r="E439" i="11"/>
  <c r="F439" i="11"/>
  <c r="G439" i="11"/>
  <c r="H439" i="11"/>
  <c r="I439" i="11"/>
  <c r="J439" i="11"/>
  <c r="K439" i="11"/>
  <c r="D440" i="11"/>
  <c r="E440" i="11"/>
  <c r="F440" i="11"/>
  <c r="G440" i="11"/>
  <c r="H440" i="11"/>
  <c r="I440" i="11"/>
  <c r="J440" i="11"/>
  <c r="K440" i="11"/>
  <c r="D441" i="11"/>
  <c r="E441" i="11"/>
  <c r="F441" i="11"/>
  <c r="G441" i="11"/>
  <c r="H441" i="11"/>
  <c r="I441" i="11"/>
  <c r="J441" i="11"/>
  <c r="K441" i="11"/>
  <c r="D442" i="11"/>
  <c r="E442" i="11"/>
  <c r="F442" i="11"/>
  <c r="G442" i="11"/>
  <c r="H442" i="11"/>
  <c r="I442" i="11"/>
  <c r="J442" i="11"/>
  <c r="K442" i="11"/>
  <c r="D443" i="11"/>
  <c r="E443" i="11"/>
  <c r="F443" i="11"/>
  <c r="G443" i="11"/>
  <c r="H443" i="11"/>
  <c r="I443" i="11"/>
  <c r="J443" i="11"/>
  <c r="K443" i="11"/>
  <c r="D444" i="11"/>
  <c r="E444" i="11"/>
  <c r="F444" i="11"/>
  <c r="G444" i="11"/>
  <c r="H444" i="11"/>
  <c r="I444" i="11"/>
  <c r="J444" i="11"/>
  <c r="K444" i="11"/>
  <c r="D445" i="11"/>
  <c r="E445" i="11"/>
  <c r="F445" i="11"/>
  <c r="G445" i="11"/>
  <c r="H445" i="11"/>
  <c r="I445" i="11"/>
  <c r="J445" i="11"/>
  <c r="K445" i="11"/>
  <c r="D446" i="11"/>
  <c r="E446" i="11"/>
  <c r="F446" i="11"/>
  <c r="G446" i="11"/>
  <c r="H446" i="11"/>
  <c r="I446" i="11"/>
  <c r="J446" i="11"/>
  <c r="K446" i="11"/>
  <c r="D447" i="11"/>
  <c r="E447" i="11"/>
  <c r="F447" i="11"/>
  <c r="G447" i="11"/>
  <c r="H447" i="11"/>
  <c r="I447" i="11"/>
  <c r="J447" i="11"/>
  <c r="K447" i="11"/>
  <c r="D448" i="11"/>
  <c r="E448" i="11"/>
  <c r="F448" i="11"/>
  <c r="G448" i="11"/>
  <c r="H448" i="11"/>
  <c r="I448" i="11"/>
  <c r="J448" i="11"/>
  <c r="K448" i="11"/>
  <c r="D449" i="11"/>
  <c r="E449" i="11"/>
  <c r="F449" i="11"/>
  <c r="G449" i="11"/>
  <c r="H449" i="11"/>
  <c r="I449" i="11"/>
  <c r="J449" i="11"/>
  <c r="K449" i="11"/>
  <c r="D450" i="11"/>
  <c r="E450" i="11"/>
  <c r="F450" i="11"/>
  <c r="G450" i="11"/>
  <c r="H450" i="11"/>
  <c r="I450" i="11"/>
  <c r="J450" i="11"/>
  <c r="K450" i="11"/>
  <c r="D451" i="11"/>
  <c r="E451" i="11"/>
  <c r="F451" i="11"/>
  <c r="G451" i="11"/>
  <c r="H451" i="11"/>
  <c r="I451" i="11"/>
  <c r="J451" i="11"/>
  <c r="K451" i="11"/>
  <c r="D452" i="11"/>
  <c r="E452" i="11"/>
  <c r="F452" i="11"/>
  <c r="G452" i="11"/>
  <c r="H452" i="11"/>
  <c r="I452" i="11"/>
  <c r="J452" i="11"/>
  <c r="K452" i="11"/>
  <c r="D453" i="11"/>
  <c r="E453" i="11"/>
  <c r="F453" i="11"/>
  <c r="G453" i="11"/>
  <c r="H453" i="11"/>
  <c r="I453" i="11"/>
  <c r="J453" i="11"/>
  <c r="K453" i="11"/>
  <c r="D454" i="11"/>
  <c r="E454" i="11"/>
  <c r="F454" i="11"/>
  <c r="G454" i="11"/>
  <c r="H454" i="11"/>
  <c r="I454" i="11"/>
  <c r="J454" i="11"/>
  <c r="K454" i="11"/>
  <c r="D455" i="11"/>
  <c r="E455" i="11"/>
  <c r="F455" i="11"/>
  <c r="G455" i="11"/>
  <c r="H455" i="11"/>
  <c r="I455" i="11"/>
  <c r="J455" i="11"/>
  <c r="K455" i="11"/>
  <c r="D456" i="11"/>
  <c r="E456" i="11"/>
  <c r="F456" i="11"/>
  <c r="G456" i="11"/>
  <c r="H456" i="11"/>
  <c r="I456" i="11"/>
  <c r="J456" i="11"/>
  <c r="K456" i="11"/>
  <c r="D457" i="11"/>
  <c r="E457" i="11"/>
  <c r="F457" i="11"/>
  <c r="G457" i="11"/>
  <c r="H457" i="11"/>
  <c r="I457" i="11"/>
  <c r="J457" i="11"/>
  <c r="K457" i="11"/>
  <c r="D458" i="11"/>
  <c r="E458" i="11"/>
  <c r="F458" i="11"/>
  <c r="G458" i="11"/>
  <c r="H458" i="11"/>
  <c r="I458" i="11"/>
  <c r="J458" i="11"/>
  <c r="K458" i="11"/>
  <c r="D459" i="11"/>
  <c r="E459" i="11"/>
  <c r="F459" i="11"/>
  <c r="G459" i="11"/>
  <c r="H459" i="11"/>
  <c r="I459" i="11"/>
  <c r="J459" i="11"/>
  <c r="K459" i="11"/>
  <c r="D460" i="11"/>
  <c r="E460" i="11"/>
  <c r="F460" i="11"/>
  <c r="G460" i="11"/>
  <c r="H460" i="11"/>
  <c r="I460" i="11"/>
  <c r="J460" i="11"/>
  <c r="K460" i="11"/>
  <c r="D461" i="11"/>
  <c r="E461" i="11"/>
  <c r="F461" i="11"/>
  <c r="G461" i="11"/>
  <c r="H461" i="11"/>
  <c r="I461" i="11"/>
  <c r="J461" i="11"/>
  <c r="K461" i="11"/>
  <c r="D462" i="11"/>
  <c r="E462" i="11"/>
  <c r="F462" i="11"/>
  <c r="G462" i="11"/>
  <c r="H462" i="11"/>
  <c r="I462" i="11"/>
  <c r="J462" i="11"/>
  <c r="K462" i="11"/>
  <c r="D463" i="11"/>
  <c r="E463" i="11"/>
  <c r="F463" i="11"/>
  <c r="G463" i="11"/>
  <c r="H463" i="11"/>
  <c r="I463" i="11"/>
  <c r="J463" i="11"/>
  <c r="K463" i="11"/>
  <c r="D464" i="11"/>
  <c r="E464" i="11"/>
  <c r="F464" i="11"/>
  <c r="G464" i="11"/>
  <c r="H464" i="11"/>
  <c r="I464" i="11"/>
  <c r="J464" i="11"/>
  <c r="K464" i="11"/>
  <c r="D465" i="11"/>
  <c r="E465" i="11"/>
  <c r="F465" i="11"/>
  <c r="G465" i="11"/>
  <c r="H465" i="11"/>
  <c r="I465" i="11"/>
  <c r="J465" i="11"/>
  <c r="K465" i="11"/>
  <c r="D466" i="11"/>
  <c r="E466" i="11"/>
  <c r="F466" i="11"/>
  <c r="G466" i="11"/>
  <c r="H466" i="11"/>
  <c r="I466" i="11"/>
  <c r="J466" i="11"/>
  <c r="K466" i="11"/>
  <c r="D467" i="11"/>
  <c r="E467" i="11"/>
  <c r="F467" i="11"/>
  <c r="G467" i="11"/>
  <c r="H467" i="11"/>
  <c r="I467" i="11"/>
  <c r="J467" i="11"/>
  <c r="K467" i="11"/>
  <c r="D468" i="11"/>
  <c r="E468" i="11"/>
  <c r="F468" i="11"/>
  <c r="G468" i="11"/>
  <c r="H468" i="11"/>
  <c r="I468" i="11"/>
  <c r="J468" i="11"/>
  <c r="K468" i="11"/>
  <c r="D469" i="11"/>
  <c r="E469" i="11"/>
  <c r="F469" i="11"/>
  <c r="G469" i="11"/>
  <c r="H469" i="11"/>
  <c r="I469" i="11"/>
  <c r="J469" i="11"/>
  <c r="K469" i="11"/>
  <c r="D470" i="11"/>
  <c r="E470" i="11"/>
  <c r="F470" i="11"/>
  <c r="G470" i="11"/>
  <c r="H470" i="11"/>
  <c r="I470" i="11"/>
  <c r="J470" i="11"/>
  <c r="K470" i="11"/>
  <c r="D471" i="11"/>
  <c r="E471" i="11"/>
  <c r="F471" i="11"/>
  <c r="G471" i="11"/>
  <c r="H471" i="11"/>
  <c r="I471" i="11"/>
  <c r="J471" i="11"/>
  <c r="K471" i="11"/>
  <c r="D472" i="11"/>
  <c r="E472" i="11"/>
  <c r="F472" i="11"/>
  <c r="G472" i="11"/>
  <c r="H472" i="11"/>
  <c r="I472" i="11"/>
  <c r="J472" i="11"/>
  <c r="K472" i="11"/>
  <c r="D473" i="11"/>
  <c r="E473" i="11"/>
  <c r="F473" i="11"/>
  <c r="G473" i="11"/>
  <c r="H473" i="11"/>
  <c r="I473" i="11"/>
  <c r="J473" i="11"/>
  <c r="K473" i="11"/>
  <c r="D474" i="11"/>
  <c r="E474" i="11"/>
  <c r="F474" i="11"/>
  <c r="G474" i="11"/>
  <c r="H474" i="11"/>
  <c r="I474" i="11"/>
  <c r="J474" i="11"/>
  <c r="K474" i="11"/>
  <c r="D475" i="11"/>
  <c r="E475" i="11"/>
  <c r="F475" i="11"/>
  <c r="G475" i="11"/>
  <c r="H475" i="11"/>
  <c r="I475" i="11"/>
  <c r="J475" i="11"/>
  <c r="K475" i="11"/>
  <c r="D476" i="11"/>
  <c r="E476" i="11"/>
  <c r="F476" i="11"/>
  <c r="G476" i="11"/>
  <c r="H476" i="11"/>
  <c r="I476" i="11"/>
  <c r="J476" i="11"/>
  <c r="K476" i="11"/>
  <c r="D477" i="11"/>
  <c r="E477" i="11"/>
  <c r="F477" i="11"/>
  <c r="G477" i="11"/>
  <c r="H477" i="11"/>
  <c r="I477" i="11"/>
  <c r="J477" i="11"/>
  <c r="K477" i="11"/>
  <c r="D478" i="11"/>
  <c r="E478" i="11"/>
  <c r="F478" i="11"/>
  <c r="G478" i="11"/>
  <c r="H478" i="11"/>
  <c r="I478" i="11"/>
  <c r="J478" i="11"/>
  <c r="K478" i="11"/>
  <c r="D479" i="11"/>
  <c r="E479" i="11"/>
  <c r="F479" i="11"/>
  <c r="G479" i="11"/>
  <c r="H479" i="11"/>
  <c r="I479" i="11"/>
  <c r="J479" i="11"/>
  <c r="K479" i="11"/>
  <c r="D480" i="11"/>
  <c r="E480" i="11"/>
  <c r="F480" i="11"/>
  <c r="G480" i="11"/>
  <c r="H480" i="11"/>
  <c r="I480" i="11"/>
  <c r="J480" i="11"/>
  <c r="K480" i="11"/>
  <c r="D481" i="11"/>
  <c r="E481" i="11"/>
  <c r="F481" i="11"/>
  <c r="G481" i="11"/>
  <c r="H481" i="11"/>
  <c r="I481" i="11"/>
  <c r="J481" i="11"/>
  <c r="K481" i="11"/>
  <c r="D482" i="11"/>
  <c r="E482" i="11"/>
  <c r="F482" i="11"/>
  <c r="G482" i="11"/>
  <c r="H482" i="11"/>
  <c r="I482" i="11"/>
  <c r="J482" i="11"/>
  <c r="K482" i="11"/>
  <c r="D483" i="11"/>
  <c r="E483" i="11"/>
  <c r="F483" i="11"/>
  <c r="G483" i="11"/>
  <c r="H483" i="11"/>
  <c r="I483" i="11"/>
  <c r="J483" i="11"/>
  <c r="K483" i="11"/>
  <c r="D484" i="11"/>
  <c r="E484" i="11"/>
  <c r="F484" i="11"/>
  <c r="G484" i="11"/>
  <c r="H484" i="11"/>
  <c r="I484" i="11"/>
  <c r="J484" i="11"/>
  <c r="K484" i="11"/>
  <c r="D485" i="11"/>
  <c r="E485" i="11"/>
  <c r="F485" i="11"/>
  <c r="G485" i="11"/>
  <c r="H485" i="11"/>
  <c r="I485" i="11"/>
  <c r="J485" i="11"/>
  <c r="K485" i="11"/>
  <c r="D486" i="11"/>
  <c r="E486" i="11"/>
  <c r="F486" i="11"/>
  <c r="G486" i="11"/>
  <c r="H486" i="11"/>
  <c r="I486" i="11"/>
  <c r="J486" i="11"/>
  <c r="K486" i="11"/>
  <c r="D487" i="11"/>
  <c r="E487" i="11"/>
  <c r="F487" i="11"/>
  <c r="G487" i="11"/>
  <c r="H487" i="11"/>
  <c r="I487" i="11"/>
  <c r="J487" i="11"/>
  <c r="K487" i="11"/>
  <c r="D488" i="11"/>
  <c r="E488" i="11"/>
  <c r="F488" i="11"/>
  <c r="G488" i="11"/>
  <c r="H488" i="11"/>
  <c r="I488" i="11"/>
  <c r="J488" i="11"/>
  <c r="K488" i="11"/>
  <c r="D489" i="11"/>
  <c r="E489" i="11"/>
  <c r="F489" i="11"/>
  <c r="G489" i="11"/>
  <c r="H489" i="11"/>
  <c r="I489" i="11"/>
  <c r="J489" i="11"/>
  <c r="K489" i="11"/>
  <c r="D490" i="11"/>
  <c r="E490" i="11"/>
  <c r="F490" i="11"/>
  <c r="G490" i="11"/>
  <c r="H490" i="11"/>
  <c r="I490" i="11"/>
  <c r="J490" i="11"/>
  <c r="K490" i="11"/>
  <c r="D491" i="11"/>
  <c r="E491" i="11"/>
  <c r="F491" i="11"/>
  <c r="G491" i="11"/>
  <c r="H491" i="11"/>
  <c r="I491" i="11"/>
  <c r="J491" i="11"/>
  <c r="K491" i="11"/>
  <c r="D492" i="11"/>
  <c r="E492" i="11"/>
  <c r="F492" i="11"/>
  <c r="G492" i="11"/>
  <c r="H492" i="11"/>
  <c r="I492" i="11"/>
  <c r="J492" i="11"/>
  <c r="K492" i="11"/>
  <c r="D493" i="11"/>
  <c r="E493" i="11"/>
  <c r="F493" i="11"/>
  <c r="G493" i="11"/>
  <c r="H493" i="11"/>
  <c r="I493" i="11"/>
  <c r="J493" i="11"/>
  <c r="K493" i="11"/>
  <c r="D494" i="11"/>
  <c r="E494" i="11"/>
  <c r="F494" i="11"/>
  <c r="G494" i="11"/>
  <c r="H494" i="11"/>
  <c r="I494" i="11"/>
  <c r="J494" i="11"/>
  <c r="K494" i="11"/>
  <c r="D495" i="11"/>
  <c r="E495" i="11"/>
  <c r="F495" i="11"/>
  <c r="G495" i="11"/>
  <c r="H495" i="11"/>
  <c r="I495" i="11"/>
  <c r="J495" i="11"/>
  <c r="K495" i="11"/>
  <c r="D496" i="11"/>
  <c r="E496" i="11"/>
  <c r="F496" i="11"/>
  <c r="G496" i="11"/>
  <c r="H496" i="11"/>
  <c r="I496" i="11"/>
  <c r="J496" i="11"/>
  <c r="K496" i="11"/>
  <c r="D497" i="11"/>
  <c r="E497" i="11"/>
  <c r="F497" i="11"/>
  <c r="G497" i="11"/>
  <c r="H497" i="11"/>
  <c r="I497" i="11"/>
  <c r="J497" i="11"/>
  <c r="K497" i="11"/>
  <c r="D498" i="11"/>
  <c r="E498" i="11"/>
  <c r="F498" i="11"/>
  <c r="G498" i="11"/>
  <c r="H498" i="11"/>
  <c r="I498" i="11"/>
  <c r="J498" i="11"/>
  <c r="K498" i="11"/>
  <c r="D499" i="11"/>
  <c r="E499" i="11"/>
  <c r="F499" i="11"/>
  <c r="G499" i="11"/>
  <c r="H499" i="11"/>
  <c r="I499" i="11"/>
  <c r="J499" i="11"/>
  <c r="K499" i="11"/>
  <c r="D500" i="11"/>
  <c r="E500" i="11"/>
  <c r="F500" i="11"/>
  <c r="G500" i="11"/>
  <c r="H500" i="11"/>
  <c r="I500" i="11"/>
  <c r="J500" i="11"/>
  <c r="K500" i="11"/>
  <c r="D501" i="11"/>
  <c r="E501" i="11"/>
  <c r="F501" i="11"/>
  <c r="G501" i="11"/>
  <c r="H501" i="11"/>
  <c r="I501" i="11"/>
  <c r="J501" i="11"/>
  <c r="K501" i="11"/>
  <c r="D502" i="11"/>
  <c r="E502" i="11"/>
  <c r="F502" i="11"/>
  <c r="G502" i="11"/>
  <c r="H502" i="11"/>
  <c r="I502" i="11"/>
  <c r="J502" i="11"/>
  <c r="K502" i="11"/>
  <c r="D503" i="11"/>
  <c r="E503" i="11"/>
  <c r="F503" i="11"/>
  <c r="G503" i="11"/>
  <c r="H503" i="11"/>
  <c r="I503" i="11"/>
  <c r="J503" i="11"/>
  <c r="K503" i="11"/>
  <c r="D504" i="11"/>
  <c r="E504" i="11"/>
  <c r="F504" i="11"/>
  <c r="G504" i="11"/>
  <c r="H504" i="11"/>
  <c r="I504" i="11"/>
  <c r="J504" i="11"/>
  <c r="K504" i="11"/>
  <c r="D505" i="11"/>
  <c r="E505" i="11"/>
  <c r="F505" i="11"/>
  <c r="G505" i="11"/>
  <c r="H505" i="11"/>
  <c r="I505" i="11"/>
  <c r="J505" i="11"/>
  <c r="K505" i="11"/>
  <c r="D506" i="11"/>
  <c r="E506" i="11"/>
  <c r="F506" i="11"/>
  <c r="G506" i="11"/>
  <c r="H506" i="11"/>
  <c r="I506" i="11"/>
  <c r="J506" i="11"/>
  <c r="K506" i="11"/>
  <c r="D507" i="11"/>
  <c r="E507" i="11"/>
  <c r="F507" i="11"/>
  <c r="G507" i="11"/>
  <c r="H507" i="11"/>
  <c r="I507" i="11"/>
  <c r="J507" i="11"/>
  <c r="K507" i="11"/>
  <c r="D508" i="11"/>
  <c r="E508" i="11"/>
  <c r="F508" i="11"/>
  <c r="G508" i="11"/>
  <c r="H508" i="11"/>
  <c r="I508" i="11"/>
  <c r="J508" i="11"/>
  <c r="K508" i="11"/>
  <c r="D509" i="11"/>
  <c r="E509" i="11"/>
  <c r="F509" i="11"/>
  <c r="G509" i="11"/>
  <c r="H509" i="11"/>
  <c r="I509" i="11"/>
  <c r="J509" i="11"/>
  <c r="K509" i="11"/>
  <c r="D510" i="11"/>
  <c r="E510" i="11"/>
  <c r="F510" i="11"/>
  <c r="G510" i="11"/>
  <c r="H510" i="11"/>
  <c r="I510" i="11"/>
  <c r="J510" i="11"/>
  <c r="K510" i="11"/>
  <c r="D511" i="11"/>
  <c r="E511" i="11"/>
  <c r="F511" i="11"/>
  <c r="G511" i="11"/>
  <c r="H511" i="11"/>
  <c r="I511" i="11"/>
  <c r="J511" i="11"/>
  <c r="K511" i="11"/>
  <c r="D512" i="11"/>
  <c r="E512" i="11"/>
  <c r="F512" i="11"/>
  <c r="G512" i="11"/>
  <c r="H512" i="11"/>
  <c r="I512" i="11"/>
  <c r="J512" i="11"/>
  <c r="K512" i="11"/>
  <c r="D513" i="11"/>
  <c r="E513" i="11"/>
  <c r="F513" i="11"/>
  <c r="G513" i="11"/>
  <c r="H513" i="11"/>
  <c r="I513" i="11"/>
  <c r="J513" i="11"/>
  <c r="K513" i="11"/>
  <c r="D514" i="11"/>
  <c r="E514" i="11"/>
  <c r="F514" i="11"/>
  <c r="G514" i="11"/>
  <c r="H514" i="11"/>
  <c r="I514" i="11"/>
  <c r="J514" i="11"/>
  <c r="K514" i="11"/>
  <c r="D515" i="11"/>
  <c r="E515" i="11"/>
  <c r="F515" i="11"/>
  <c r="G515" i="11"/>
  <c r="H515" i="11"/>
  <c r="I515" i="11"/>
  <c r="J515" i="11"/>
  <c r="K515" i="11"/>
  <c r="D516" i="11"/>
  <c r="E516" i="11"/>
  <c r="F516" i="11"/>
  <c r="G516" i="11"/>
  <c r="H516" i="11"/>
  <c r="I516" i="11"/>
  <c r="J516" i="11"/>
  <c r="K516" i="11"/>
  <c r="D517" i="11"/>
  <c r="E517" i="11"/>
  <c r="F517" i="11"/>
  <c r="G517" i="11"/>
  <c r="H517" i="11"/>
  <c r="I517" i="11"/>
  <c r="J517" i="11"/>
  <c r="K517" i="11"/>
  <c r="D518" i="11"/>
  <c r="E518" i="11"/>
  <c r="F518" i="11"/>
  <c r="G518" i="11"/>
  <c r="H518" i="11"/>
  <c r="I518" i="11"/>
  <c r="J518" i="11"/>
  <c r="K518" i="11"/>
  <c r="D519" i="11"/>
  <c r="E519" i="11"/>
  <c r="F519" i="11"/>
  <c r="G519" i="11"/>
  <c r="H519" i="11"/>
  <c r="I519" i="11"/>
  <c r="J519" i="11"/>
  <c r="K519" i="11"/>
  <c r="D520" i="11"/>
  <c r="E520" i="11"/>
  <c r="F520" i="11"/>
  <c r="G520" i="11"/>
  <c r="H520" i="11"/>
  <c r="I520" i="11"/>
  <c r="J520" i="11"/>
  <c r="K520" i="11"/>
  <c r="D521" i="11"/>
  <c r="E521" i="11"/>
  <c r="F521" i="11"/>
  <c r="G521" i="11"/>
  <c r="H521" i="11"/>
  <c r="I521" i="11"/>
  <c r="J521" i="11"/>
  <c r="K521" i="11"/>
  <c r="D522" i="11"/>
  <c r="E522" i="11"/>
  <c r="F522" i="11"/>
  <c r="G522" i="11"/>
  <c r="H522" i="11"/>
  <c r="I522" i="11"/>
  <c r="J522" i="11"/>
  <c r="K522" i="11"/>
  <c r="D523" i="11"/>
  <c r="E523" i="11"/>
  <c r="F523" i="11"/>
  <c r="G523" i="11"/>
  <c r="H523" i="11"/>
  <c r="I523" i="11"/>
  <c r="J523" i="11"/>
  <c r="K523" i="11"/>
  <c r="D524" i="11"/>
  <c r="E524" i="11"/>
  <c r="F524" i="11"/>
  <c r="G524" i="11"/>
  <c r="H524" i="11"/>
  <c r="I524" i="11"/>
  <c r="J524" i="11"/>
  <c r="K524" i="11"/>
  <c r="D525" i="11"/>
  <c r="E525" i="11"/>
  <c r="F525" i="11"/>
  <c r="G525" i="11"/>
  <c r="H525" i="11"/>
  <c r="I525" i="11"/>
  <c r="J525" i="11"/>
  <c r="K525" i="11"/>
  <c r="D526" i="11"/>
  <c r="E526" i="11"/>
  <c r="F526" i="11"/>
  <c r="G526" i="11"/>
  <c r="H526" i="11"/>
  <c r="I526" i="11"/>
  <c r="J526" i="11"/>
  <c r="K526" i="11"/>
  <c r="D527" i="11"/>
  <c r="E527" i="11"/>
  <c r="F527" i="11"/>
  <c r="G527" i="11"/>
  <c r="H527" i="11"/>
  <c r="I527" i="11"/>
  <c r="J527" i="11"/>
  <c r="K527" i="11"/>
  <c r="D528" i="11"/>
  <c r="E528" i="11"/>
  <c r="F528" i="11"/>
  <c r="G528" i="11"/>
  <c r="H528" i="11"/>
  <c r="I528" i="11"/>
  <c r="J528" i="11"/>
  <c r="K528" i="11"/>
  <c r="D529" i="11"/>
  <c r="E529" i="11"/>
  <c r="F529" i="11"/>
  <c r="G529" i="11"/>
  <c r="H529" i="11"/>
  <c r="I529" i="11"/>
  <c r="J529" i="11"/>
  <c r="K529" i="11"/>
  <c r="D530" i="11"/>
  <c r="E530" i="11"/>
  <c r="F530" i="11"/>
  <c r="G530" i="11"/>
  <c r="H530" i="11"/>
  <c r="I530" i="11"/>
  <c r="J530" i="11"/>
  <c r="K530" i="11"/>
  <c r="D531" i="11"/>
  <c r="E531" i="11"/>
  <c r="F531" i="11"/>
  <c r="G531" i="11"/>
  <c r="H531" i="11"/>
  <c r="I531" i="11"/>
  <c r="J531" i="11"/>
  <c r="K531" i="11"/>
  <c r="D532" i="11"/>
  <c r="E532" i="11"/>
  <c r="F532" i="11"/>
  <c r="G532" i="11"/>
  <c r="H532" i="11"/>
  <c r="I532" i="11"/>
  <c r="J532" i="11"/>
  <c r="K532" i="11"/>
  <c r="D533" i="11"/>
  <c r="E533" i="11"/>
  <c r="F533" i="11"/>
  <c r="G533" i="11"/>
  <c r="H533" i="11"/>
  <c r="I533" i="11"/>
  <c r="J533" i="11"/>
  <c r="K533" i="11"/>
  <c r="D534" i="11"/>
  <c r="E534" i="11"/>
  <c r="F534" i="11"/>
  <c r="G534" i="11"/>
  <c r="H534" i="11"/>
  <c r="I534" i="11"/>
  <c r="J534" i="11"/>
  <c r="K534" i="11"/>
  <c r="D535" i="11"/>
  <c r="E535" i="11"/>
  <c r="F535" i="11"/>
  <c r="G535" i="11"/>
  <c r="H535" i="11"/>
  <c r="I535" i="11"/>
  <c r="J535" i="11"/>
  <c r="K535" i="11"/>
  <c r="D536" i="11"/>
  <c r="E536" i="11"/>
  <c r="F536" i="11"/>
  <c r="G536" i="11"/>
  <c r="H536" i="11"/>
  <c r="I536" i="11"/>
  <c r="J536" i="11"/>
  <c r="K536" i="11"/>
  <c r="D537" i="11"/>
  <c r="E537" i="11"/>
  <c r="F537" i="11"/>
  <c r="G537" i="11"/>
  <c r="H537" i="11"/>
  <c r="I537" i="11"/>
  <c r="J537" i="11"/>
  <c r="K537" i="11"/>
  <c r="D538" i="11"/>
  <c r="E538" i="11"/>
  <c r="F538" i="11"/>
  <c r="G538" i="11"/>
  <c r="H538" i="11"/>
  <c r="I538" i="11"/>
  <c r="J538" i="11"/>
  <c r="K538" i="11"/>
  <c r="D539" i="11"/>
  <c r="E539" i="11"/>
  <c r="F539" i="11"/>
  <c r="G539" i="11"/>
  <c r="H539" i="11"/>
  <c r="I539" i="11"/>
  <c r="J539" i="11"/>
  <c r="K539" i="11"/>
  <c r="D540" i="11"/>
  <c r="E540" i="11"/>
  <c r="F540" i="11"/>
  <c r="G540" i="11"/>
  <c r="H540" i="11"/>
  <c r="I540" i="11"/>
  <c r="J540" i="11"/>
  <c r="K540" i="11"/>
  <c r="D541" i="11"/>
  <c r="E541" i="11"/>
  <c r="F541" i="11"/>
  <c r="G541" i="11"/>
  <c r="H541" i="11"/>
  <c r="I541" i="11"/>
  <c r="J541" i="11"/>
  <c r="K541" i="11"/>
  <c r="D542" i="11"/>
  <c r="E542" i="11"/>
  <c r="F542" i="11"/>
  <c r="G542" i="11"/>
  <c r="H542" i="11"/>
  <c r="I542" i="11"/>
  <c r="J542" i="11"/>
  <c r="K542" i="11"/>
  <c r="D543" i="11"/>
  <c r="E543" i="11"/>
  <c r="F543" i="11"/>
  <c r="G543" i="11"/>
  <c r="H543" i="11"/>
  <c r="I543" i="11"/>
  <c r="J543" i="11"/>
  <c r="K543" i="11"/>
  <c r="D544" i="11"/>
  <c r="E544" i="11"/>
  <c r="F544" i="11"/>
  <c r="G544" i="11"/>
  <c r="H544" i="11"/>
  <c r="I544" i="11"/>
  <c r="J544" i="11"/>
  <c r="K544" i="11"/>
  <c r="D545" i="11"/>
  <c r="E545" i="11"/>
  <c r="F545" i="11"/>
  <c r="G545" i="11"/>
  <c r="H545" i="11"/>
  <c r="I545" i="11"/>
  <c r="J545" i="11"/>
  <c r="K545" i="11"/>
  <c r="D546" i="11"/>
  <c r="E546" i="11"/>
  <c r="F546" i="11"/>
  <c r="G546" i="11"/>
  <c r="H546" i="11"/>
  <c r="I546" i="11"/>
  <c r="J546" i="11"/>
  <c r="K546" i="11"/>
  <c r="D547" i="11"/>
  <c r="E547" i="11"/>
  <c r="F547" i="11"/>
  <c r="G547" i="11"/>
  <c r="H547" i="11"/>
  <c r="I547" i="11"/>
  <c r="J547" i="11"/>
  <c r="K547" i="11"/>
  <c r="D548" i="11"/>
  <c r="E548" i="11"/>
  <c r="F548" i="11"/>
  <c r="G548" i="11"/>
  <c r="H548" i="11"/>
  <c r="I548" i="11"/>
  <c r="J548" i="11"/>
  <c r="K548" i="11"/>
  <c r="D549" i="11"/>
  <c r="E549" i="11"/>
  <c r="F549" i="11"/>
  <c r="G549" i="11"/>
  <c r="H549" i="11"/>
  <c r="I549" i="11"/>
  <c r="J549" i="11"/>
  <c r="K549" i="11"/>
  <c r="D550" i="11"/>
  <c r="E550" i="11"/>
  <c r="F550" i="11"/>
  <c r="G550" i="11"/>
  <c r="H550" i="11"/>
  <c r="I550" i="11"/>
  <c r="J550" i="11"/>
  <c r="K550" i="11"/>
  <c r="D551" i="11"/>
  <c r="E551" i="11"/>
  <c r="F551" i="11"/>
  <c r="G551" i="11"/>
  <c r="H551" i="11"/>
  <c r="I551" i="11"/>
  <c r="J551" i="11"/>
  <c r="K551" i="11"/>
  <c r="D552" i="11"/>
  <c r="E552" i="11"/>
  <c r="F552" i="11"/>
  <c r="G552" i="11"/>
  <c r="H552" i="11"/>
  <c r="I552" i="11"/>
  <c r="J552" i="11"/>
  <c r="K552" i="11"/>
  <c r="D553" i="11"/>
  <c r="E553" i="11"/>
  <c r="F553" i="11"/>
  <c r="G553" i="11"/>
  <c r="H553" i="11"/>
  <c r="I553" i="11"/>
  <c r="J553" i="11"/>
  <c r="K553" i="11"/>
  <c r="D554" i="11"/>
  <c r="E554" i="11"/>
  <c r="F554" i="11"/>
  <c r="G554" i="11"/>
  <c r="H554" i="11"/>
  <c r="I554" i="11"/>
  <c r="J554" i="11"/>
  <c r="K554" i="11"/>
  <c r="D555" i="11"/>
  <c r="E555" i="11"/>
  <c r="F555" i="11"/>
  <c r="G555" i="11"/>
  <c r="H555" i="11"/>
  <c r="I555" i="11"/>
  <c r="J555" i="11"/>
  <c r="K555" i="11"/>
  <c r="D556" i="11"/>
  <c r="E556" i="11"/>
  <c r="F556" i="11"/>
  <c r="G556" i="11"/>
  <c r="H556" i="11"/>
  <c r="I556" i="11"/>
  <c r="J556" i="11"/>
  <c r="K556" i="11"/>
  <c r="D557" i="11"/>
  <c r="E557" i="11"/>
  <c r="F557" i="11"/>
  <c r="G557" i="11"/>
  <c r="H557" i="11"/>
  <c r="I557" i="11"/>
  <c r="J557" i="11"/>
  <c r="K557" i="11"/>
  <c r="D558" i="11"/>
  <c r="E558" i="11"/>
  <c r="F558" i="11"/>
  <c r="G558" i="11"/>
  <c r="H558" i="11"/>
  <c r="I558" i="11"/>
  <c r="J558" i="11"/>
  <c r="K558" i="11"/>
  <c r="D559" i="11"/>
  <c r="E559" i="11"/>
  <c r="F559" i="11"/>
  <c r="G559" i="11"/>
  <c r="H559" i="11"/>
  <c r="I559" i="11"/>
  <c r="J559" i="11"/>
  <c r="K559" i="11"/>
  <c r="D560" i="11"/>
  <c r="E560" i="11"/>
  <c r="F560" i="11"/>
  <c r="G560" i="11"/>
  <c r="H560" i="11"/>
  <c r="I560" i="11"/>
  <c r="J560" i="11"/>
  <c r="K560" i="11"/>
  <c r="D561" i="11"/>
  <c r="E561" i="11"/>
  <c r="F561" i="11"/>
  <c r="G561" i="11"/>
  <c r="H561" i="11"/>
  <c r="I561" i="11"/>
  <c r="J561" i="11"/>
  <c r="K561" i="11"/>
  <c r="D562" i="11"/>
  <c r="E562" i="11"/>
  <c r="F562" i="11"/>
  <c r="G562" i="11"/>
  <c r="H562" i="11"/>
  <c r="I562" i="11"/>
  <c r="J562" i="11"/>
  <c r="K562" i="11"/>
  <c r="D563" i="11"/>
  <c r="E563" i="11"/>
  <c r="F563" i="11"/>
  <c r="G563" i="11"/>
  <c r="H563" i="11"/>
  <c r="I563" i="11"/>
  <c r="J563" i="11"/>
  <c r="K563" i="11"/>
  <c r="D564" i="11"/>
  <c r="E564" i="11"/>
  <c r="F564" i="11"/>
  <c r="G564" i="11"/>
  <c r="H564" i="11"/>
  <c r="I564" i="11"/>
  <c r="J564" i="11"/>
  <c r="K564" i="11"/>
  <c r="D565" i="11"/>
  <c r="E565" i="11"/>
  <c r="F565" i="11"/>
  <c r="G565" i="11"/>
  <c r="H565" i="11"/>
  <c r="I565" i="11"/>
  <c r="J565" i="11"/>
  <c r="K565" i="11"/>
  <c r="D566" i="11"/>
  <c r="E566" i="11"/>
  <c r="F566" i="11"/>
  <c r="G566" i="11"/>
  <c r="H566" i="11"/>
  <c r="I566" i="11"/>
  <c r="J566" i="11"/>
  <c r="K566" i="11"/>
  <c r="D567" i="11"/>
  <c r="E567" i="11"/>
  <c r="F567" i="11"/>
  <c r="G567" i="11"/>
  <c r="H567" i="11"/>
  <c r="I567" i="11"/>
  <c r="J567" i="11"/>
  <c r="K567" i="11"/>
  <c r="D568" i="11"/>
  <c r="E568" i="11"/>
  <c r="F568" i="11"/>
  <c r="G568" i="11"/>
  <c r="H568" i="11"/>
  <c r="I568" i="11"/>
  <c r="J568" i="11"/>
  <c r="K568" i="11"/>
  <c r="D569" i="11"/>
  <c r="E569" i="11"/>
  <c r="F569" i="11"/>
  <c r="G569" i="11"/>
  <c r="H569" i="11"/>
  <c r="I569" i="11"/>
  <c r="J569" i="11"/>
  <c r="K569" i="11"/>
  <c r="D570" i="11"/>
  <c r="E570" i="11"/>
  <c r="F570" i="11"/>
  <c r="G570" i="11"/>
  <c r="H570" i="11"/>
  <c r="I570" i="11"/>
  <c r="J570" i="11"/>
  <c r="K570" i="11"/>
  <c r="D571" i="11"/>
  <c r="E571" i="11"/>
  <c r="F571" i="11"/>
  <c r="G571" i="11"/>
  <c r="H571" i="11"/>
  <c r="I571" i="11"/>
  <c r="J571" i="11"/>
  <c r="K571" i="11"/>
  <c r="D572" i="11"/>
  <c r="E572" i="11"/>
  <c r="F572" i="11"/>
  <c r="G572" i="11"/>
  <c r="H572" i="11"/>
  <c r="I572" i="11"/>
  <c r="J572" i="11"/>
  <c r="K572" i="11"/>
  <c r="D573" i="11"/>
  <c r="E573" i="11"/>
  <c r="F573" i="11"/>
  <c r="G573" i="11"/>
  <c r="H573" i="11"/>
  <c r="I573" i="11"/>
  <c r="J573" i="11"/>
  <c r="K573" i="11"/>
  <c r="D574" i="11"/>
  <c r="E574" i="11"/>
  <c r="F574" i="11"/>
  <c r="G574" i="11"/>
  <c r="H574" i="11"/>
  <c r="I574" i="11"/>
  <c r="J574" i="11"/>
  <c r="K574" i="11"/>
  <c r="D575" i="11"/>
  <c r="E575" i="11"/>
  <c r="F575" i="11"/>
  <c r="G575" i="11"/>
  <c r="H575" i="11"/>
  <c r="I575" i="11"/>
  <c r="J575" i="11"/>
  <c r="K575" i="11"/>
  <c r="D576" i="11"/>
  <c r="E576" i="11"/>
  <c r="F576" i="11"/>
  <c r="G576" i="11"/>
  <c r="H576" i="11"/>
  <c r="I576" i="11"/>
  <c r="J576" i="11"/>
  <c r="K576" i="11"/>
  <c r="D577" i="11"/>
  <c r="E577" i="11"/>
  <c r="F577" i="11"/>
  <c r="G577" i="11"/>
  <c r="H577" i="11"/>
  <c r="I577" i="11"/>
  <c r="J577" i="11"/>
  <c r="K577" i="11"/>
  <c r="D578" i="11"/>
  <c r="E578" i="11"/>
  <c r="F578" i="11"/>
  <c r="G578" i="11"/>
  <c r="H578" i="11"/>
  <c r="I578" i="11"/>
  <c r="J578" i="11"/>
  <c r="K578" i="11"/>
  <c r="D579" i="11"/>
  <c r="E579" i="11"/>
  <c r="F579" i="11"/>
  <c r="G579" i="11"/>
  <c r="H579" i="11"/>
  <c r="I579" i="11"/>
  <c r="J579" i="11"/>
  <c r="K579" i="11"/>
  <c r="D580" i="11"/>
  <c r="E580" i="11"/>
  <c r="F580" i="11"/>
  <c r="G580" i="11"/>
  <c r="H580" i="11"/>
  <c r="I580" i="11"/>
  <c r="J580" i="11"/>
  <c r="K580" i="11"/>
  <c r="D581" i="11"/>
  <c r="E581" i="11"/>
  <c r="F581" i="11"/>
  <c r="G581" i="11"/>
  <c r="H581" i="11"/>
  <c r="I581" i="11"/>
  <c r="J581" i="11"/>
  <c r="K581" i="11"/>
  <c r="D582" i="11"/>
  <c r="E582" i="11"/>
  <c r="F582" i="11"/>
  <c r="G582" i="11"/>
  <c r="H582" i="11"/>
  <c r="I582" i="11"/>
  <c r="J582" i="11"/>
  <c r="K582" i="11"/>
  <c r="D583" i="11"/>
  <c r="E583" i="11"/>
  <c r="F583" i="11"/>
  <c r="G583" i="11"/>
  <c r="H583" i="11"/>
  <c r="I583" i="11"/>
  <c r="J583" i="11"/>
  <c r="K583" i="11"/>
  <c r="D584" i="11"/>
  <c r="E584" i="11"/>
  <c r="F584" i="11"/>
  <c r="G584" i="11"/>
  <c r="H584" i="11"/>
  <c r="I584" i="11"/>
  <c r="J584" i="11"/>
  <c r="K584" i="11"/>
  <c r="D585" i="11"/>
  <c r="E585" i="11"/>
  <c r="F585" i="11"/>
  <c r="G585" i="11"/>
  <c r="H585" i="11"/>
  <c r="I585" i="11"/>
  <c r="J585" i="11"/>
  <c r="K585" i="11"/>
  <c r="D586" i="11"/>
  <c r="E586" i="11"/>
  <c r="F586" i="11"/>
  <c r="G586" i="11"/>
  <c r="H586" i="11"/>
  <c r="I586" i="11"/>
  <c r="J586" i="11"/>
  <c r="K586" i="11"/>
  <c r="D587" i="11"/>
  <c r="E587" i="11"/>
  <c r="F587" i="11"/>
  <c r="G587" i="11"/>
  <c r="H587" i="11"/>
  <c r="I587" i="11"/>
  <c r="J587" i="11"/>
  <c r="K587" i="11"/>
  <c r="D588" i="11"/>
  <c r="E588" i="11"/>
  <c r="F588" i="11"/>
  <c r="G588" i="11"/>
  <c r="H588" i="11"/>
  <c r="I588" i="11"/>
  <c r="J588" i="11"/>
  <c r="K588" i="11"/>
  <c r="D589" i="11"/>
  <c r="E589" i="11"/>
  <c r="F589" i="11"/>
  <c r="G589" i="11"/>
  <c r="H589" i="11"/>
  <c r="I589" i="11"/>
  <c r="J589" i="11"/>
  <c r="K589" i="11"/>
  <c r="D590" i="11"/>
  <c r="E590" i="11"/>
  <c r="F590" i="11"/>
  <c r="G590" i="11"/>
  <c r="H590" i="11"/>
  <c r="I590" i="11"/>
  <c r="J590" i="11"/>
  <c r="K590" i="11"/>
  <c r="D591" i="11"/>
  <c r="E591" i="11"/>
  <c r="F591" i="11"/>
  <c r="G591" i="11"/>
  <c r="H591" i="11"/>
  <c r="I591" i="11"/>
  <c r="J591" i="11"/>
  <c r="K591" i="11"/>
  <c r="D592" i="11"/>
  <c r="E592" i="11"/>
  <c r="F592" i="11"/>
  <c r="G592" i="11"/>
  <c r="H592" i="11"/>
  <c r="I592" i="11"/>
  <c r="J592" i="11"/>
  <c r="K592" i="11"/>
  <c r="D593" i="11"/>
  <c r="E593" i="11"/>
  <c r="F593" i="11"/>
  <c r="G593" i="11"/>
  <c r="H593" i="11"/>
  <c r="I593" i="11"/>
  <c r="J593" i="11"/>
  <c r="K593" i="11"/>
  <c r="D594" i="11"/>
  <c r="E594" i="11"/>
  <c r="F594" i="11"/>
  <c r="G594" i="11"/>
  <c r="H594" i="11"/>
  <c r="I594" i="11"/>
  <c r="J594" i="11"/>
  <c r="K594" i="11"/>
  <c r="D595" i="11"/>
  <c r="E595" i="11"/>
  <c r="F595" i="11"/>
  <c r="G595" i="11"/>
  <c r="H595" i="11"/>
  <c r="I595" i="11"/>
  <c r="J595" i="11"/>
  <c r="K595" i="11"/>
  <c r="D596" i="11"/>
  <c r="E596" i="11"/>
  <c r="F596" i="11"/>
  <c r="G596" i="11"/>
  <c r="H596" i="11"/>
  <c r="I596" i="11"/>
  <c r="J596" i="11"/>
  <c r="K596" i="11"/>
  <c r="D597" i="11"/>
  <c r="E597" i="11"/>
  <c r="F597" i="11"/>
  <c r="G597" i="11"/>
  <c r="H597" i="11"/>
  <c r="I597" i="11"/>
  <c r="J597" i="11"/>
  <c r="K597" i="11"/>
  <c r="D598" i="11"/>
  <c r="E598" i="11"/>
  <c r="F598" i="11"/>
  <c r="G598" i="11"/>
  <c r="H598" i="11"/>
  <c r="I598" i="11"/>
  <c r="J598" i="11"/>
  <c r="K598" i="11"/>
  <c r="D599" i="11"/>
  <c r="E599" i="11"/>
  <c r="F599" i="11"/>
  <c r="G599" i="11"/>
  <c r="H599" i="11"/>
  <c r="I599" i="11"/>
  <c r="J599" i="11"/>
  <c r="K599" i="11"/>
  <c r="D600" i="11"/>
  <c r="E600" i="11"/>
  <c r="F600" i="11"/>
  <c r="G600" i="11"/>
  <c r="H600" i="11"/>
  <c r="I600" i="11"/>
  <c r="J600" i="11"/>
  <c r="K600" i="11"/>
  <c r="D601" i="11"/>
  <c r="E601" i="11"/>
  <c r="F601" i="11"/>
  <c r="G601" i="11"/>
  <c r="H601" i="11"/>
  <c r="I601" i="11"/>
  <c r="J601" i="11"/>
  <c r="K601" i="11"/>
  <c r="D602" i="11"/>
  <c r="E602" i="11"/>
  <c r="F602" i="11"/>
  <c r="G602" i="11"/>
  <c r="H602" i="11"/>
  <c r="I602" i="11"/>
  <c r="J602" i="11"/>
  <c r="K602" i="11"/>
  <c r="D603" i="11"/>
  <c r="E603" i="11"/>
  <c r="F603" i="11"/>
  <c r="G603" i="11"/>
  <c r="H603" i="11"/>
  <c r="I603" i="11"/>
  <c r="J603" i="11"/>
  <c r="K603" i="11"/>
  <c r="D604" i="11"/>
  <c r="E604" i="11"/>
  <c r="F604" i="11"/>
  <c r="G604" i="11"/>
  <c r="H604" i="11"/>
  <c r="I604" i="11"/>
  <c r="J604" i="11"/>
  <c r="K604" i="11"/>
  <c r="D605" i="11"/>
  <c r="E605" i="11"/>
  <c r="F605" i="11"/>
  <c r="G605" i="11"/>
  <c r="H605" i="11"/>
  <c r="I605" i="11"/>
  <c r="J605" i="11"/>
  <c r="K605" i="11"/>
  <c r="D606" i="11"/>
  <c r="E606" i="11"/>
  <c r="F606" i="11"/>
  <c r="G606" i="11"/>
  <c r="H606" i="11"/>
  <c r="I606" i="11"/>
  <c r="J606" i="11"/>
  <c r="K606" i="11"/>
  <c r="D607" i="11"/>
  <c r="E607" i="11"/>
  <c r="F607" i="11"/>
  <c r="G607" i="11"/>
  <c r="H607" i="11"/>
  <c r="I607" i="11"/>
  <c r="J607" i="11"/>
  <c r="K607" i="11"/>
  <c r="D608" i="11"/>
  <c r="E608" i="11"/>
  <c r="F608" i="11"/>
  <c r="G608" i="11"/>
  <c r="H608" i="11"/>
  <c r="I608" i="11"/>
  <c r="J608" i="11"/>
  <c r="K608" i="11"/>
  <c r="D609" i="11"/>
  <c r="E609" i="11"/>
  <c r="F609" i="11"/>
  <c r="G609" i="11"/>
  <c r="H609" i="11"/>
  <c r="I609" i="11"/>
  <c r="J609" i="11"/>
  <c r="K609" i="11"/>
  <c r="D610" i="11"/>
  <c r="E610" i="11"/>
  <c r="F610" i="11"/>
  <c r="G610" i="11"/>
  <c r="H610" i="11"/>
  <c r="I610" i="11"/>
  <c r="J610" i="11"/>
  <c r="K610" i="11"/>
  <c r="D611" i="11"/>
  <c r="E611" i="11"/>
  <c r="F611" i="11"/>
  <c r="G611" i="11"/>
  <c r="H611" i="11"/>
  <c r="I611" i="11"/>
  <c r="J611" i="11"/>
  <c r="K611" i="11"/>
  <c r="D612" i="11"/>
  <c r="E612" i="11"/>
  <c r="F612" i="11"/>
  <c r="G612" i="11"/>
  <c r="H612" i="11"/>
  <c r="I612" i="11"/>
  <c r="J612" i="11"/>
  <c r="K612" i="11"/>
  <c r="D613" i="11"/>
  <c r="E613" i="11"/>
  <c r="F613" i="11"/>
  <c r="G613" i="11"/>
  <c r="H613" i="11"/>
  <c r="I613" i="11"/>
  <c r="J613" i="11"/>
  <c r="K613" i="11"/>
  <c r="D614" i="11"/>
  <c r="E614" i="11"/>
  <c r="F614" i="11"/>
  <c r="G614" i="11"/>
  <c r="H614" i="11"/>
  <c r="I614" i="11"/>
  <c r="J614" i="11"/>
  <c r="K614" i="11"/>
  <c r="D615" i="11"/>
  <c r="E615" i="11"/>
  <c r="F615" i="11"/>
  <c r="G615" i="11"/>
  <c r="H615" i="11"/>
  <c r="I615" i="11"/>
  <c r="J615" i="11"/>
  <c r="K615" i="11"/>
  <c r="D616" i="11"/>
  <c r="E616" i="11"/>
  <c r="F616" i="11"/>
  <c r="G616" i="11"/>
  <c r="H616" i="11"/>
  <c r="I616" i="11"/>
  <c r="J616" i="11"/>
  <c r="K616" i="11"/>
  <c r="D617" i="11"/>
  <c r="E617" i="11"/>
  <c r="F617" i="11"/>
  <c r="G617" i="11"/>
  <c r="H617" i="11"/>
  <c r="I617" i="11"/>
  <c r="J617" i="11"/>
  <c r="K617" i="11"/>
  <c r="D618" i="11"/>
  <c r="E618" i="11"/>
  <c r="F618" i="11"/>
  <c r="G618" i="11"/>
  <c r="H618" i="11"/>
  <c r="I618" i="11"/>
  <c r="J618" i="11"/>
  <c r="K618" i="11"/>
  <c r="D619" i="11"/>
  <c r="E619" i="11"/>
  <c r="F619" i="11"/>
  <c r="G619" i="11"/>
  <c r="H619" i="11"/>
  <c r="I619" i="11"/>
  <c r="J619" i="11"/>
  <c r="K619" i="11"/>
  <c r="D620" i="11"/>
  <c r="E620" i="11"/>
  <c r="F620" i="11"/>
  <c r="G620" i="11"/>
  <c r="H620" i="11"/>
  <c r="I620" i="11"/>
  <c r="J620" i="11"/>
  <c r="K620" i="11"/>
  <c r="D621" i="11"/>
  <c r="E621" i="11"/>
  <c r="F621" i="11"/>
  <c r="G621" i="11"/>
  <c r="H621" i="11"/>
  <c r="I621" i="11"/>
  <c r="J621" i="11"/>
  <c r="K621" i="11"/>
  <c r="D622" i="11"/>
  <c r="E622" i="11"/>
  <c r="F622" i="11"/>
  <c r="G622" i="11"/>
  <c r="H622" i="11"/>
  <c r="I622" i="11"/>
  <c r="J622" i="11"/>
  <c r="K622" i="11"/>
  <c r="D623" i="11"/>
  <c r="E623" i="11"/>
  <c r="F623" i="11"/>
  <c r="G623" i="11"/>
  <c r="H623" i="11"/>
  <c r="I623" i="11"/>
  <c r="J623" i="11"/>
  <c r="K623" i="11"/>
  <c r="D624" i="11"/>
  <c r="E624" i="11"/>
  <c r="F624" i="11"/>
  <c r="G624" i="11"/>
  <c r="H624" i="11"/>
  <c r="I624" i="11"/>
  <c r="J624" i="11"/>
  <c r="K624" i="11"/>
  <c r="D625" i="11"/>
  <c r="E625" i="11"/>
  <c r="F625" i="11"/>
  <c r="G625" i="11"/>
  <c r="H625" i="11"/>
  <c r="I625" i="11"/>
  <c r="J625" i="11"/>
  <c r="K625" i="11"/>
  <c r="D626" i="11"/>
  <c r="E626" i="11"/>
  <c r="F626" i="11"/>
  <c r="G626" i="11"/>
  <c r="H626" i="11"/>
  <c r="I626" i="11"/>
  <c r="J626" i="11"/>
  <c r="K626" i="11"/>
  <c r="D627" i="11"/>
  <c r="E627" i="11"/>
  <c r="F627" i="11"/>
  <c r="G627" i="11"/>
  <c r="H627" i="11"/>
  <c r="I627" i="11"/>
  <c r="J627" i="11"/>
  <c r="K627" i="11"/>
  <c r="D628" i="11"/>
  <c r="E628" i="11"/>
  <c r="F628" i="11"/>
  <c r="G628" i="11"/>
  <c r="H628" i="11"/>
  <c r="I628" i="11"/>
  <c r="J628" i="11"/>
  <c r="K628" i="11"/>
  <c r="D629" i="11"/>
  <c r="E629" i="11"/>
  <c r="F629" i="11"/>
  <c r="G629" i="11"/>
  <c r="H629" i="11"/>
  <c r="I629" i="11"/>
  <c r="J629" i="11"/>
  <c r="K629" i="11"/>
  <c r="D630" i="11"/>
  <c r="E630" i="11"/>
  <c r="F630" i="11"/>
  <c r="G630" i="11"/>
  <c r="H630" i="11"/>
  <c r="I630" i="11"/>
  <c r="J630" i="11"/>
  <c r="K630" i="11"/>
  <c r="D631" i="11"/>
  <c r="E631" i="11"/>
  <c r="F631" i="11"/>
  <c r="G631" i="11"/>
  <c r="H631" i="11"/>
  <c r="I631" i="11"/>
  <c r="J631" i="11"/>
  <c r="K631" i="11"/>
  <c r="D632" i="11"/>
  <c r="E632" i="11"/>
  <c r="F632" i="11"/>
  <c r="G632" i="11"/>
  <c r="H632" i="11"/>
  <c r="I632" i="11"/>
  <c r="J632" i="11"/>
  <c r="K632" i="11"/>
  <c r="D633" i="11"/>
  <c r="E633" i="11"/>
  <c r="F633" i="11"/>
  <c r="G633" i="11"/>
  <c r="H633" i="11"/>
  <c r="I633" i="11"/>
  <c r="J633" i="11"/>
  <c r="K633" i="11"/>
  <c r="D634" i="11"/>
  <c r="E634" i="11"/>
  <c r="F634" i="11"/>
  <c r="G634" i="11"/>
  <c r="H634" i="11"/>
  <c r="I634" i="11"/>
  <c r="J634" i="11"/>
  <c r="K634" i="11"/>
  <c r="D635" i="11"/>
  <c r="E635" i="11"/>
  <c r="F635" i="11"/>
  <c r="G635" i="11"/>
  <c r="H635" i="11"/>
  <c r="I635" i="11"/>
  <c r="J635" i="11"/>
  <c r="K635" i="11"/>
  <c r="D636" i="11"/>
  <c r="E636" i="11"/>
  <c r="F636" i="11"/>
  <c r="G636" i="11"/>
  <c r="H636" i="11"/>
  <c r="I636" i="11"/>
  <c r="J636" i="11"/>
  <c r="K636" i="11"/>
  <c r="D637" i="11"/>
  <c r="E637" i="11"/>
  <c r="F637" i="11"/>
  <c r="G637" i="11"/>
  <c r="H637" i="11"/>
  <c r="I637" i="11"/>
  <c r="J637" i="11"/>
  <c r="K637" i="11"/>
  <c r="D638" i="11"/>
  <c r="E638" i="11"/>
  <c r="F638" i="11"/>
  <c r="G638" i="11"/>
  <c r="H638" i="11"/>
  <c r="I638" i="11"/>
  <c r="J638" i="11"/>
  <c r="K638" i="11"/>
  <c r="D639" i="11"/>
  <c r="E639" i="11"/>
  <c r="F639" i="11"/>
  <c r="G639" i="11"/>
  <c r="H639" i="11"/>
  <c r="I639" i="11"/>
  <c r="J639" i="11"/>
  <c r="K639" i="11"/>
  <c r="D640" i="11"/>
  <c r="E640" i="11"/>
  <c r="F640" i="11"/>
  <c r="G640" i="11"/>
  <c r="H640" i="11"/>
  <c r="I640" i="11"/>
  <c r="J640" i="11"/>
  <c r="K640" i="11"/>
  <c r="D641" i="11"/>
  <c r="E641" i="11"/>
  <c r="F641" i="11"/>
  <c r="G641" i="11"/>
  <c r="H641" i="11"/>
  <c r="I641" i="11"/>
  <c r="J641" i="11"/>
  <c r="K641" i="11"/>
  <c r="D642" i="11"/>
  <c r="E642" i="11"/>
  <c r="F642" i="11"/>
  <c r="G642" i="11"/>
  <c r="H642" i="11"/>
  <c r="I642" i="11"/>
  <c r="J642" i="11"/>
  <c r="K642" i="11"/>
  <c r="D643" i="11"/>
  <c r="E643" i="11"/>
  <c r="F643" i="11"/>
  <c r="G643" i="11"/>
  <c r="H643" i="11"/>
  <c r="I643" i="11"/>
  <c r="J643" i="11"/>
  <c r="K643" i="11"/>
  <c r="D644" i="11"/>
  <c r="E644" i="11"/>
  <c r="F644" i="11"/>
  <c r="G644" i="11"/>
  <c r="H644" i="11"/>
  <c r="I644" i="11"/>
  <c r="J644" i="11"/>
  <c r="K644" i="11"/>
  <c r="D645" i="11"/>
  <c r="E645" i="11"/>
  <c r="F645" i="11"/>
  <c r="G645" i="11"/>
  <c r="H645" i="11"/>
  <c r="I645" i="11"/>
  <c r="J645" i="11"/>
  <c r="K645" i="11"/>
  <c r="D646" i="11"/>
  <c r="E646" i="11"/>
  <c r="F646" i="11"/>
  <c r="G646" i="11"/>
  <c r="H646" i="11"/>
  <c r="I646" i="11"/>
  <c r="J646" i="11"/>
  <c r="K646" i="11"/>
  <c r="D647" i="11"/>
  <c r="E647" i="11"/>
  <c r="F647" i="11"/>
  <c r="G647" i="11"/>
  <c r="H647" i="11"/>
  <c r="I647" i="11"/>
  <c r="J647" i="11"/>
  <c r="K647" i="11"/>
  <c r="D648" i="11"/>
  <c r="E648" i="11"/>
  <c r="F648" i="11"/>
  <c r="G648" i="11"/>
  <c r="H648" i="11"/>
  <c r="I648" i="11"/>
  <c r="J648" i="11"/>
  <c r="K648" i="11"/>
  <c r="D649" i="11"/>
  <c r="E649" i="11"/>
  <c r="F649" i="11"/>
  <c r="G649" i="11"/>
  <c r="H649" i="11"/>
  <c r="I649" i="11"/>
  <c r="J649" i="11"/>
  <c r="K649" i="11"/>
  <c r="D650" i="11"/>
  <c r="E650" i="11"/>
  <c r="F650" i="11"/>
  <c r="G650" i="11"/>
  <c r="H650" i="11"/>
  <c r="I650" i="11"/>
  <c r="J650" i="11"/>
  <c r="K650" i="11"/>
  <c r="D651" i="11"/>
  <c r="E651" i="11"/>
  <c r="F651" i="11"/>
  <c r="G651" i="11"/>
  <c r="H651" i="11"/>
  <c r="I651" i="11"/>
  <c r="J651" i="11"/>
  <c r="K651" i="11"/>
  <c r="D652" i="11"/>
  <c r="E652" i="11"/>
  <c r="F652" i="11"/>
  <c r="G652" i="11"/>
  <c r="H652" i="11"/>
  <c r="I652" i="11"/>
  <c r="J652" i="11"/>
  <c r="K652" i="11"/>
  <c r="D653" i="11"/>
  <c r="E653" i="11"/>
  <c r="F653" i="11"/>
  <c r="G653" i="11"/>
  <c r="H653" i="11"/>
  <c r="I653" i="11"/>
  <c r="J653" i="11"/>
  <c r="K653" i="11"/>
  <c r="D654" i="11"/>
  <c r="E654" i="11"/>
  <c r="F654" i="11"/>
  <c r="G654" i="11"/>
  <c r="H654" i="11"/>
  <c r="I654" i="11"/>
  <c r="J654" i="11"/>
  <c r="K654" i="11"/>
  <c r="D655" i="11"/>
  <c r="E655" i="11"/>
  <c r="F655" i="11"/>
  <c r="G655" i="11"/>
  <c r="H655" i="11"/>
  <c r="I655" i="11"/>
  <c r="J655" i="11"/>
  <c r="K655" i="11"/>
  <c r="D656" i="11"/>
  <c r="E656" i="11"/>
  <c r="F656" i="11"/>
  <c r="G656" i="11"/>
  <c r="H656" i="11"/>
  <c r="I656" i="11"/>
  <c r="J656" i="11"/>
  <c r="K656" i="11"/>
  <c r="D657" i="11"/>
  <c r="E657" i="11"/>
  <c r="F657" i="11"/>
  <c r="G657" i="11"/>
  <c r="H657" i="11"/>
  <c r="I657" i="11"/>
  <c r="J657" i="11"/>
  <c r="K657" i="11"/>
  <c r="D658" i="11"/>
  <c r="E658" i="11"/>
  <c r="F658" i="11"/>
  <c r="G658" i="11"/>
  <c r="H658" i="11"/>
  <c r="I658" i="11"/>
  <c r="J658" i="11"/>
  <c r="K658" i="11"/>
  <c r="D659" i="11"/>
  <c r="E659" i="11"/>
  <c r="F659" i="11"/>
  <c r="G659" i="11"/>
  <c r="H659" i="11"/>
  <c r="I659" i="11"/>
  <c r="J659" i="11"/>
  <c r="K659" i="11"/>
  <c r="D660" i="11"/>
  <c r="E660" i="11"/>
  <c r="F660" i="11"/>
  <c r="G660" i="11"/>
  <c r="H660" i="11"/>
  <c r="I660" i="11"/>
  <c r="J660" i="11"/>
  <c r="K660" i="11"/>
  <c r="D661" i="11"/>
  <c r="E661" i="11"/>
  <c r="F661" i="11"/>
  <c r="G661" i="11"/>
  <c r="H661" i="11"/>
  <c r="I661" i="11"/>
  <c r="J661" i="11"/>
  <c r="K661" i="11"/>
  <c r="D662" i="11"/>
  <c r="E662" i="11"/>
  <c r="F662" i="11"/>
  <c r="G662" i="11"/>
  <c r="H662" i="11"/>
  <c r="I662" i="11"/>
  <c r="J662" i="11"/>
  <c r="K662" i="11"/>
  <c r="D663" i="11"/>
  <c r="E663" i="11"/>
  <c r="F663" i="11"/>
  <c r="G663" i="11"/>
  <c r="H663" i="11"/>
  <c r="I663" i="11"/>
  <c r="J663" i="11"/>
  <c r="K663" i="11"/>
  <c r="D664" i="11"/>
  <c r="E664" i="11"/>
  <c r="F664" i="11"/>
  <c r="G664" i="11"/>
  <c r="H664" i="11"/>
  <c r="I664" i="11"/>
  <c r="J664" i="11"/>
  <c r="K664" i="11"/>
  <c r="D665" i="11"/>
  <c r="E665" i="11"/>
  <c r="F665" i="11"/>
  <c r="G665" i="11"/>
  <c r="H665" i="11"/>
  <c r="I665" i="11"/>
  <c r="J665" i="11"/>
  <c r="K665" i="11"/>
  <c r="D666" i="11"/>
  <c r="E666" i="11"/>
  <c r="F666" i="11"/>
  <c r="G666" i="11"/>
  <c r="H666" i="11"/>
  <c r="I666" i="11"/>
  <c r="J666" i="11"/>
  <c r="K666" i="11"/>
  <c r="D667" i="11"/>
  <c r="E667" i="11"/>
  <c r="F667" i="11"/>
  <c r="G667" i="11"/>
  <c r="H667" i="11"/>
  <c r="I667" i="11"/>
  <c r="J667" i="11"/>
  <c r="K667" i="11"/>
  <c r="D668" i="11"/>
  <c r="E668" i="11"/>
  <c r="F668" i="11"/>
  <c r="G668" i="11"/>
  <c r="H668" i="11"/>
  <c r="I668" i="11"/>
  <c r="J668" i="11"/>
  <c r="K668" i="11"/>
  <c r="D669" i="11"/>
  <c r="E669" i="11"/>
  <c r="F669" i="11"/>
  <c r="G669" i="11"/>
  <c r="H669" i="11"/>
  <c r="I669" i="11"/>
  <c r="J669" i="11"/>
  <c r="K669" i="11"/>
  <c r="D670" i="11"/>
  <c r="E670" i="11"/>
  <c r="F670" i="11"/>
  <c r="G670" i="11"/>
  <c r="H670" i="11"/>
  <c r="I670" i="11"/>
  <c r="J670" i="11"/>
  <c r="K670" i="11"/>
  <c r="D671" i="11"/>
  <c r="E671" i="11"/>
  <c r="F671" i="11"/>
  <c r="G671" i="11"/>
  <c r="H671" i="11"/>
  <c r="I671" i="11"/>
  <c r="J671" i="11"/>
  <c r="K671" i="11"/>
  <c r="D672" i="11"/>
  <c r="E672" i="11"/>
  <c r="F672" i="11"/>
  <c r="G672" i="11"/>
  <c r="H672" i="11"/>
  <c r="I672" i="11"/>
  <c r="J672" i="11"/>
  <c r="K672" i="11"/>
  <c r="D673" i="11"/>
  <c r="E673" i="11"/>
  <c r="F673" i="11"/>
  <c r="G673" i="11"/>
  <c r="H673" i="11"/>
  <c r="I673" i="11"/>
  <c r="J673" i="11"/>
  <c r="K673" i="11"/>
  <c r="D674" i="11"/>
  <c r="E674" i="11"/>
  <c r="F674" i="11"/>
  <c r="G674" i="11"/>
  <c r="H674" i="11"/>
  <c r="I674" i="11"/>
  <c r="J674" i="11"/>
  <c r="K674" i="11"/>
  <c r="D675" i="11"/>
  <c r="E675" i="11"/>
  <c r="F675" i="11"/>
  <c r="G675" i="11"/>
  <c r="H675" i="11"/>
  <c r="I675" i="11"/>
  <c r="J675" i="11"/>
  <c r="K675" i="11"/>
  <c r="D676" i="11"/>
  <c r="E676" i="11"/>
  <c r="F676" i="11"/>
  <c r="G676" i="11"/>
  <c r="H676" i="11"/>
  <c r="I676" i="11"/>
  <c r="J676" i="11"/>
  <c r="K676" i="11"/>
  <c r="D677" i="11"/>
  <c r="E677" i="11"/>
  <c r="F677" i="11"/>
  <c r="G677" i="11"/>
  <c r="H677" i="11"/>
  <c r="I677" i="11"/>
  <c r="J677" i="11"/>
  <c r="K677" i="11"/>
  <c r="D678" i="11"/>
  <c r="E678" i="11"/>
  <c r="F678" i="11"/>
  <c r="G678" i="11"/>
  <c r="H678" i="11"/>
  <c r="I678" i="11"/>
  <c r="J678" i="11"/>
  <c r="K678" i="11"/>
  <c r="D679" i="11"/>
  <c r="E679" i="11"/>
  <c r="F679" i="11"/>
  <c r="G679" i="11"/>
  <c r="H679" i="11"/>
  <c r="I679" i="11"/>
  <c r="J679" i="11"/>
  <c r="K679" i="11"/>
  <c r="D680" i="11"/>
  <c r="E680" i="11"/>
  <c r="F680" i="11"/>
  <c r="G680" i="11"/>
  <c r="H680" i="11"/>
  <c r="I680" i="11"/>
  <c r="J680" i="11"/>
  <c r="K680" i="11"/>
  <c r="D681" i="11"/>
  <c r="E681" i="11"/>
  <c r="F681" i="11"/>
  <c r="G681" i="11"/>
  <c r="H681" i="11"/>
  <c r="I681" i="11"/>
  <c r="J681" i="11"/>
  <c r="K681" i="11"/>
  <c r="D682" i="11"/>
  <c r="E682" i="11"/>
  <c r="F682" i="11"/>
  <c r="G682" i="11"/>
  <c r="H682" i="11"/>
  <c r="I682" i="11"/>
  <c r="J682" i="11"/>
  <c r="K682" i="11"/>
  <c r="D683" i="11"/>
  <c r="E683" i="11"/>
  <c r="F683" i="11"/>
  <c r="G683" i="11"/>
  <c r="H683" i="11"/>
  <c r="I683" i="11"/>
  <c r="J683" i="11"/>
  <c r="K683" i="11"/>
  <c r="D684" i="11"/>
  <c r="E684" i="11"/>
  <c r="F684" i="11"/>
  <c r="G684" i="11"/>
  <c r="H684" i="11"/>
  <c r="I684" i="11"/>
  <c r="J684" i="11"/>
  <c r="K684" i="11"/>
  <c r="D685" i="11"/>
  <c r="E685" i="11"/>
  <c r="F685" i="11"/>
  <c r="G685" i="11"/>
  <c r="H685" i="11"/>
  <c r="I685" i="11"/>
  <c r="J685" i="11"/>
  <c r="K685" i="11"/>
  <c r="D686" i="11"/>
  <c r="E686" i="11"/>
  <c r="F686" i="11"/>
  <c r="G686" i="11"/>
  <c r="H686" i="11"/>
  <c r="I686" i="11"/>
  <c r="J686" i="11"/>
  <c r="K686" i="11"/>
  <c r="D687" i="11"/>
  <c r="E687" i="11"/>
  <c r="F687" i="11"/>
  <c r="G687" i="11"/>
  <c r="H687" i="11"/>
  <c r="I687" i="11"/>
  <c r="J687" i="11"/>
  <c r="K687" i="11"/>
  <c r="D688" i="11"/>
  <c r="E688" i="11"/>
  <c r="F688" i="11"/>
  <c r="G688" i="11"/>
  <c r="H688" i="11"/>
  <c r="I688" i="11"/>
  <c r="J688" i="11"/>
  <c r="K688" i="11"/>
  <c r="D689" i="11"/>
  <c r="E689" i="11"/>
  <c r="F689" i="11"/>
  <c r="G689" i="11"/>
  <c r="H689" i="11"/>
  <c r="I689" i="11"/>
  <c r="J689" i="11"/>
  <c r="K689" i="11"/>
  <c r="D690" i="11"/>
  <c r="E690" i="11"/>
  <c r="F690" i="11"/>
  <c r="G690" i="11"/>
  <c r="H690" i="11"/>
  <c r="I690" i="11"/>
  <c r="J690" i="11"/>
  <c r="K690" i="11"/>
  <c r="D691" i="11"/>
  <c r="E691" i="11"/>
  <c r="F691" i="11"/>
  <c r="G691" i="11"/>
  <c r="H691" i="11"/>
  <c r="I691" i="11"/>
  <c r="J691" i="11"/>
  <c r="K691" i="11"/>
  <c r="D692" i="11"/>
  <c r="E692" i="11"/>
  <c r="F692" i="11"/>
  <c r="G692" i="11"/>
  <c r="H692" i="11"/>
  <c r="I692" i="11"/>
  <c r="J692" i="11"/>
  <c r="K692" i="11"/>
  <c r="D693" i="11"/>
  <c r="E693" i="11"/>
  <c r="F693" i="11"/>
  <c r="G693" i="11"/>
  <c r="H693" i="11"/>
  <c r="I693" i="11"/>
  <c r="J693" i="11"/>
  <c r="K693" i="11"/>
  <c r="D694" i="11"/>
  <c r="E694" i="11"/>
  <c r="F694" i="11"/>
  <c r="G694" i="11"/>
  <c r="H694" i="11"/>
  <c r="I694" i="11"/>
  <c r="J694" i="11"/>
  <c r="K694" i="11"/>
  <c r="D695" i="11"/>
  <c r="E695" i="11"/>
  <c r="F695" i="11"/>
  <c r="G695" i="11"/>
  <c r="H695" i="11"/>
  <c r="I695" i="11"/>
  <c r="J695" i="11"/>
  <c r="K695" i="11"/>
  <c r="D696" i="11"/>
  <c r="E696" i="11"/>
  <c r="F696" i="11"/>
  <c r="G696" i="11"/>
  <c r="H696" i="11"/>
  <c r="I696" i="11"/>
  <c r="J696" i="11"/>
  <c r="K696" i="11"/>
  <c r="D697" i="11"/>
  <c r="E697" i="11"/>
  <c r="F697" i="11"/>
  <c r="G697" i="11"/>
  <c r="H697" i="11"/>
  <c r="I697" i="11"/>
  <c r="J697" i="11"/>
  <c r="K697" i="11"/>
  <c r="D698" i="11"/>
  <c r="E698" i="11"/>
  <c r="F698" i="11"/>
  <c r="G698" i="11"/>
  <c r="H698" i="11"/>
  <c r="I698" i="11"/>
  <c r="J698" i="11"/>
  <c r="K698" i="11"/>
  <c r="D699" i="11"/>
  <c r="E699" i="11"/>
  <c r="F699" i="11"/>
  <c r="G699" i="11"/>
  <c r="H699" i="11"/>
  <c r="I699" i="11"/>
  <c r="J699" i="11"/>
  <c r="K699" i="11"/>
  <c r="D700" i="11"/>
  <c r="E700" i="11"/>
  <c r="F700" i="11"/>
  <c r="G700" i="11"/>
  <c r="H700" i="11"/>
  <c r="I700" i="11"/>
  <c r="J700" i="11"/>
  <c r="K700" i="11"/>
  <c r="D701" i="11"/>
  <c r="E701" i="11"/>
  <c r="F701" i="11"/>
  <c r="G701" i="11"/>
  <c r="H701" i="11"/>
  <c r="I701" i="11"/>
  <c r="J701" i="11"/>
  <c r="K701" i="11"/>
  <c r="D702" i="11"/>
  <c r="E702" i="11"/>
  <c r="F702" i="11"/>
  <c r="G702" i="11"/>
  <c r="H702" i="11"/>
  <c r="I702" i="11"/>
  <c r="J702" i="11"/>
  <c r="K702" i="11"/>
  <c r="D703" i="11"/>
  <c r="E703" i="11"/>
  <c r="F703" i="11"/>
  <c r="G703" i="11"/>
  <c r="H703" i="11"/>
  <c r="I703" i="11"/>
  <c r="J703" i="11"/>
  <c r="K703" i="11"/>
  <c r="D704" i="11"/>
  <c r="E704" i="11"/>
  <c r="F704" i="11"/>
  <c r="G704" i="11"/>
  <c r="H704" i="11"/>
  <c r="I704" i="11"/>
  <c r="J704" i="11"/>
  <c r="K704" i="11"/>
  <c r="D705" i="11"/>
  <c r="E705" i="11"/>
  <c r="F705" i="11"/>
  <c r="G705" i="11"/>
  <c r="H705" i="11"/>
  <c r="I705" i="11"/>
  <c r="J705" i="11"/>
  <c r="K705" i="11"/>
  <c r="D706" i="11"/>
  <c r="E706" i="11"/>
  <c r="F706" i="11"/>
  <c r="G706" i="11"/>
  <c r="H706" i="11"/>
  <c r="I706" i="11"/>
  <c r="J706" i="11"/>
  <c r="K706" i="11"/>
  <c r="D707" i="11"/>
  <c r="E707" i="11"/>
  <c r="F707" i="11"/>
  <c r="G707" i="11"/>
  <c r="H707" i="11"/>
  <c r="I707" i="11"/>
  <c r="J707" i="11"/>
  <c r="K707" i="11"/>
  <c r="D708" i="11"/>
  <c r="E708" i="11"/>
  <c r="F708" i="11"/>
  <c r="G708" i="11"/>
  <c r="H708" i="11"/>
  <c r="I708" i="11"/>
  <c r="J708" i="11"/>
  <c r="K708" i="11"/>
  <c r="D709" i="11"/>
  <c r="E709" i="11"/>
  <c r="F709" i="11"/>
  <c r="G709" i="11"/>
  <c r="H709" i="11"/>
  <c r="I709" i="11"/>
  <c r="J709" i="11"/>
  <c r="K709" i="11"/>
  <c r="D710" i="11"/>
  <c r="E710" i="11"/>
  <c r="F710" i="11"/>
  <c r="G710" i="11"/>
  <c r="H710" i="11"/>
  <c r="I710" i="11"/>
  <c r="J710" i="11"/>
  <c r="K710" i="11"/>
  <c r="D711" i="11"/>
  <c r="E711" i="11"/>
  <c r="F711" i="11"/>
  <c r="G711" i="11"/>
  <c r="H711" i="11"/>
  <c r="I711" i="11"/>
  <c r="J711" i="11"/>
  <c r="K711" i="11"/>
  <c r="D712" i="11"/>
  <c r="E712" i="11"/>
  <c r="F712" i="11"/>
  <c r="G712" i="11"/>
  <c r="H712" i="11"/>
  <c r="I712" i="11"/>
  <c r="J712" i="11"/>
  <c r="K712" i="11"/>
  <c r="D713" i="11"/>
  <c r="E713" i="11"/>
  <c r="F713" i="11"/>
  <c r="G713" i="11"/>
  <c r="H713" i="11"/>
  <c r="I713" i="11"/>
  <c r="J713" i="11"/>
  <c r="K713" i="11"/>
  <c r="D714" i="11"/>
  <c r="E714" i="11"/>
  <c r="F714" i="11"/>
  <c r="G714" i="11"/>
  <c r="H714" i="11"/>
  <c r="I714" i="11"/>
  <c r="J714" i="11"/>
  <c r="K714" i="11"/>
  <c r="D715" i="11"/>
  <c r="E715" i="11"/>
  <c r="F715" i="11"/>
  <c r="G715" i="11"/>
  <c r="H715" i="11"/>
  <c r="I715" i="11"/>
  <c r="J715" i="11"/>
  <c r="K715" i="11"/>
  <c r="D716" i="11"/>
  <c r="E716" i="11"/>
  <c r="F716" i="11"/>
  <c r="G716" i="11"/>
  <c r="H716" i="11"/>
  <c r="I716" i="11"/>
  <c r="J716" i="11"/>
  <c r="K716" i="11"/>
  <c r="D717" i="11"/>
  <c r="E717" i="11"/>
  <c r="F717" i="11"/>
  <c r="G717" i="11"/>
  <c r="H717" i="11"/>
  <c r="I717" i="11"/>
  <c r="J717" i="11"/>
  <c r="K717" i="11"/>
  <c r="D718" i="11"/>
  <c r="E718" i="11"/>
  <c r="F718" i="11"/>
  <c r="G718" i="11"/>
  <c r="H718" i="11"/>
  <c r="I718" i="11"/>
  <c r="J718" i="11"/>
  <c r="K718" i="11"/>
  <c r="D719" i="11"/>
  <c r="E719" i="11"/>
  <c r="F719" i="11"/>
  <c r="G719" i="11"/>
  <c r="H719" i="11"/>
  <c r="I719" i="11"/>
  <c r="J719" i="11"/>
  <c r="K719" i="11"/>
  <c r="D720" i="11"/>
  <c r="E720" i="11"/>
  <c r="F720" i="11"/>
  <c r="G720" i="11"/>
  <c r="H720" i="11"/>
  <c r="I720" i="11"/>
  <c r="J720" i="11"/>
  <c r="K720" i="11"/>
  <c r="D721" i="11"/>
  <c r="E721" i="11"/>
  <c r="F721" i="11"/>
  <c r="G721" i="11"/>
  <c r="H721" i="11"/>
  <c r="I721" i="11"/>
  <c r="J721" i="11"/>
  <c r="K721" i="11"/>
  <c r="D722" i="11"/>
  <c r="E722" i="11"/>
  <c r="F722" i="11"/>
  <c r="G722" i="11"/>
  <c r="H722" i="11"/>
  <c r="I722" i="11"/>
  <c r="J722" i="11"/>
  <c r="K722" i="11"/>
  <c r="D723" i="11"/>
  <c r="E723" i="11"/>
  <c r="F723" i="11"/>
  <c r="G723" i="11"/>
  <c r="H723" i="11"/>
  <c r="I723" i="11"/>
  <c r="J723" i="11"/>
  <c r="K723" i="11"/>
  <c r="D724" i="11"/>
  <c r="E724" i="11"/>
  <c r="F724" i="11"/>
  <c r="G724" i="11"/>
  <c r="H724" i="11"/>
  <c r="I724" i="11"/>
  <c r="J724" i="11"/>
  <c r="K724" i="11"/>
  <c r="D725" i="11"/>
  <c r="E725" i="11"/>
  <c r="F725" i="11"/>
  <c r="G725" i="11"/>
  <c r="H725" i="11"/>
  <c r="I725" i="11"/>
  <c r="J725" i="11"/>
  <c r="K725" i="11"/>
  <c r="D726" i="11"/>
  <c r="E726" i="11"/>
  <c r="F726" i="11"/>
  <c r="G726" i="11"/>
  <c r="H726" i="11"/>
  <c r="I726" i="11"/>
  <c r="J726" i="11"/>
  <c r="K726" i="11"/>
  <c r="D727" i="11"/>
  <c r="E727" i="11"/>
  <c r="F727" i="11"/>
  <c r="G727" i="11"/>
  <c r="H727" i="11"/>
  <c r="I727" i="11"/>
  <c r="J727" i="11"/>
  <c r="K727" i="11"/>
  <c r="D728" i="11"/>
  <c r="E728" i="11"/>
  <c r="F728" i="11"/>
  <c r="G728" i="11"/>
  <c r="H728" i="11"/>
  <c r="I728" i="11"/>
  <c r="J728" i="11"/>
  <c r="K728" i="11"/>
  <c r="D729" i="11"/>
  <c r="E729" i="11"/>
  <c r="F729" i="11"/>
  <c r="G729" i="11"/>
  <c r="H729" i="11"/>
  <c r="I729" i="11"/>
  <c r="J729" i="11"/>
  <c r="K729" i="11"/>
  <c r="D730" i="11"/>
  <c r="E730" i="11"/>
  <c r="F730" i="11"/>
  <c r="G730" i="11"/>
  <c r="H730" i="11"/>
  <c r="I730" i="11"/>
  <c r="J730" i="11"/>
  <c r="K730" i="11"/>
  <c r="D731" i="11"/>
  <c r="E731" i="11"/>
  <c r="F731" i="11"/>
  <c r="G731" i="11"/>
  <c r="H731" i="11"/>
  <c r="I731" i="11"/>
  <c r="J731" i="11"/>
  <c r="K731" i="11"/>
  <c r="D732" i="11"/>
  <c r="E732" i="11"/>
  <c r="F732" i="11"/>
  <c r="G732" i="11"/>
  <c r="H732" i="11"/>
  <c r="I732" i="11"/>
  <c r="J732" i="11"/>
  <c r="K732" i="11"/>
  <c r="D733" i="11"/>
  <c r="E733" i="11"/>
  <c r="F733" i="11"/>
  <c r="G733" i="11"/>
  <c r="H733" i="11"/>
  <c r="I733" i="11"/>
  <c r="J733" i="11"/>
  <c r="K733" i="11"/>
  <c r="D734" i="11"/>
  <c r="E734" i="11"/>
  <c r="F734" i="11"/>
  <c r="G734" i="11"/>
  <c r="H734" i="11"/>
  <c r="I734" i="11"/>
  <c r="J734" i="11"/>
  <c r="K734" i="11"/>
  <c r="D735" i="11"/>
  <c r="E735" i="11"/>
  <c r="F735" i="11"/>
  <c r="G735" i="11"/>
  <c r="H735" i="11"/>
  <c r="I735" i="11"/>
  <c r="J735" i="11"/>
  <c r="K735" i="11"/>
  <c r="D736" i="11"/>
  <c r="E736" i="11"/>
  <c r="F736" i="11"/>
  <c r="G736" i="11"/>
  <c r="H736" i="11"/>
  <c r="I736" i="11"/>
  <c r="J736" i="11"/>
  <c r="K736" i="11"/>
  <c r="D737" i="11"/>
  <c r="E737" i="11"/>
  <c r="F737" i="11"/>
  <c r="G737" i="11"/>
  <c r="H737" i="11"/>
  <c r="I737" i="11"/>
  <c r="J737" i="11"/>
  <c r="K737" i="11"/>
  <c r="D738" i="11"/>
  <c r="E738" i="11"/>
  <c r="F738" i="11"/>
  <c r="G738" i="11"/>
  <c r="H738" i="11"/>
  <c r="I738" i="11"/>
  <c r="J738" i="11"/>
  <c r="K738" i="11"/>
  <c r="D739" i="11"/>
  <c r="E739" i="11"/>
  <c r="F739" i="11"/>
  <c r="G739" i="11"/>
  <c r="H739" i="11"/>
  <c r="I739" i="11"/>
  <c r="J739" i="11"/>
  <c r="K739" i="11"/>
  <c r="D740" i="11"/>
  <c r="E740" i="11"/>
  <c r="F740" i="11"/>
  <c r="G740" i="11"/>
  <c r="H740" i="11"/>
  <c r="I740" i="11"/>
  <c r="J740" i="11"/>
  <c r="K740" i="11"/>
  <c r="D741" i="11"/>
  <c r="E741" i="11"/>
  <c r="F741" i="11"/>
  <c r="G741" i="11"/>
  <c r="H741" i="11"/>
  <c r="I741" i="11"/>
  <c r="J741" i="11"/>
  <c r="K741" i="11"/>
  <c r="D742" i="11"/>
  <c r="E742" i="11"/>
  <c r="F742" i="11"/>
  <c r="G742" i="11"/>
  <c r="H742" i="11"/>
  <c r="I742" i="11"/>
  <c r="J742" i="11"/>
  <c r="K742" i="11"/>
  <c r="D743" i="11"/>
  <c r="E743" i="11"/>
  <c r="F743" i="11"/>
  <c r="G743" i="11"/>
  <c r="H743" i="11"/>
  <c r="I743" i="11"/>
  <c r="J743" i="11"/>
  <c r="K743" i="11"/>
  <c r="D744" i="11"/>
  <c r="E744" i="11"/>
  <c r="F744" i="11"/>
  <c r="G744" i="11"/>
  <c r="H744" i="11"/>
  <c r="I744" i="11"/>
  <c r="J744" i="11"/>
  <c r="K744" i="11"/>
  <c r="D745" i="11"/>
  <c r="E745" i="11"/>
  <c r="F745" i="11"/>
  <c r="G745" i="11"/>
  <c r="H745" i="11"/>
  <c r="I745" i="11"/>
  <c r="J745" i="11"/>
  <c r="K745" i="11"/>
  <c r="D746" i="11"/>
  <c r="E746" i="11"/>
  <c r="F746" i="11"/>
  <c r="G746" i="11"/>
  <c r="H746" i="11"/>
  <c r="I746" i="11"/>
  <c r="J746" i="11"/>
  <c r="K746" i="11"/>
  <c r="D747" i="11"/>
  <c r="E747" i="11"/>
  <c r="F747" i="11"/>
  <c r="G747" i="11"/>
  <c r="H747" i="11"/>
  <c r="I747" i="11"/>
  <c r="J747" i="11"/>
  <c r="K747" i="11"/>
  <c r="D748" i="11"/>
  <c r="E748" i="11"/>
  <c r="F748" i="11"/>
  <c r="G748" i="11"/>
  <c r="H748" i="11"/>
  <c r="I748" i="11"/>
  <c r="J748" i="11"/>
  <c r="K748" i="11"/>
  <c r="D749" i="11"/>
  <c r="E749" i="11"/>
  <c r="F749" i="11"/>
  <c r="G749" i="11"/>
  <c r="H749" i="11"/>
  <c r="I749" i="11"/>
  <c r="J749" i="11"/>
  <c r="K749" i="11"/>
  <c r="D750" i="11"/>
  <c r="E750" i="11"/>
  <c r="F750" i="11"/>
  <c r="G750" i="11"/>
  <c r="H750" i="11"/>
  <c r="I750" i="11"/>
  <c r="J750" i="11"/>
  <c r="K750" i="11"/>
  <c r="D751" i="11"/>
  <c r="E751" i="11"/>
  <c r="F751" i="11"/>
  <c r="G751" i="11"/>
  <c r="H751" i="11"/>
  <c r="I751" i="11"/>
  <c r="J751" i="11"/>
  <c r="K751" i="11"/>
  <c r="D752" i="11"/>
  <c r="E752" i="11"/>
  <c r="F752" i="11"/>
  <c r="G752" i="11"/>
  <c r="H752" i="11"/>
  <c r="I752" i="11"/>
  <c r="J752" i="11"/>
  <c r="K752" i="11"/>
  <c r="D753" i="11"/>
  <c r="E753" i="11"/>
  <c r="F753" i="11"/>
  <c r="G753" i="11"/>
  <c r="H753" i="11"/>
  <c r="I753" i="11"/>
  <c r="J753" i="11"/>
  <c r="K753" i="11"/>
  <c r="D754" i="11"/>
  <c r="E754" i="11"/>
  <c r="F754" i="11"/>
  <c r="G754" i="11"/>
  <c r="H754" i="11"/>
  <c r="I754" i="11"/>
  <c r="J754" i="11"/>
  <c r="K754" i="11"/>
  <c r="D755" i="11"/>
  <c r="E755" i="11"/>
  <c r="F755" i="11"/>
  <c r="G755" i="11"/>
  <c r="H755" i="11"/>
  <c r="I755" i="11"/>
  <c r="J755" i="11"/>
  <c r="K755" i="11"/>
  <c r="D756" i="11"/>
  <c r="E756" i="11"/>
  <c r="F756" i="11"/>
  <c r="G756" i="11"/>
  <c r="H756" i="11"/>
  <c r="I756" i="11"/>
  <c r="J756" i="11"/>
  <c r="K756" i="11"/>
  <c r="D757" i="11"/>
  <c r="E757" i="11"/>
  <c r="F757" i="11"/>
  <c r="G757" i="11"/>
  <c r="H757" i="11"/>
  <c r="I757" i="11"/>
  <c r="J757" i="11"/>
  <c r="K757" i="11"/>
  <c r="D758" i="11"/>
  <c r="E758" i="11"/>
  <c r="F758" i="11"/>
  <c r="G758" i="11"/>
  <c r="H758" i="11"/>
  <c r="I758" i="11"/>
  <c r="J758" i="11"/>
  <c r="K758" i="11"/>
  <c r="D759" i="11"/>
  <c r="E759" i="11"/>
  <c r="F759" i="11"/>
  <c r="G759" i="11"/>
  <c r="H759" i="11"/>
  <c r="I759" i="11"/>
  <c r="J759" i="11"/>
  <c r="K759" i="11"/>
  <c r="D760" i="11"/>
  <c r="E760" i="11"/>
  <c r="F760" i="11"/>
  <c r="G760" i="11"/>
  <c r="H760" i="11"/>
  <c r="I760" i="11"/>
  <c r="J760" i="11"/>
  <c r="K760" i="11"/>
  <c r="D761" i="11"/>
  <c r="E761" i="11"/>
  <c r="F761" i="11"/>
  <c r="G761" i="11"/>
  <c r="H761" i="11"/>
  <c r="I761" i="11"/>
  <c r="J761" i="11"/>
  <c r="K761" i="11"/>
  <c r="D762" i="11"/>
  <c r="E762" i="11"/>
  <c r="F762" i="11"/>
  <c r="G762" i="11"/>
  <c r="H762" i="11"/>
  <c r="I762" i="11"/>
  <c r="J762" i="11"/>
  <c r="K762" i="11"/>
  <c r="D763" i="11"/>
  <c r="E763" i="11"/>
  <c r="F763" i="11"/>
  <c r="G763" i="11"/>
  <c r="H763" i="11"/>
  <c r="I763" i="11"/>
  <c r="J763" i="11"/>
  <c r="K763" i="11"/>
  <c r="D764" i="11"/>
  <c r="E764" i="11"/>
  <c r="F764" i="11"/>
  <c r="G764" i="11"/>
  <c r="H764" i="11"/>
  <c r="I764" i="11"/>
  <c r="J764" i="11"/>
  <c r="K764" i="11"/>
  <c r="D765" i="11"/>
  <c r="E765" i="11"/>
  <c r="F765" i="11"/>
  <c r="G765" i="11"/>
  <c r="H765" i="11"/>
  <c r="I765" i="11"/>
  <c r="J765" i="11"/>
  <c r="K765" i="11"/>
  <c r="D766" i="11"/>
  <c r="E766" i="11"/>
  <c r="F766" i="11"/>
  <c r="G766" i="11"/>
  <c r="H766" i="11"/>
  <c r="I766" i="11"/>
  <c r="J766" i="11"/>
  <c r="K766" i="11"/>
  <c r="D767" i="11"/>
  <c r="E767" i="11"/>
  <c r="F767" i="11"/>
  <c r="G767" i="11"/>
  <c r="H767" i="11"/>
  <c r="I767" i="11"/>
  <c r="J767" i="11"/>
  <c r="K767" i="11"/>
  <c r="D768" i="11"/>
  <c r="E768" i="11"/>
  <c r="F768" i="11"/>
  <c r="G768" i="11"/>
  <c r="H768" i="11"/>
  <c r="I768" i="11"/>
  <c r="J768" i="11"/>
  <c r="K768" i="11"/>
  <c r="D769" i="11"/>
  <c r="E769" i="11"/>
  <c r="F769" i="11"/>
  <c r="G769" i="11"/>
  <c r="H769" i="11"/>
  <c r="I769" i="11"/>
  <c r="J769" i="11"/>
  <c r="K769" i="11"/>
  <c r="D770" i="11"/>
  <c r="E770" i="11"/>
  <c r="F770" i="11"/>
  <c r="G770" i="11"/>
  <c r="H770" i="11"/>
  <c r="I770" i="11"/>
  <c r="J770" i="11"/>
  <c r="K770" i="11"/>
  <c r="D771" i="11"/>
  <c r="E771" i="11"/>
  <c r="F771" i="11"/>
  <c r="G771" i="11"/>
  <c r="H771" i="11"/>
  <c r="I771" i="11"/>
  <c r="J771" i="11"/>
  <c r="K771" i="11"/>
  <c r="D772" i="11"/>
  <c r="E772" i="11"/>
  <c r="F772" i="11"/>
  <c r="G772" i="11"/>
  <c r="H772" i="11"/>
  <c r="I772" i="11"/>
  <c r="J772" i="11"/>
  <c r="K772" i="11"/>
  <c r="D773" i="11"/>
  <c r="E773" i="11"/>
  <c r="F773" i="11"/>
  <c r="G773" i="11"/>
  <c r="H773" i="11"/>
  <c r="I773" i="11"/>
  <c r="J773" i="11"/>
  <c r="K773" i="11"/>
  <c r="D774" i="11"/>
  <c r="E774" i="11"/>
  <c r="F774" i="11"/>
  <c r="G774" i="11"/>
  <c r="H774" i="11"/>
  <c r="I774" i="11"/>
  <c r="J774" i="11"/>
  <c r="K774" i="11"/>
  <c r="D775" i="11"/>
  <c r="E775" i="11"/>
  <c r="F775" i="11"/>
  <c r="G775" i="11"/>
  <c r="H775" i="11"/>
  <c r="I775" i="11"/>
  <c r="J775" i="11"/>
  <c r="K775" i="11"/>
  <c r="D776" i="11"/>
  <c r="E776" i="11"/>
  <c r="F776" i="11"/>
  <c r="G776" i="11"/>
  <c r="H776" i="11"/>
  <c r="I776" i="11"/>
  <c r="J776" i="11"/>
  <c r="K776" i="11"/>
  <c r="D777" i="11"/>
  <c r="E777" i="11"/>
  <c r="F777" i="11"/>
  <c r="G777" i="11"/>
  <c r="H777" i="11"/>
  <c r="I777" i="11"/>
  <c r="J777" i="11"/>
  <c r="K777" i="11"/>
  <c r="D778" i="11"/>
  <c r="E778" i="11"/>
  <c r="F778" i="11"/>
  <c r="G778" i="11"/>
  <c r="H778" i="11"/>
  <c r="I778" i="11"/>
  <c r="J778" i="11"/>
  <c r="K778" i="11"/>
  <c r="D779" i="11"/>
  <c r="E779" i="11"/>
  <c r="F779" i="11"/>
  <c r="G779" i="11"/>
  <c r="H779" i="11"/>
  <c r="I779" i="11"/>
  <c r="J779" i="11"/>
  <c r="K779" i="11"/>
  <c r="D780" i="11"/>
  <c r="E780" i="11"/>
  <c r="F780" i="11"/>
  <c r="G780" i="11"/>
  <c r="H780" i="11"/>
  <c r="I780" i="11"/>
  <c r="J780" i="11"/>
  <c r="K780" i="11"/>
  <c r="D781" i="11"/>
  <c r="E781" i="11"/>
  <c r="F781" i="11"/>
  <c r="G781" i="11"/>
  <c r="H781" i="11"/>
  <c r="I781" i="11"/>
  <c r="J781" i="11"/>
  <c r="K781" i="11"/>
  <c r="D782" i="11"/>
  <c r="E782" i="11"/>
  <c r="F782" i="11"/>
  <c r="G782" i="11"/>
  <c r="H782" i="11"/>
  <c r="I782" i="11"/>
  <c r="J782" i="11"/>
  <c r="K782" i="11"/>
  <c r="D783" i="11"/>
  <c r="E783" i="11"/>
  <c r="F783" i="11"/>
  <c r="G783" i="11"/>
  <c r="H783" i="11"/>
  <c r="I783" i="11"/>
  <c r="J783" i="11"/>
  <c r="K783" i="11"/>
  <c r="D784" i="11"/>
  <c r="E784" i="11"/>
  <c r="F784" i="11"/>
  <c r="G784" i="11"/>
  <c r="H784" i="11"/>
  <c r="I784" i="11"/>
  <c r="J784" i="11"/>
  <c r="K784" i="11"/>
  <c r="D785" i="11"/>
  <c r="E785" i="11"/>
  <c r="F785" i="11"/>
  <c r="G785" i="11"/>
  <c r="H785" i="11"/>
  <c r="I785" i="11"/>
  <c r="J785" i="11"/>
  <c r="K785" i="11"/>
  <c r="D786" i="11"/>
  <c r="E786" i="11"/>
  <c r="F786" i="11"/>
  <c r="G786" i="11"/>
  <c r="H786" i="11"/>
  <c r="I786" i="11"/>
  <c r="J786" i="11"/>
  <c r="K786" i="11"/>
  <c r="D787" i="11"/>
  <c r="E787" i="11"/>
  <c r="F787" i="11"/>
  <c r="G787" i="11"/>
  <c r="H787" i="11"/>
  <c r="I787" i="11"/>
  <c r="J787" i="11"/>
  <c r="K787" i="11"/>
  <c r="D788" i="11"/>
  <c r="E788" i="11"/>
  <c r="F788" i="11"/>
  <c r="G788" i="11"/>
  <c r="H788" i="11"/>
  <c r="I788" i="11"/>
  <c r="J788" i="11"/>
  <c r="K788" i="11"/>
  <c r="D789" i="11"/>
  <c r="E789" i="11"/>
  <c r="F789" i="11"/>
  <c r="G789" i="11"/>
  <c r="H789" i="11"/>
  <c r="I789" i="11"/>
  <c r="J789" i="11"/>
  <c r="K789" i="11"/>
  <c r="D790" i="11"/>
  <c r="E790" i="11"/>
  <c r="F790" i="11"/>
  <c r="G790" i="11"/>
  <c r="H790" i="11"/>
  <c r="I790" i="11"/>
  <c r="J790" i="11"/>
  <c r="K790" i="11"/>
  <c r="D791" i="11"/>
  <c r="E791" i="11"/>
  <c r="F791" i="11"/>
  <c r="G791" i="11"/>
  <c r="H791" i="11"/>
  <c r="I791" i="11"/>
  <c r="J791" i="11"/>
  <c r="K791" i="11"/>
  <c r="D792" i="11"/>
  <c r="E792" i="11"/>
  <c r="F792" i="11"/>
  <c r="G792" i="11"/>
  <c r="H792" i="11"/>
  <c r="I792" i="11"/>
  <c r="J792" i="11"/>
  <c r="K792" i="11"/>
  <c r="D793" i="11"/>
  <c r="E793" i="11"/>
  <c r="F793" i="11"/>
  <c r="G793" i="11"/>
  <c r="H793" i="11"/>
  <c r="I793" i="11"/>
  <c r="J793" i="11"/>
  <c r="K793" i="11"/>
  <c r="D794" i="11"/>
  <c r="E794" i="11"/>
  <c r="F794" i="11"/>
  <c r="G794" i="11"/>
  <c r="H794" i="11"/>
  <c r="I794" i="11"/>
  <c r="J794" i="11"/>
  <c r="K794" i="11"/>
  <c r="D795" i="11"/>
  <c r="E795" i="11"/>
  <c r="F795" i="11"/>
  <c r="G795" i="11"/>
  <c r="H795" i="11"/>
  <c r="I795" i="11"/>
  <c r="J795" i="11"/>
  <c r="K795" i="11"/>
  <c r="D796" i="11"/>
  <c r="E796" i="11"/>
  <c r="F796" i="11"/>
  <c r="G796" i="11"/>
  <c r="H796" i="11"/>
  <c r="I796" i="11"/>
  <c r="J796" i="11"/>
  <c r="K796" i="11"/>
  <c r="D797" i="11"/>
  <c r="E797" i="11"/>
  <c r="F797" i="11"/>
  <c r="G797" i="11"/>
  <c r="H797" i="11"/>
  <c r="I797" i="11"/>
  <c r="J797" i="11"/>
  <c r="K797" i="11"/>
  <c r="D798" i="11"/>
  <c r="E798" i="11"/>
  <c r="F798" i="11"/>
  <c r="G798" i="11"/>
  <c r="H798" i="11"/>
  <c r="I798" i="11"/>
  <c r="J798" i="11"/>
  <c r="K798" i="11"/>
  <c r="D799" i="11"/>
  <c r="E799" i="11"/>
  <c r="F799" i="11"/>
  <c r="G799" i="11"/>
  <c r="H799" i="11"/>
  <c r="I799" i="11"/>
  <c r="J799" i="11"/>
  <c r="K799" i="11"/>
  <c r="D800" i="11"/>
  <c r="E800" i="11"/>
  <c r="F800" i="11"/>
  <c r="G800" i="11"/>
  <c r="H800" i="11"/>
  <c r="I800" i="11"/>
  <c r="J800" i="11"/>
  <c r="K800" i="11"/>
  <c r="D801" i="11"/>
  <c r="E801" i="11"/>
  <c r="F801" i="11"/>
  <c r="G801" i="11"/>
  <c r="H801" i="11"/>
  <c r="I801" i="11"/>
  <c r="J801" i="11"/>
  <c r="K801" i="11"/>
  <c r="D802" i="11"/>
  <c r="E802" i="11"/>
  <c r="F802" i="11"/>
  <c r="G802" i="11"/>
  <c r="H802" i="11"/>
  <c r="I802" i="11"/>
  <c r="J802" i="11"/>
  <c r="K802" i="11"/>
  <c r="D803" i="11"/>
  <c r="E803" i="11"/>
  <c r="F803" i="11"/>
  <c r="G803" i="11"/>
  <c r="H803" i="11"/>
  <c r="I803" i="11"/>
  <c r="J803" i="11"/>
  <c r="K803" i="11"/>
  <c r="D804" i="11"/>
  <c r="E804" i="11"/>
  <c r="F804" i="11"/>
  <c r="G804" i="11"/>
  <c r="H804" i="11"/>
  <c r="I804" i="11"/>
  <c r="J804" i="11"/>
  <c r="K804" i="11"/>
  <c r="D805" i="11"/>
  <c r="E805" i="11"/>
  <c r="F805" i="11"/>
  <c r="G805" i="11"/>
  <c r="H805" i="11"/>
  <c r="I805" i="11"/>
  <c r="J805" i="11"/>
  <c r="K805" i="11"/>
  <c r="D806" i="11"/>
  <c r="E806" i="11"/>
  <c r="F806" i="11"/>
  <c r="G806" i="11"/>
  <c r="H806" i="11"/>
  <c r="I806" i="11"/>
  <c r="J806" i="11"/>
  <c r="K806" i="11"/>
  <c r="D807" i="11"/>
  <c r="E807" i="11"/>
  <c r="F807" i="11"/>
  <c r="G807" i="11"/>
  <c r="H807" i="11"/>
  <c r="I807" i="11"/>
  <c r="J807" i="11"/>
  <c r="K807" i="11"/>
  <c r="D808" i="11"/>
  <c r="E808" i="11"/>
  <c r="F808" i="11"/>
  <c r="G808" i="11"/>
  <c r="H808" i="11"/>
  <c r="I808" i="11"/>
  <c r="J808" i="11"/>
  <c r="K808" i="11"/>
  <c r="D809" i="11"/>
  <c r="E809" i="11"/>
  <c r="F809" i="11"/>
  <c r="G809" i="11"/>
  <c r="H809" i="11"/>
  <c r="I809" i="11"/>
  <c r="J809" i="11"/>
  <c r="K809" i="11"/>
  <c r="D810" i="11"/>
  <c r="E810" i="11"/>
  <c r="F810" i="11"/>
  <c r="G810" i="11"/>
  <c r="H810" i="11"/>
  <c r="I810" i="11"/>
  <c r="J810" i="11"/>
  <c r="K810" i="11"/>
  <c r="D811" i="11"/>
  <c r="E811" i="11"/>
  <c r="F811" i="11"/>
  <c r="G811" i="11"/>
  <c r="H811" i="11"/>
  <c r="I811" i="11"/>
  <c r="J811" i="11"/>
  <c r="K811" i="11"/>
  <c r="D812" i="11"/>
  <c r="E812" i="11"/>
  <c r="F812" i="11"/>
  <c r="G812" i="11"/>
  <c r="H812" i="11"/>
  <c r="I812" i="11"/>
  <c r="J812" i="11"/>
  <c r="K812" i="11"/>
  <c r="D813" i="11"/>
  <c r="E813" i="11"/>
  <c r="F813" i="11"/>
  <c r="G813" i="11"/>
  <c r="H813" i="11"/>
  <c r="I813" i="11"/>
  <c r="J813" i="11"/>
  <c r="K813" i="11"/>
  <c r="D814" i="11"/>
  <c r="E814" i="11"/>
  <c r="F814" i="11"/>
  <c r="G814" i="11"/>
  <c r="H814" i="11"/>
  <c r="I814" i="11"/>
  <c r="J814" i="11"/>
  <c r="K814" i="11"/>
  <c r="D815" i="11"/>
  <c r="E815" i="11"/>
  <c r="F815" i="11"/>
  <c r="G815" i="11"/>
  <c r="H815" i="11"/>
  <c r="I815" i="11"/>
  <c r="J815" i="11"/>
  <c r="K815" i="11"/>
  <c r="D816" i="11"/>
  <c r="E816" i="11"/>
  <c r="F816" i="11"/>
  <c r="G816" i="11"/>
  <c r="H816" i="11"/>
  <c r="I816" i="11"/>
  <c r="J816" i="11"/>
  <c r="K816" i="11"/>
  <c r="D817" i="11"/>
  <c r="E817" i="11"/>
  <c r="F817" i="11"/>
  <c r="G817" i="11"/>
  <c r="H817" i="11"/>
  <c r="I817" i="11"/>
  <c r="J817" i="11"/>
  <c r="K817" i="11"/>
  <c r="D818" i="11"/>
  <c r="E818" i="11"/>
  <c r="F818" i="11"/>
  <c r="G818" i="11"/>
  <c r="H818" i="11"/>
  <c r="I818" i="11"/>
  <c r="J818" i="11"/>
  <c r="K818" i="11"/>
  <c r="D819" i="11"/>
  <c r="E819" i="11"/>
  <c r="F819" i="11"/>
  <c r="G819" i="11"/>
  <c r="H819" i="11"/>
  <c r="I819" i="11"/>
  <c r="J819" i="11"/>
  <c r="K819" i="11"/>
  <c r="D820" i="11"/>
  <c r="E820" i="11"/>
  <c r="F820" i="11"/>
  <c r="G820" i="11"/>
  <c r="H820" i="11"/>
  <c r="I820" i="11"/>
  <c r="J820" i="11"/>
  <c r="K820" i="11"/>
  <c r="D821" i="11"/>
  <c r="E821" i="11"/>
  <c r="F821" i="11"/>
  <c r="G821" i="11"/>
  <c r="H821" i="11"/>
  <c r="I821" i="11"/>
  <c r="J821" i="11"/>
  <c r="K821" i="11"/>
  <c r="D822" i="11"/>
  <c r="E822" i="11"/>
  <c r="F822" i="11"/>
  <c r="G822" i="11"/>
  <c r="H822" i="11"/>
  <c r="I822" i="11"/>
  <c r="J822" i="11"/>
  <c r="K822" i="11"/>
  <c r="D823" i="11"/>
  <c r="E823" i="11"/>
  <c r="F823" i="11"/>
  <c r="G823" i="11"/>
  <c r="H823" i="11"/>
  <c r="I823" i="11"/>
  <c r="J823" i="11"/>
  <c r="K823" i="11"/>
  <c r="D824" i="11"/>
  <c r="E824" i="11"/>
  <c r="F824" i="11"/>
  <c r="G824" i="11"/>
  <c r="H824" i="11"/>
  <c r="I824" i="11"/>
  <c r="J824" i="11"/>
  <c r="K824" i="11"/>
  <c r="D825" i="11"/>
  <c r="E825" i="11"/>
  <c r="F825" i="11"/>
  <c r="G825" i="11"/>
  <c r="H825" i="11"/>
  <c r="I825" i="11"/>
  <c r="J825" i="11"/>
  <c r="K825" i="11"/>
  <c r="D826" i="11"/>
  <c r="E826" i="11"/>
  <c r="F826" i="11"/>
  <c r="G826" i="11"/>
  <c r="H826" i="11"/>
  <c r="I826" i="11"/>
  <c r="J826" i="11"/>
  <c r="K826" i="11"/>
  <c r="D827" i="11"/>
  <c r="E827" i="11"/>
  <c r="F827" i="11"/>
  <c r="G827" i="11"/>
  <c r="H827" i="11"/>
  <c r="I827" i="11"/>
  <c r="J827" i="11"/>
  <c r="K827" i="11"/>
  <c r="D828" i="11"/>
  <c r="E828" i="11"/>
  <c r="F828" i="11"/>
  <c r="G828" i="11"/>
  <c r="H828" i="11"/>
  <c r="I828" i="11"/>
  <c r="J828" i="11"/>
  <c r="K828" i="11"/>
  <c r="D829" i="11"/>
  <c r="E829" i="11"/>
  <c r="F829" i="11"/>
  <c r="G829" i="11"/>
  <c r="H829" i="11"/>
  <c r="I829" i="11"/>
  <c r="J829" i="11"/>
  <c r="K829" i="11"/>
  <c r="D830" i="11"/>
  <c r="E830" i="11"/>
  <c r="F830" i="11"/>
  <c r="G830" i="11"/>
  <c r="H830" i="11"/>
  <c r="I830" i="11"/>
  <c r="J830" i="11"/>
  <c r="K830" i="11"/>
  <c r="D831" i="11"/>
  <c r="E831" i="11"/>
  <c r="F831" i="11"/>
  <c r="G831" i="11"/>
  <c r="H831" i="11"/>
  <c r="I831" i="11"/>
  <c r="J831" i="11"/>
  <c r="K831" i="11"/>
  <c r="D832" i="11"/>
  <c r="E832" i="11"/>
  <c r="F832" i="11"/>
  <c r="G832" i="11"/>
  <c r="H832" i="11"/>
  <c r="I832" i="11"/>
  <c r="J832" i="11"/>
  <c r="K832" i="11"/>
  <c r="D833" i="11"/>
  <c r="E833" i="11"/>
  <c r="F833" i="11"/>
  <c r="G833" i="11"/>
  <c r="H833" i="11"/>
  <c r="I833" i="11"/>
  <c r="J833" i="11"/>
  <c r="K833" i="11"/>
  <c r="D834" i="11"/>
  <c r="E834" i="11"/>
  <c r="F834" i="11"/>
  <c r="G834" i="11"/>
  <c r="H834" i="11"/>
  <c r="I834" i="11"/>
  <c r="J834" i="11"/>
  <c r="K834" i="11"/>
  <c r="D835" i="11"/>
  <c r="E835" i="11"/>
  <c r="F835" i="11"/>
  <c r="G835" i="11"/>
  <c r="H835" i="11"/>
  <c r="I835" i="11"/>
  <c r="J835" i="11"/>
  <c r="K835" i="11"/>
  <c r="D836" i="11"/>
  <c r="E836" i="11"/>
  <c r="F836" i="11"/>
  <c r="G836" i="11"/>
  <c r="H836" i="11"/>
  <c r="I836" i="11"/>
  <c r="J836" i="11"/>
  <c r="K836" i="11"/>
  <c r="D837" i="11"/>
  <c r="E837" i="11"/>
  <c r="F837" i="11"/>
  <c r="G837" i="11"/>
  <c r="H837" i="11"/>
  <c r="I837" i="11"/>
  <c r="J837" i="11"/>
  <c r="K837" i="11"/>
  <c r="D838" i="11"/>
  <c r="E838" i="11"/>
  <c r="F838" i="11"/>
  <c r="G838" i="11"/>
  <c r="H838" i="11"/>
  <c r="I838" i="11"/>
  <c r="J838" i="11"/>
  <c r="K838" i="11"/>
  <c r="D839" i="11"/>
  <c r="E839" i="11"/>
  <c r="F839" i="11"/>
  <c r="G839" i="11"/>
  <c r="H839" i="11"/>
  <c r="I839" i="11"/>
  <c r="J839" i="11"/>
  <c r="K839" i="11"/>
  <c r="D840" i="11"/>
  <c r="E840" i="11"/>
  <c r="F840" i="11"/>
  <c r="G840" i="11"/>
  <c r="H840" i="11"/>
  <c r="I840" i="11"/>
  <c r="J840" i="11"/>
  <c r="K840" i="11"/>
  <c r="D841" i="11"/>
  <c r="E841" i="11"/>
  <c r="F841" i="11"/>
  <c r="G841" i="11"/>
  <c r="H841" i="11"/>
  <c r="I841" i="11"/>
  <c r="J841" i="11"/>
  <c r="K841" i="11"/>
  <c r="D842" i="11"/>
  <c r="E842" i="11"/>
  <c r="F842" i="11"/>
  <c r="G842" i="11"/>
  <c r="H842" i="11"/>
  <c r="I842" i="11"/>
  <c r="J842" i="11"/>
  <c r="K842" i="11"/>
  <c r="D843" i="11"/>
  <c r="E843" i="11"/>
  <c r="F843" i="11"/>
  <c r="G843" i="11"/>
  <c r="H843" i="11"/>
  <c r="I843" i="11"/>
  <c r="J843" i="11"/>
  <c r="K843" i="11"/>
  <c r="D844" i="11"/>
  <c r="E844" i="11"/>
  <c r="F844" i="11"/>
  <c r="G844" i="11"/>
  <c r="H844" i="11"/>
  <c r="I844" i="11"/>
  <c r="J844" i="11"/>
  <c r="K844" i="11"/>
  <c r="D845" i="11"/>
  <c r="E845" i="11"/>
  <c r="F845" i="11"/>
  <c r="G845" i="11"/>
  <c r="H845" i="11"/>
  <c r="I845" i="11"/>
  <c r="J845" i="11"/>
  <c r="K845" i="11"/>
  <c r="D846" i="11"/>
  <c r="E846" i="11"/>
  <c r="F846" i="11"/>
  <c r="G846" i="11"/>
  <c r="H846" i="11"/>
  <c r="I846" i="11"/>
  <c r="J846" i="11"/>
  <c r="K846" i="11"/>
  <c r="D847" i="11"/>
  <c r="E847" i="11"/>
  <c r="F847" i="11"/>
  <c r="G847" i="11"/>
  <c r="H847" i="11"/>
  <c r="I847" i="11"/>
  <c r="J847" i="11"/>
  <c r="K847" i="11"/>
  <c r="D848" i="11"/>
  <c r="E848" i="11"/>
  <c r="F848" i="11"/>
  <c r="G848" i="11"/>
  <c r="H848" i="11"/>
  <c r="I848" i="11"/>
  <c r="J848" i="11"/>
  <c r="K848" i="11"/>
  <c r="D849" i="11"/>
  <c r="E849" i="11"/>
  <c r="F849" i="11"/>
  <c r="G849" i="11"/>
  <c r="H849" i="11"/>
  <c r="I849" i="11"/>
  <c r="J849" i="11"/>
  <c r="K849" i="11"/>
  <c r="D850" i="11"/>
  <c r="E850" i="11"/>
  <c r="F850" i="11"/>
  <c r="G850" i="11"/>
  <c r="H850" i="11"/>
  <c r="I850" i="11"/>
  <c r="J850" i="11"/>
  <c r="K850" i="11"/>
  <c r="D851" i="11"/>
  <c r="E851" i="11"/>
  <c r="F851" i="11"/>
  <c r="G851" i="11"/>
  <c r="H851" i="11"/>
  <c r="I851" i="11"/>
  <c r="J851" i="11"/>
  <c r="K851" i="11"/>
  <c r="D852" i="11"/>
  <c r="E852" i="11"/>
  <c r="F852" i="11"/>
  <c r="G852" i="11"/>
  <c r="H852" i="11"/>
  <c r="I852" i="11"/>
  <c r="J852" i="11"/>
  <c r="K852" i="11"/>
  <c r="D853" i="11"/>
  <c r="E853" i="11"/>
  <c r="F853" i="11"/>
  <c r="G853" i="11"/>
  <c r="H853" i="11"/>
  <c r="I853" i="11"/>
  <c r="J853" i="11"/>
  <c r="K853" i="11"/>
  <c r="D854" i="11"/>
  <c r="E854" i="11"/>
  <c r="F854" i="11"/>
  <c r="G854" i="11"/>
  <c r="H854" i="11"/>
  <c r="I854" i="11"/>
  <c r="J854" i="11"/>
  <c r="K854" i="11"/>
  <c r="D855" i="11"/>
  <c r="E855" i="11"/>
  <c r="F855" i="11"/>
  <c r="G855" i="11"/>
  <c r="H855" i="11"/>
  <c r="I855" i="11"/>
  <c r="J855" i="11"/>
  <c r="K855" i="11"/>
  <c r="D856" i="11"/>
  <c r="E856" i="11"/>
  <c r="F856" i="11"/>
  <c r="G856" i="11"/>
  <c r="H856" i="11"/>
  <c r="I856" i="11"/>
  <c r="J856" i="11"/>
  <c r="K856" i="11"/>
  <c r="D857" i="11"/>
  <c r="E857" i="11"/>
  <c r="F857" i="11"/>
  <c r="G857" i="11"/>
  <c r="H857" i="11"/>
  <c r="I857" i="11"/>
  <c r="J857" i="11"/>
  <c r="K857" i="11"/>
  <c r="D858" i="11"/>
  <c r="E858" i="11"/>
  <c r="F858" i="11"/>
  <c r="G858" i="11"/>
  <c r="H858" i="11"/>
  <c r="I858" i="11"/>
  <c r="J858" i="11"/>
  <c r="K858" i="11"/>
  <c r="D859" i="11"/>
  <c r="E859" i="11"/>
  <c r="F859" i="11"/>
  <c r="G859" i="11"/>
  <c r="H859" i="11"/>
  <c r="I859" i="11"/>
  <c r="J859" i="11"/>
  <c r="K859" i="11"/>
  <c r="D860" i="11"/>
  <c r="E860" i="11"/>
  <c r="F860" i="11"/>
  <c r="G860" i="11"/>
  <c r="H860" i="11"/>
  <c r="I860" i="11"/>
  <c r="J860" i="11"/>
  <c r="K860" i="11"/>
  <c r="D861" i="11"/>
  <c r="E861" i="11"/>
  <c r="F861" i="11"/>
  <c r="G861" i="11"/>
  <c r="H861" i="11"/>
  <c r="I861" i="11"/>
  <c r="J861" i="11"/>
  <c r="K861" i="11"/>
  <c r="D862" i="11"/>
  <c r="E862" i="11"/>
  <c r="F862" i="11"/>
  <c r="G862" i="11"/>
  <c r="H862" i="11"/>
  <c r="I862" i="11"/>
  <c r="J862" i="11"/>
  <c r="K862" i="11"/>
  <c r="D863" i="11"/>
  <c r="E863" i="11"/>
  <c r="F863" i="11"/>
  <c r="G863" i="11"/>
  <c r="H863" i="11"/>
  <c r="I863" i="11"/>
  <c r="J863" i="11"/>
  <c r="K863" i="11"/>
  <c r="D864" i="11"/>
  <c r="E864" i="11"/>
  <c r="F864" i="11"/>
  <c r="G864" i="11"/>
  <c r="H864" i="11"/>
  <c r="I864" i="11"/>
  <c r="J864" i="11"/>
  <c r="K864" i="11"/>
  <c r="D865" i="11"/>
  <c r="E865" i="11"/>
  <c r="F865" i="11"/>
  <c r="G865" i="11"/>
  <c r="H865" i="11"/>
  <c r="I865" i="11"/>
  <c r="J865" i="11"/>
  <c r="K865" i="11"/>
  <c r="D866" i="11"/>
  <c r="E866" i="11"/>
  <c r="F866" i="11"/>
  <c r="G866" i="11"/>
  <c r="H866" i="11"/>
  <c r="I866" i="11"/>
  <c r="J866" i="11"/>
  <c r="K866" i="11"/>
  <c r="D867" i="11"/>
  <c r="E867" i="11"/>
  <c r="F867" i="11"/>
  <c r="G867" i="11"/>
  <c r="H867" i="11"/>
  <c r="I867" i="11"/>
  <c r="J867" i="11"/>
  <c r="K867" i="11"/>
  <c r="D868" i="11"/>
  <c r="E868" i="11"/>
  <c r="F868" i="11"/>
  <c r="G868" i="11"/>
  <c r="H868" i="11"/>
  <c r="I868" i="11"/>
  <c r="J868" i="11"/>
  <c r="K868" i="11"/>
  <c r="D869" i="11"/>
  <c r="E869" i="11"/>
  <c r="F869" i="11"/>
  <c r="G869" i="11"/>
  <c r="H869" i="11"/>
  <c r="I869" i="11"/>
  <c r="J869" i="11"/>
  <c r="K869" i="11"/>
  <c r="D870" i="11"/>
  <c r="E870" i="11"/>
  <c r="F870" i="11"/>
  <c r="G870" i="11"/>
  <c r="H870" i="11"/>
  <c r="I870" i="11"/>
  <c r="J870" i="11"/>
  <c r="K870" i="11"/>
  <c r="D871" i="11"/>
  <c r="E871" i="11"/>
  <c r="F871" i="11"/>
  <c r="G871" i="11"/>
  <c r="H871" i="11"/>
  <c r="I871" i="11"/>
  <c r="J871" i="11"/>
  <c r="K871" i="11"/>
  <c r="D872" i="11"/>
  <c r="E872" i="11"/>
  <c r="F872" i="11"/>
  <c r="G872" i="11"/>
  <c r="H872" i="11"/>
  <c r="I872" i="11"/>
  <c r="J872" i="11"/>
  <c r="K872" i="11"/>
  <c r="D873" i="11"/>
  <c r="E873" i="11"/>
  <c r="F873" i="11"/>
  <c r="G873" i="11"/>
  <c r="H873" i="11"/>
  <c r="I873" i="11"/>
  <c r="J873" i="11"/>
  <c r="K873" i="11"/>
  <c r="D874" i="11"/>
  <c r="E874" i="11"/>
  <c r="F874" i="11"/>
  <c r="G874" i="11"/>
  <c r="H874" i="11"/>
  <c r="I874" i="11"/>
  <c r="J874" i="11"/>
  <c r="K874" i="11"/>
  <c r="D875" i="11"/>
  <c r="E875" i="11"/>
  <c r="F875" i="11"/>
  <c r="G875" i="11"/>
  <c r="H875" i="11"/>
  <c r="I875" i="11"/>
  <c r="J875" i="11"/>
  <c r="K875" i="11"/>
  <c r="D876" i="11"/>
  <c r="E876" i="11"/>
  <c r="F876" i="11"/>
  <c r="G876" i="11"/>
  <c r="H876" i="11"/>
  <c r="I876" i="11"/>
  <c r="J876" i="11"/>
  <c r="K876" i="11"/>
  <c r="D877" i="11"/>
  <c r="E877" i="11"/>
  <c r="F877" i="11"/>
  <c r="G877" i="11"/>
  <c r="H877" i="11"/>
  <c r="I877" i="11"/>
  <c r="J877" i="11"/>
  <c r="K877" i="11"/>
  <c r="D878" i="11"/>
  <c r="E878" i="11"/>
  <c r="F878" i="11"/>
  <c r="G878" i="11"/>
  <c r="H878" i="11"/>
  <c r="I878" i="11"/>
  <c r="J878" i="11"/>
  <c r="K878" i="11"/>
  <c r="D879" i="11"/>
  <c r="E879" i="11"/>
  <c r="F879" i="11"/>
  <c r="G879" i="11"/>
  <c r="H879" i="11"/>
  <c r="I879" i="11"/>
  <c r="J879" i="11"/>
  <c r="K879" i="11"/>
  <c r="D880" i="11"/>
  <c r="E880" i="11"/>
  <c r="F880" i="11"/>
  <c r="G880" i="11"/>
  <c r="H880" i="11"/>
  <c r="I880" i="11"/>
  <c r="J880" i="11"/>
  <c r="K880" i="11"/>
  <c r="D881" i="11"/>
  <c r="E881" i="11"/>
  <c r="F881" i="11"/>
  <c r="G881" i="11"/>
  <c r="H881" i="11"/>
  <c r="I881" i="11"/>
  <c r="J881" i="11"/>
  <c r="K881" i="11"/>
  <c r="D882" i="11"/>
  <c r="E882" i="11"/>
  <c r="F882" i="11"/>
  <c r="G882" i="11"/>
  <c r="H882" i="11"/>
  <c r="I882" i="11"/>
  <c r="J882" i="11"/>
  <c r="K882" i="11"/>
  <c r="D883" i="11"/>
  <c r="E883" i="11"/>
  <c r="F883" i="11"/>
  <c r="G883" i="11"/>
  <c r="H883" i="11"/>
  <c r="I883" i="11"/>
  <c r="J883" i="11"/>
  <c r="K883" i="11"/>
  <c r="D884" i="11"/>
  <c r="E884" i="11"/>
  <c r="F884" i="11"/>
  <c r="G884" i="11"/>
  <c r="H884" i="11"/>
  <c r="I884" i="11"/>
  <c r="J884" i="11"/>
  <c r="K884" i="11"/>
  <c r="D885" i="11"/>
  <c r="E885" i="11"/>
  <c r="F885" i="11"/>
  <c r="G885" i="11"/>
  <c r="H885" i="11"/>
  <c r="I885" i="11"/>
  <c r="J885" i="11"/>
  <c r="K885" i="11"/>
  <c r="D886" i="11"/>
  <c r="E886" i="11"/>
  <c r="F886" i="11"/>
  <c r="G886" i="11"/>
  <c r="H886" i="11"/>
  <c r="I886" i="11"/>
  <c r="J886" i="11"/>
  <c r="K886" i="11"/>
  <c r="D887" i="11"/>
  <c r="E887" i="11"/>
  <c r="F887" i="11"/>
  <c r="G887" i="11"/>
  <c r="H887" i="11"/>
  <c r="I887" i="11"/>
  <c r="J887" i="11"/>
  <c r="K887" i="11"/>
  <c r="D888" i="11"/>
  <c r="E888" i="11"/>
  <c r="F888" i="11"/>
  <c r="G888" i="11"/>
  <c r="H888" i="11"/>
  <c r="I888" i="11"/>
  <c r="J888" i="11"/>
  <c r="K888" i="11"/>
  <c r="D889" i="11"/>
  <c r="E889" i="11"/>
  <c r="F889" i="11"/>
  <c r="G889" i="11"/>
  <c r="H889" i="11"/>
  <c r="I889" i="11"/>
  <c r="J889" i="11"/>
  <c r="K889" i="11"/>
  <c r="D890" i="11"/>
  <c r="E890" i="11"/>
  <c r="F890" i="11"/>
  <c r="G890" i="11"/>
  <c r="H890" i="11"/>
  <c r="I890" i="11"/>
  <c r="J890" i="11"/>
  <c r="K890" i="11"/>
  <c r="D891" i="11"/>
  <c r="E891" i="11"/>
  <c r="F891" i="11"/>
  <c r="G891" i="11"/>
  <c r="H891" i="11"/>
  <c r="I891" i="11"/>
  <c r="J891" i="11"/>
  <c r="K891" i="11"/>
  <c r="D892" i="11"/>
  <c r="E892" i="11"/>
  <c r="F892" i="11"/>
  <c r="G892" i="11"/>
  <c r="H892" i="11"/>
  <c r="I892" i="11"/>
  <c r="J892" i="11"/>
  <c r="K892" i="11"/>
  <c r="D893" i="11"/>
  <c r="E893" i="11"/>
  <c r="F893" i="11"/>
  <c r="G893" i="11"/>
  <c r="H893" i="11"/>
  <c r="I893" i="11"/>
  <c r="J893" i="11"/>
  <c r="K893" i="11"/>
  <c r="D894" i="11"/>
  <c r="E894" i="11"/>
  <c r="F894" i="11"/>
  <c r="G894" i="11"/>
  <c r="H894" i="11"/>
  <c r="I894" i="11"/>
  <c r="J894" i="11"/>
  <c r="K894" i="11"/>
  <c r="D895" i="11"/>
  <c r="E895" i="11"/>
  <c r="F895" i="11"/>
  <c r="G895" i="11"/>
  <c r="H895" i="11"/>
  <c r="I895" i="11"/>
  <c r="J895" i="11"/>
  <c r="K895" i="11"/>
  <c r="D896" i="11"/>
  <c r="E896" i="11"/>
  <c r="F896" i="11"/>
  <c r="G896" i="11"/>
  <c r="H896" i="11"/>
  <c r="I896" i="11"/>
  <c r="J896" i="11"/>
  <c r="K896" i="11"/>
  <c r="D897" i="11"/>
  <c r="E897" i="11"/>
  <c r="F897" i="11"/>
  <c r="G897" i="11"/>
  <c r="H897" i="11"/>
  <c r="I897" i="11"/>
  <c r="J897" i="11"/>
  <c r="K897" i="11"/>
  <c r="D898" i="11"/>
  <c r="E898" i="11"/>
  <c r="F898" i="11"/>
  <c r="G898" i="11"/>
  <c r="H898" i="11"/>
  <c r="I898" i="11"/>
  <c r="J898" i="11"/>
  <c r="K898" i="11"/>
  <c r="D899" i="11"/>
  <c r="E899" i="11"/>
  <c r="F899" i="11"/>
  <c r="G899" i="11"/>
  <c r="H899" i="11"/>
  <c r="I899" i="11"/>
  <c r="J899" i="11"/>
  <c r="K899" i="11"/>
  <c r="D900" i="11"/>
  <c r="E900" i="11"/>
  <c r="F900" i="11"/>
  <c r="G900" i="11"/>
  <c r="H900" i="11"/>
  <c r="I900" i="11"/>
  <c r="J900" i="11"/>
  <c r="K900" i="11"/>
  <c r="D901" i="11"/>
  <c r="E901" i="11"/>
  <c r="F901" i="11"/>
  <c r="G901" i="11"/>
  <c r="H901" i="11"/>
  <c r="I901" i="11"/>
  <c r="J901" i="11"/>
  <c r="K901" i="11"/>
  <c r="D902" i="11"/>
  <c r="E902" i="11"/>
  <c r="F902" i="11"/>
  <c r="G902" i="11"/>
  <c r="H902" i="11"/>
  <c r="I902" i="11"/>
  <c r="J902" i="11"/>
  <c r="K902" i="11"/>
  <c r="D903" i="11"/>
  <c r="E903" i="11"/>
  <c r="F903" i="11"/>
  <c r="G903" i="11"/>
  <c r="H903" i="11"/>
  <c r="I903" i="11"/>
  <c r="J903" i="11"/>
  <c r="K903" i="11"/>
  <c r="D904" i="11"/>
  <c r="E904" i="11"/>
  <c r="F904" i="11"/>
  <c r="G904" i="11"/>
  <c r="H904" i="11"/>
  <c r="I904" i="11"/>
  <c r="J904" i="11"/>
  <c r="K904" i="11"/>
  <c r="D905" i="11"/>
  <c r="E905" i="11"/>
  <c r="F905" i="11"/>
  <c r="G905" i="11"/>
  <c r="H905" i="11"/>
  <c r="I905" i="11"/>
  <c r="J905" i="11"/>
  <c r="K905" i="11"/>
  <c r="D906" i="11"/>
  <c r="E906" i="11"/>
  <c r="F906" i="11"/>
  <c r="G906" i="11"/>
  <c r="H906" i="11"/>
  <c r="I906" i="11"/>
  <c r="J906" i="11"/>
  <c r="K906" i="11"/>
  <c r="D907" i="11"/>
  <c r="E907" i="11"/>
  <c r="F907" i="11"/>
  <c r="G907" i="11"/>
  <c r="H907" i="11"/>
  <c r="I907" i="11"/>
  <c r="J907" i="11"/>
  <c r="K907" i="11"/>
  <c r="D908" i="11"/>
  <c r="E908" i="11"/>
  <c r="F908" i="11"/>
  <c r="G908" i="11"/>
  <c r="H908" i="11"/>
  <c r="I908" i="11"/>
  <c r="J908" i="11"/>
  <c r="K908" i="11"/>
  <c r="D909" i="11"/>
  <c r="E909" i="11"/>
  <c r="F909" i="11"/>
  <c r="G909" i="11"/>
  <c r="H909" i="11"/>
  <c r="I909" i="11"/>
  <c r="J909" i="11"/>
  <c r="K909" i="11"/>
  <c r="D910" i="11"/>
  <c r="E910" i="11"/>
  <c r="F910" i="11"/>
  <c r="G910" i="11"/>
  <c r="H910" i="11"/>
  <c r="I910" i="11"/>
  <c r="J910" i="11"/>
  <c r="K910" i="11"/>
  <c r="D911" i="11"/>
  <c r="E911" i="11"/>
  <c r="F911" i="11"/>
  <c r="G911" i="11"/>
  <c r="H911" i="11"/>
  <c r="I911" i="11"/>
  <c r="J911" i="11"/>
  <c r="K911" i="11"/>
  <c r="D912" i="11"/>
  <c r="E912" i="11"/>
  <c r="F912" i="11"/>
  <c r="G912" i="11"/>
  <c r="H912" i="11"/>
  <c r="I912" i="11"/>
  <c r="J912" i="11"/>
  <c r="K912" i="11"/>
  <c r="D913" i="11"/>
  <c r="E913" i="11"/>
  <c r="F913" i="11"/>
  <c r="G913" i="11"/>
  <c r="H913" i="11"/>
  <c r="I913" i="11"/>
  <c r="J913" i="11"/>
  <c r="K913" i="11"/>
  <c r="D914" i="11"/>
  <c r="E914" i="11"/>
  <c r="F914" i="11"/>
  <c r="G914" i="11"/>
  <c r="H914" i="11"/>
  <c r="I914" i="11"/>
  <c r="J914" i="11"/>
  <c r="K914" i="11"/>
  <c r="D915" i="11"/>
  <c r="E915" i="11"/>
  <c r="F915" i="11"/>
  <c r="G915" i="11"/>
  <c r="H915" i="11"/>
  <c r="I915" i="11"/>
  <c r="J915" i="11"/>
  <c r="K915" i="11"/>
  <c r="D916" i="11"/>
  <c r="E916" i="11"/>
  <c r="F916" i="11"/>
  <c r="G916" i="11"/>
  <c r="H916" i="11"/>
  <c r="I916" i="11"/>
  <c r="J916" i="11"/>
  <c r="K916" i="11"/>
  <c r="D917" i="11"/>
  <c r="E917" i="11"/>
  <c r="F917" i="11"/>
  <c r="G917" i="11"/>
  <c r="H917" i="11"/>
  <c r="I917" i="11"/>
  <c r="J917" i="11"/>
  <c r="K917" i="11"/>
  <c r="D918" i="11"/>
  <c r="E918" i="11"/>
  <c r="F918" i="11"/>
  <c r="G918" i="11"/>
  <c r="H918" i="11"/>
  <c r="I918" i="11"/>
  <c r="J918" i="11"/>
  <c r="K918" i="11"/>
  <c r="D919" i="11"/>
  <c r="E919" i="11"/>
  <c r="F919" i="11"/>
  <c r="G919" i="11"/>
  <c r="H919" i="11"/>
  <c r="I919" i="11"/>
  <c r="J919" i="11"/>
  <c r="K919" i="11"/>
  <c r="D920" i="11"/>
  <c r="E920" i="11"/>
  <c r="F920" i="11"/>
  <c r="G920" i="11"/>
  <c r="H920" i="11"/>
  <c r="I920" i="11"/>
  <c r="J920" i="11"/>
  <c r="K920" i="11"/>
  <c r="D921" i="11"/>
  <c r="E921" i="11"/>
  <c r="F921" i="11"/>
  <c r="G921" i="11"/>
  <c r="H921" i="11"/>
  <c r="I921" i="11"/>
  <c r="J921" i="11"/>
  <c r="K921" i="11"/>
  <c r="D922" i="11"/>
  <c r="E922" i="11"/>
  <c r="F922" i="11"/>
  <c r="G922" i="11"/>
  <c r="H922" i="11"/>
  <c r="I922" i="11"/>
  <c r="J922" i="11"/>
  <c r="K922" i="11"/>
  <c r="D923" i="11"/>
  <c r="E923" i="11"/>
  <c r="F923" i="11"/>
  <c r="G923" i="11"/>
  <c r="H923" i="11"/>
  <c r="I923" i="11"/>
  <c r="J923" i="11"/>
  <c r="K923" i="11"/>
  <c r="D924" i="11"/>
  <c r="E924" i="11"/>
  <c r="F924" i="11"/>
  <c r="G924" i="11"/>
  <c r="H924" i="11"/>
  <c r="I924" i="11"/>
  <c r="J924" i="11"/>
  <c r="K924" i="11"/>
  <c r="D925" i="11"/>
  <c r="E925" i="11"/>
  <c r="F925" i="11"/>
  <c r="G925" i="11"/>
  <c r="H925" i="11"/>
  <c r="I925" i="11"/>
  <c r="J925" i="11"/>
  <c r="K925" i="11"/>
  <c r="D926" i="11"/>
  <c r="E926" i="11"/>
  <c r="F926" i="11"/>
  <c r="G926" i="11"/>
  <c r="H926" i="11"/>
  <c r="I926" i="11"/>
  <c r="J926" i="11"/>
  <c r="K926" i="11"/>
  <c r="D927" i="11"/>
  <c r="E927" i="11"/>
  <c r="F927" i="11"/>
  <c r="G927" i="11"/>
  <c r="H927" i="11"/>
  <c r="I927" i="11"/>
  <c r="J927" i="11"/>
  <c r="K927" i="11"/>
  <c r="D928" i="11"/>
  <c r="E928" i="11"/>
  <c r="F928" i="11"/>
  <c r="G928" i="11"/>
  <c r="H928" i="11"/>
  <c r="I928" i="11"/>
  <c r="J928" i="11"/>
  <c r="K928" i="11"/>
  <c r="D929" i="11"/>
  <c r="E929" i="11"/>
  <c r="F929" i="11"/>
  <c r="G929" i="11"/>
  <c r="H929" i="11"/>
  <c r="I929" i="11"/>
  <c r="J929" i="11"/>
  <c r="K929" i="11"/>
  <c r="D930" i="11"/>
  <c r="E930" i="11"/>
  <c r="F930" i="11"/>
  <c r="G930" i="11"/>
  <c r="H930" i="11"/>
  <c r="I930" i="11"/>
  <c r="J930" i="11"/>
  <c r="K930" i="11"/>
  <c r="D931" i="11"/>
  <c r="E931" i="11"/>
  <c r="F931" i="11"/>
  <c r="G931" i="11"/>
  <c r="H931" i="11"/>
  <c r="I931" i="11"/>
  <c r="J931" i="11"/>
  <c r="K931" i="11"/>
  <c r="D932" i="11"/>
  <c r="E932" i="11"/>
  <c r="F932" i="11"/>
  <c r="G932" i="11"/>
  <c r="H932" i="11"/>
  <c r="I932" i="11"/>
  <c r="J932" i="11"/>
  <c r="K932" i="11"/>
  <c r="D933" i="11"/>
  <c r="E933" i="11"/>
  <c r="F933" i="11"/>
  <c r="G933" i="11"/>
  <c r="H933" i="11"/>
  <c r="I933" i="11"/>
  <c r="J933" i="11"/>
  <c r="K933" i="11"/>
  <c r="D934" i="11"/>
  <c r="E934" i="11"/>
  <c r="F934" i="11"/>
  <c r="G934" i="11"/>
  <c r="H934" i="11"/>
  <c r="I934" i="11"/>
  <c r="J934" i="11"/>
  <c r="K934" i="11"/>
  <c r="D935" i="11"/>
  <c r="E935" i="11"/>
  <c r="F935" i="11"/>
  <c r="G935" i="11"/>
  <c r="H935" i="11"/>
  <c r="I935" i="11"/>
  <c r="J935" i="11"/>
  <c r="K935" i="11"/>
  <c r="D936" i="11"/>
  <c r="E936" i="11"/>
  <c r="F936" i="11"/>
  <c r="G936" i="11"/>
  <c r="H936" i="11"/>
  <c r="I936" i="11"/>
  <c r="J936" i="11"/>
  <c r="K936" i="11"/>
  <c r="D937" i="11"/>
  <c r="E937" i="11"/>
  <c r="F937" i="11"/>
  <c r="G937" i="11"/>
  <c r="H937" i="11"/>
  <c r="I937" i="11"/>
  <c r="J937" i="11"/>
  <c r="K937" i="11"/>
  <c r="D938" i="11"/>
  <c r="E938" i="11"/>
  <c r="F938" i="11"/>
  <c r="G938" i="11"/>
  <c r="H938" i="11"/>
  <c r="I938" i="11"/>
  <c r="J938" i="11"/>
  <c r="K938" i="11"/>
  <c r="D939" i="11"/>
  <c r="E939" i="11"/>
  <c r="F939" i="11"/>
  <c r="G939" i="11"/>
  <c r="H939" i="11"/>
  <c r="I939" i="11"/>
  <c r="J939" i="11"/>
  <c r="K939" i="11"/>
  <c r="D940" i="11"/>
  <c r="E940" i="11"/>
  <c r="F940" i="11"/>
  <c r="G940" i="11"/>
  <c r="H940" i="11"/>
  <c r="I940" i="11"/>
  <c r="J940" i="11"/>
  <c r="K940" i="11"/>
  <c r="D941" i="11"/>
  <c r="E941" i="11"/>
  <c r="F941" i="11"/>
  <c r="G941" i="11"/>
  <c r="H941" i="11"/>
  <c r="I941" i="11"/>
  <c r="J941" i="11"/>
  <c r="K941" i="11"/>
  <c r="D942" i="11"/>
  <c r="E942" i="11"/>
  <c r="F942" i="11"/>
  <c r="G942" i="11"/>
  <c r="H942" i="11"/>
  <c r="I942" i="11"/>
  <c r="J942" i="11"/>
  <c r="K942" i="11"/>
  <c r="D943" i="11"/>
  <c r="E943" i="11"/>
  <c r="F943" i="11"/>
  <c r="G943" i="11"/>
  <c r="H943" i="11"/>
  <c r="I943" i="11"/>
  <c r="J943" i="11"/>
  <c r="K943" i="11"/>
  <c r="D944" i="11"/>
  <c r="E944" i="11"/>
  <c r="F944" i="11"/>
  <c r="G944" i="11"/>
  <c r="H944" i="11"/>
  <c r="I944" i="11"/>
  <c r="J944" i="11"/>
  <c r="K944" i="11"/>
  <c r="D945" i="11"/>
  <c r="E945" i="11"/>
  <c r="F945" i="11"/>
  <c r="G945" i="11"/>
  <c r="H945" i="11"/>
  <c r="I945" i="11"/>
  <c r="J945" i="11"/>
  <c r="K945" i="11"/>
  <c r="D946" i="11"/>
  <c r="E946" i="11"/>
  <c r="F946" i="11"/>
  <c r="G946" i="11"/>
  <c r="H946" i="11"/>
  <c r="I946" i="11"/>
  <c r="J946" i="11"/>
  <c r="K946" i="11"/>
  <c r="D947" i="11"/>
  <c r="E947" i="11"/>
  <c r="F947" i="11"/>
  <c r="G947" i="11"/>
  <c r="H947" i="11"/>
  <c r="I947" i="11"/>
  <c r="J947" i="11"/>
  <c r="K947" i="11"/>
  <c r="D948" i="11"/>
  <c r="E948" i="11"/>
  <c r="F948" i="11"/>
  <c r="G948" i="11"/>
  <c r="H948" i="11"/>
  <c r="I948" i="11"/>
  <c r="J948" i="11"/>
  <c r="K948" i="11"/>
  <c r="D949" i="11"/>
  <c r="E949" i="11"/>
  <c r="F949" i="11"/>
  <c r="G949" i="11"/>
  <c r="H949" i="11"/>
  <c r="I949" i="11"/>
  <c r="J949" i="11"/>
  <c r="K949" i="11"/>
  <c r="D950" i="11"/>
  <c r="E950" i="11"/>
  <c r="F950" i="11"/>
  <c r="G950" i="11"/>
  <c r="H950" i="11"/>
  <c r="I950" i="11"/>
  <c r="J950" i="11"/>
  <c r="K950" i="11"/>
  <c r="D951" i="11"/>
  <c r="E951" i="11"/>
  <c r="F951" i="11"/>
  <c r="G951" i="11"/>
  <c r="H951" i="11"/>
  <c r="I951" i="11"/>
  <c r="J951" i="11"/>
  <c r="K951" i="11"/>
  <c r="D952" i="11"/>
  <c r="E952" i="11"/>
  <c r="F952" i="11"/>
  <c r="G952" i="11"/>
  <c r="H952" i="11"/>
  <c r="I952" i="11"/>
  <c r="J952" i="11"/>
  <c r="K952" i="11"/>
  <c r="D953" i="11"/>
  <c r="E953" i="11"/>
  <c r="F953" i="11"/>
  <c r="G953" i="11"/>
  <c r="H953" i="11"/>
  <c r="I953" i="11"/>
  <c r="J953" i="11"/>
  <c r="K953" i="11"/>
  <c r="D954" i="11"/>
  <c r="E954" i="11"/>
  <c r="F954" i="11"/>
  <c r="G954" i="11"/>
  <c r="H954" i="11"/>
  <c r="I954" i="11"/>
  <c r="J954" i="11"/>
  <c r="K954" i="11"/>
  <c r="D955" i="11"/>
  <c r="E955" i="11"/>
  <c r="F955" i="11"/>
  <c r="G955" i="11"/>
  <c r="H955" i="11"/>
  <c r="I955" i="11"/>
  <c r="J955" i="11"/>
  <c r="K955" i="11"/>
  <c r="D956" i="11"/>
  <c r="E956" i="11"/>
  <c r="F956" i="11"/>
  <c r="G956" i="11"/>
  <c r="H956" i="11"/>
  <c r="I956" i="11"/>
  <c r="J956" i="11"/>
  <c r="K956" i="11"/>
  <c r="D957" i="11"/>
  <c r="E957" i="11"/>
  <c r="F957" i="11"/>
  <c r="G957" i="11"/>
  <c r="H957" i="11"/>
  <c r="I957" i="11"/>
  <c r="J957" i="11"/>
  <c r="K957" i="11"/>
  <c r="D958" i="11"/>
  <c r="E958" i="11"/>
  <c r="F958" i="11"/>
  <c r="G958" i="11"/>
  <c r="H958" i="11"/>
  <c r="I958" i="11"/>
  <c r="J958" i="11"/>
  <c r="K958" i="11"/>
  <c r="D959" i="11"/>
  <c r="E959" i="11"/>
  <c r="F959" i="11"/>
  <c r="G959" i="11"/>
  <c r="H959" i="11"/>
  <c r="I959" i="11"/>
  <c r="J959" i="11"/>
  <c r="K959" i="11"/>
  <c r="D960" i="11"/>
  <c r="E960" i="11"/>
  <c r="F960" i="11"/>
  <c r="G960" i="11"/>
  <c r="H960" i="11"/>
  <c r="I960" i="11"/>
  <c r="J960" i="11"/>
  <c r="K960" i="11"/>
  <c r="D961" i="11"/>
  <c r="E961" i="11"/>
  <c r="F961" i="11"/>
  <c r="G961" i="11"/>
  <c r="H961" i="11"/>
  <c r="I961" i="11"/>
  <c r="J961" i="11"/>
  <c r="K961" i="11"/>
  <c r="D962" i="11"/>
  <c r="E962" i="11"/>
  <c r="F962" i="11"/>
  <c r="G962" i="11"/>
  <c r="H962" i="11"/>
  <c r="I962" i="11"/>
  <c r="J962" i="11"/>
  <c r="K962" i="11"/>
  <c r="D963" i="11"/>
  <c r="E963" i="11"/>
  <c r="F963" i="11"/>
  <c r="G963" i="11"/>
  <c r="H963" i="11"/>
  <c r="I963" i="11"/>
  <c r="J963" i="11"/>
  <c r="K963" i="11"/>
  <c r="D964" i="11"/>
  <c r="E964" i="11"/>
  <c r="F964" i="11"/>
  <c r="G964" i="11"/>
  <c r="H964" i="11"/>
  <c r="I964" i="11"/>
  <c r="J964" i="11"/>
  <c r="K964" i="11"/>
  <c r="D965" i="11"/>
  <c r="E965" i="11"/>
  <c r="F965" i="11"/>
  <c r="G965" i="11"/>
  <c r="H965" i="11"/>
  <c r="I965" i="11"/>
  <c r="J965" i="11"/>
  <c r="K965" i="11"/>
  <c r="D966" i="11"/>
  <c r="E966" i="11"/>
  <c r="F966" i="11"/>
  <c r="G966" i="11"/>
  <c r="H966" i="11"/>
  <c r="I966" i="11"/>
  <c r="J966" i="11"/>
  <c r="K966" i="11"/>
  <c r="D967" i="11"/>
  <c r="E967" i="11"/>
  <c r="F967" i="11"/>
  <c r="G967" i="11"/>
  <c r="H967" i="11"/>
  <c r="I967" i="11"/>
  <c r="J967" i="11"/>
  <c r="K967" i="11"/>
  <c r="D968" i="11"/>
  <c r="E968" i="11"/>
  <c r="F968" i="11"/>
  <c r="G968" i="11"/>
  <c r="H968" i="11"/>
  <c r="I968" i="11"/>
  <c r="J968" i="11"/>
  <c r="K968" i="11"/>
  <c r="D969" i="11"/>
  <c r="E969" i="11"/>
  <c r="F969" i="11"/>
  <c r="G969" i="11"/>
  <c r="H969" i="11"/>
  <c r="I969" i="11"/>
  <c r="J969" i="11"/>
  <c r="K969" i="11"/>
  <c r="D970" i="11"/>
  <c r="E970" i="11"/>
  <c r="F970" i="11"/>
  <c r="G970" i="11"/>
  <c r="H970" i="11"/>
  <c r="I970" i="11"/>
  <c r="J970" i="11"/>
  <c r="K970" i="11"/>
  <c r="D971" i="11"/>
  <c r="E971" i="11"/>
  <c r="F971" i="11"/>
  <c r="G971" i="11"/>
  <c r="H971" i="11"/>
  <c r="I971" i="11"/>
  <c r="J971" i="11"/>
  <c r="K971" i="11"/>
  <c r="D972" i="11"/>
  <c r="E972" i="11"/>
  <c r="F972" i="11"/>
  <c r="G972" i="11"/>
  <c r="H972" i="11"/>
  <c r="I972" i="11"/>
  <c r="J972" i="11"/>
  <c r="K972" i="11"/>
  <c r="D973" i="11"/>
  <c r="E973" i="11"/>
  <c r="F973" i="11"/>
  <c r="G973" i="11"/>
  <c r="H973" i="11"/>
  <c r="I973" i="11"/>
  <c r="J973" i="11"/>
  <c r="K973" i="11"/>
  <c r="D974" i="11"/>
  <c r="E974" i="11"/>
  <c r="F974" i="11"/>
  <c r="G974" i="11"/>
  <c r="H974" i="11"/>
  <c r="I974" i="11"/>
  <c r="J974" i="11"/>
  <c r="K974" i="11"/>
  <c r="D975" i="11"/>
  <c r="E975" i="11"/>
  <c r="F975" i="11"/>
  <c r="G975" i="11"/>
  <c r="H975" i="11"/>
  <c r="I975" i="11"/>
  <c r="J975" i="11"/>
  <c r="K975" i="11"/>
  <c r="D976" i="11"/>
  <c r="E976" i="11"/>
  <c r="F976" i="11"/>
  <c r="G976" i="11"/>
  <c r="H976" i="11"/>
  <c r="I976" i="11"/>
  <c r="J976" i="11"/>
  <c r="K976" i="11"/>
  <c r="D977" i="11"/>
  <c r="E977" i="11"/>
  <c r="F977" i="11"/>
  <c r="G977" i="11"/>
  <c r="H977" i="11"/>
  <c r="I977" i="11"/>
  <c r="J977" i="11"/>
  <c r="K977" i="11"/>
  <c r="D978" i="11"/>
  <c r="E978" i="11"/>
  <c r="F978" i="11"/>
  <c r="G978" i="11"/>
  <c r="H978" i="11"/>
  <c r="I978" i="11"/>
  <c r="J978" i="11"/>
  <c r="K978" i="11"/>
  <c r="D979" i="11"/>
  <c r="E979" i="11"/>
  <c r="F979" i="11"/>
  <c r="G979" i="11"/>
  <c r="H979" i="11"/>
  <c r="I979" i="11"/>
  <c r="J979" i="11"/>
  <c r="K979" i="11"/>
  <c r="D980" i="11"/>
  <c r="E980" i="11"/>
  <c r="F980" i="11"/>
  <c r="G980" i="11"/>
  <c r="H980" i="11"/>
  <c r="I980" i="11"/>
  <c r="J980" i="11"/>
  <c r="K980" i="11"/>
  <c r="D981" i="11"/>
  <c r="E981" i="11"/>
  <c r="F981" i="11"/>
  <c r="G981" i="11"/>
  <c r="H981" i="11"/>
  <c r="I981" i="11"/>
  <c r="J981" i="11"/>
  <c r="K981" i="11"/>
  <c r="D982" i="11"/>
  <c r="E982" i="11"/>
  <c r="F982" i="11"/>
  <c r="G982" i="11"/>
  <c r="H982" i="11"/>
  <c r="I982" i="11"/>
  <c r="J982" i="11"/>
  <c r="K982" i="11"/>
  <c r="D983" i="11"/>
  <c r="E983" i="11"/>
  <c r="F983" i="11"/>
  <c r="G983" i="11"/>
  <c r="H983" i="11"/>
  <c r="I983" i="11"/>
  <c r="J983" i="11"/>
  <c r="K983" i="11"/>
  <c r="D984" i="11"/>
  <c r="E984" i="11"/>
  <c r="F984" i="11"/>
  <c r="G984" i="11"/>
  <c r="H984" i="11"/>
  <c r="I984" i="11"/>
  <c r="J984" i="11"/>
  <c r="K984" i="11"/>
  <c r="D985" i="11"/>
  <c r="E985" i="11"/>
  <c r="F985" i="11"/>
  <c r="G985" i="11"/>
  <c r="H985" i="11"/>
  <c r="I985" i="11"/>
  <c r="J985" i="11"/>
  <c r="K985" i="11"/>
  <c r="D986" i="11"/>
  <c r="E986" i="11"/>
  <c r="F986" i="11"/>
  <c r="G986" i="11"/>
  <c r="H986" i="11"/>
  <c r="I986" i="11"/>
  <c r="J986" i="11"/>
  <c r="K986" i="11"/>
  <c r="D987" i="11"/>
  <c r="E987" i="11"/>
  <c r="F987" i="11"/>
  <c r="G987" i="11"/>
  <c r="H987" i="11"/>
  <c r="I987" i="11"/>
  <c r="J987" i="11"/>
  <c r="K987" i="11"/>
  <c r="D988" i="11"/>
  <c r="E988" i="11"/>
  <c r="F988" i="11"/>
  <c r="G988" i="11"/>
  <c r="H988" i="11"/>
  <c r="I988" i="11"/>
  <c r="J988" i="11"/>
  <c r="K988" i="11"/>
  <c r="D989" i="11"/>
  <c r="E989" i="11"/>
  <c r="F989" i="11"/>
  <c r="G989" i="11"/>
  <c r="H989" i="11"/>
  <c r="I989" i="11"/>
  <c r="J989" i="11"/>
  <c r="K989" i="11"/>
  <c r="D990" i="11"/>
  <c r="E990" i="11"/>
  <c r="F990" i="11"/>
  <c r="G990" i="11"/>
  <c r="H990" i="11"/>
  <c r="I990" i="11"/>
  <c r="J990" i="11"/>
  <c r="K990" i="11"/>
  <c r="D991" i="11"/>
  <c r="E991" i="11"/>
  <c r="F991" i="11"/>
  <c r="G991" i="11"/>
  <c r="H991" i="11"/>
  <c r="I991" i="11"/>
  <c r="J991" i="11"/>
  <c r="K991" i="11"/>
  <c r="D992" i="11"/>
  <c r="E992" i="11"/>
  <c r="F992" i="11"/>
  <c r="G992" i="11"/>
  <c r="H992" i="11"/>
  <c r="I992" i="11"/>
  <c r="J992" i="11"/>
  <c r="K992" i="11"/>
  <c r="D993" i="11"/>
  <c r="E993" i="11"/>
  <c r="F993" i="11"/>
  <c r="G993" i="11"/>
  <c r="H993" i="11"/>
  <c r="I993" i="11"/>
  <c r="J993" i="11"/>
  <c r="K993" i="11"/>
  <c r="D994" i="11"/>
  <c r="E994" i="11"/>
  <c r="F994" i="11"/>
  <c r="G994" i="11"/>
  <c r="H994" i="11"/>
  <c r="I994" i="11"/>
  <c r="J994" i="11"/>
  <c r="K994" i="11"/>
  <c r="D995" i="11"/>
  <c r="E995" i="11"/>
  <c r="F995" i="11"/>
  <c r="G995" i="11"/>
  <c r="H995" i="11"/>
  <c r="I995" i="11"/>
  <c r="J995" i="11"/>
  <c r="K995" i="11"/>
  <c r="D996" i="11"/>
  <c r="E996" i="11"/>
  <c r="F996" i="11"/>
  <c r="G996" i="11"/>
  <c r="H996" i="11"/>
  <c r="I996" i="11"/>
  <c r="J996" i="11"/>
  <c r="K996" i="11"/>
  <c r="D997" i="11"/>
  <c r="E997" i="11"/>
  <c r="F997" i="11"/>
  <c r="G997" i="11"/>
  <c r="H997" i="11"/>
  <c r="I997" i="11"/>
  <c r="J997" i="11"/>
  <c r="K997" i="11"/>
  <c r="D998" i="11"/>
  <c r="E998" i="11"/>
  <c r="F998" i="11"/>
  <c r="G998" i="11"/>
  <c r="H998" i="11"/>
  <c r="I998" i="11"/>
  <c r="J998" i="11"/>
  <c r="K998" i="11"/>
  <c r="D999" i="11"/>
  <c r="E999" i="11"/>
  <c r="F999" i="11"/>
  <c r="G999" i="11"/>
  <c r="H999" i="11"/>
  <c r="I999" i="11"/>
  <c r="J999" i="11"/>
  <c r="K999" i="11"/>
  <c r="D1000" i="11"/>
  <c r="E1000" i="11"/>
  <c r="F1000" i="11"/>
  <c r="G1000" i="11"/>
  <c r="H1000" i="11"/>
  <c r="I1000" i="11"/>
  <c r="J1000" i="11"/>
  <c r="K1000" i="11"/>
  <c r="D1001" i="11"/>
  <c r="E1001" i="11"/>
  <c r="F1001" i="11"/>
  <c r="G1001" i="11"/>
  <c r="H1001" i="11"/>
  <c r="I1001" i="11"/>
  <c r="J1001" i="11"/>
  <c r="K1001" i="11"/>
  <c r="D1002" i="11"/>
  <c r="E1002" i="11"/>
  <c r="F1002" i="11"/>
  <c r="G1002" i="11"/>
  <c r="H1002" i="11"/>
  <c r="I1002" i="11"/>
  <c r="J1002" i="11"/>
  <c r="K1002" i="11"/>
  <c r="D1003" i="11"/>
  <c r="E1003" i="11"/>
  <c r="F1003" i="11"/>
  <c r="G1003" i="11"/>
  <c r="H1003" i="11"/>
  <c r="I1003" i="11"/>
  <c r="J1003" i="11"/>
  <c r="K1003" i="11"/>
  <c r="D1004" i="11"/>
  <c r="E1004" i="11"/>
  <c r="F1004" i="11"/>
  <c r="G1004" i="11"/>
  <c r="H1004" i="11"/>
  <c r="I1004" i="11"/>
  <c r="J1004" i="11"/>
  <c r="K1004" i="11"/>
  <c r="D1005" i="11"/>
  <c r="E1005" i="11"/>
  <c r="F1005" i="11"/>
  <c r="G1005" i="11"/>
  <c r="H1005" i="11"/>
  <c r="I1005" i="11"/>
  <c r="J1005" i="11"/>
  <c r="K1005" i="11"/>
  <c r="D1006" i="11"/>
  <c r="E1006" i="11"/>
  <c r="F1006" i="11"/>
  <c r="G1006" i="11"/>
  <c r="H1006" i="11"/>
  <c r="I1006" i="11"/>
  <c r="J1006" i="11"/>
  <c r="K1006" i="11"/>
  <c r="D1007" i="11"/>
  <c r="E1007" i="11"/>
  <c r="F1007" i="11"/>
  <c r="G1007" i="11"/>
  <c r="H1007" i="11"/>
  <c r="I1007" i="11"/>
  <c r="J1007" i="11"/>
  <c r="K1007" i="11"/>
  <c r="D1008" i="11"/>
  <c r="E1008" i="11"/>
  <c r="F1008" i="11"/>
  <c r="G1008" i="11"/>
  <c r="H1008" i="11"/>
  <c r="I1008" i="11"/>
  <c r="J1008" i="11"/>
  <c r="K1008" i="11"/>
  <c r="D1009" i="11"/>
  <c r="E1009" i="11"/>
  <c r="F1009" i="11"/>
  <c r="G1009" i="11"/>
  <c r="H1009" i="11"/>
  <c r="I1009" i="11"/>
  <c r="J1009" i="11"/>
  <c r="K1009" i="11"/>
  <c r="D1010" i="11"/>
  <c r="E1010" i="11"/>
  <c r="F1010" i="11"/>
  <c r="G1010" i="11"/>
  <c r="H1010" i="11"/>
  <c r="I1010" i="11"/>
  <c r="J1010" i="11"/>
  <c r="K1010" i="11"/>
  <c r="D1011" i="11"/>
  <c r="E1011" i="11"/>
  <c r="F1011" i="11"/>
  <c r="G1011" i="11"/>
  <c r="H1011" i="11"/>
  <c r="I1011" i="11"/>
  <c r="J1011" i="11"/>
  <c r="K1011" i="11"/>
  <c r="D1012" i="11"/>
  <c r="E1012" i="11"/>
  <c r="F1012" i="11"/>
  <c r="G1012" i="11"/>
  <c r="H1012" i="11"/>
  <c r="I1012" i="11"/>
  <c r="J1012" i="11"/>
  <c r="K1012" i="11"/>
  <c r="D1013" i="11"/>
  <c r="E1013" i="11"/>
  <c r="F1013" i="11"/>
  <c r="G1013" i="11"/>
  <c r="H1013" i="11"/>
  <c r="I1013" i="11"/>
  <c r="J1013" i="11"/>
  <c r="K1013" i="11"/>
  <c r="D1014" i="11"/>
  <c r="E1014" i="11"/>
  <c r="F1014" i="11"/>
  <c r="G1014" i="11"/>
  <c r="H1014" i="11"/>
  <c r="I1014" i="11"/>
  <c r="J1014" i="11"/>
  <c r="K1014" i="11"/>
  <c r="D1015" i="11"/>
  <c r="E1015" i="11"/>
  <c r="F1015" i="11"/>
  <c r="G1015" i="11"/>
  <c r="H1015" i="11"/>
  <c r="I1015" i="11"/>
  <c r="J1015" i="11"/>
  <c r="K1015" i="11"/>
  <c r="D1016" i="11"/>
  <c r="E1016" i="11"/>
  <c r="F1016" i="11"/>
  <c r="G1016" i="11"/>
  <c r="H1016" i="11"/>
  <c r="I1016" i="11"/>
  <c r="J1016" i="11"/>
  <c r="K1016" i="11"/>
  <c r="D1017" i="11"/>
  <c r="E1017" i="11"/>
  <c r="F1017" i="11"/>
  <c r="G1017" i="11"/>
  <c r="H1017" i="11"/>
  <c r="I1017" i="11"/>
  <c r="J1017" i="11"/>
  <c r="K1017" i="11"/>
  <c r="D1018" i="11"/>
  <c r="E1018" i="11"/>
  <c r="F1018" i="11"/>
  <c r="G1018" i="11"/>
  <c r="H1018" i="11"/>
  <c r="I1018" i="11"/>
  <c r="J1018" i="11"/>
  <c r="K1018" i="11"/>
  <c r="D1019" i="11"/>
  <c r="E1019" i="11"/>
  <c r="F1019" i="11"/>
  <c r="G1019" i="11"/>
  <c r="H1019" i="11"/>
  <c r="I1019" i="11"/>
  <c r="J1019" i="11"/>
  <c r="K1019" i="11"/>
  <c r="D1020" i="11"/>
  <c r="E1020" i="11"/>
  <c r="F1020" i="11"/>
  <c r="G1020" i="11"/>
  <c r="H1020" i="11"/>
  <c r="I1020" i="11"/>
  <c r="J1020" i="11"/>
  <c r="K1020" i="11"/>
  <c r="D1021" i="11"/>
  <c r="E1021" i="11"/>
  <c r="F1021" i="11"/>
  <c r="G1021" i="11"/>
  <c r="H1021" i="11"/>
  <c r="I1021" i="11"/>
  <c r="J1021" i="11"/>
  <c r="K1021" i="11"/>
  <c r="D1022" i="11"/>
  <c r="E1022" i="11"/>
  <c r="F1022" i="11"/>
  <c r="G1022" i="11"/>
  <c r="H1022" i="11"/>
  <c r="I1022" i="11"/>
  <c r="J1022" i="11"/>
  <c r="K1022" i="11"/>
  <c r="D1023" i="11"/>
  <c r="E1023" i="11"/>
  <c r="F1023" i="11"/>
  <c r="G1023" i="11"/>
  <c r="H1023" i="11"/>
  <c r="I1023" i="11"/>
  <c r="J1023" i="11"/>
  <c r="K1023" i="11"/>
  <c r="D1024" i="11"/>
  <c r="E1024" i="11"/>
  <c r="F1024" i="11"/>
  <c r="G1024" i="11"/>
  <c r="H1024" i="11"/>
  <c r="I1024" i="11"/>
  <c r="J1024" i="11"/>
  <c r="K1024" i="11"/>
  <c r="D1025" i="11"/>
  <c r="E1025" i="11"/>
  <c r="F1025" i="11"/>
  <c r="G1025" i="11"/>
  <c r="H1025" i="11"/>
  <c r="I1025" i="11"/>
  <c r="J1025" i="11"/>
  <c r="K1025" i="11"/>
  <c r="D1026" i="11"/>
  <c r="E1026" i="11"/>
  <c r="F1026" i="11"/>
  <c r="G1026" i="11"/>
  <c r="H1026" i="11"/>
  <c r="I1026" i="11"/>
  <c r="J1026" i="11"/>
  <c r="K1026" i="11"/>
  <c r="D1027" i="11"/>
  <c r="E1027" i="11"/>
  <c r="F1027" i="11"/>
  <c r="G1027" i="11"/>
  <c r="H1027" i="11"/>
  <c r="I1027" i="11"/>
  <c r="J1027" i="11"/>
  <c r="K1027" i="11"/>
  <c r="D1028" i="11"/>
  <c r="E1028" i="11"/>
  <c r="F1028" i="11"/>
  <c r="G1028" i="11"/>
  <c r="H1028" i="11"/>
  <c r="I1028" i="11"/>
  <c r="J1028" i="11"/>
  <c r="K1028" i="11"/>
  <c r="D1029" i="11"/>
  <c r="E1029" i="11"/>
  <c r="F1029" i="11"/>
  <c r="G1029" i="11"/>
  <c r="H1029" i="11"/>
  <c r="I1029" i="11"/>
  <c r="J1029" i="11"/>
  <c r="K1029" i="11"/>
  <c r="D1030" i="11"/>
  <c r="E1030" i="11"/>
  <c r="F1030" i="11"/>
  <c r="G1030" i="11"/>
  <c r="H1030" i="11"/>
  <c r="I1030" i="11"/>
  <c r="J1030" i="11"/>
  <c r="K1030" i="11"/>
  <c r="D1031" i="11"/>
  <c r="E1031" i="11"/>
  <c r="F1031" i="11"/>
  <c r="G1031" i="11"/>
  <c r="H1031" i="11"/>
  <c r="I1031" i="11"/>
  <c r="J1031" i="11"/>
  <c r="K1031" i="11"/>
  <c r="D1032" i="11"/>
  <c r="E1032" i="11"/>
  <c r="F1032" i="11"/>
  <c r="G1032" i="11"/>
  <c r="H1032" i="11"/>
  <c r="I1032" i="11"/>
  <c r="J1032" i="11"/>
  <c r="K1032" i="11"/>
  <c r="D1033" i="11"/>
  <c r="E1033" i="11"/>
  <c r="F1033" i="11"/>
  <c r="G1033" i="11"/>
  <c r="H1033" i="11"/>
  <c r="I1033" i="11"/>
  <c r="J1033" i="11"/>
  <c r="K1033" i="11"/>
  <c r="D1034" i="11"/>
  <c r="E1034" i="11"/>
  <c r="F1034" i="11"/>
  <c r="G1034" i="11"/>
  <c r="H1034" i="11"/>
  <c r="I1034" i="11"/>
  <c r="J1034" i="11"/>
  <c r="K1034" i="11"/>
  <c r="D1035" i="11"/>
  <c r="E1035" i="11"/>
  <c r="F1035" i="11"/>
  <c r="G1035" i="11"/>
  <c r="H1035" i="11"/>
  <c r="I1035" i="11"/>
  <c r="J1035" i="11"/>
  <c r="K1035" i="11"/>
  <c r="D1036" i="11"/>
  <c r="E1036" i="11"/>
  <c r="F1036" i="11"/>
  <c r="G1036" i="11"/>
  <c r="H1036" i="11"/>
  <c r="I1036" i="11"/>
  <c r="J1036" i="11"/>
  <c r="K1036" i="11"/>
  <c r="D1037" i="11"/>
  <c r="E1037" i="11"/>
  <c r="F1037" i="11"/>
  <c r="G1037" i="11"/>
  <c r="H1037" i="11"/>
  <c r="I1037" i="11"/>
  <c r="J1037" i="11"/>
  <c r="K1037" i="11"/>
  <c r="D1038" i="11"/>
  <c r="E1038" i="11"/>
  <c r="F1038" i="11"/>
  <c r="G1038" i="11"/>
  <c r="H1038" i="11"/>
  <c r="I1038" i="11"/>
  <c r="J1038" i="11"/>
  <c r="K1038" i="11"/>
  <c r="D1039" i="11"/>
  <c r="E1039" i="11"/>
  <c r="F1039" i="11"/>
  <c r="G1039" i="11"/>
  <c r="H1039" i="11"/>
  <c r="I1039" i="11"/>
  <c r="J1039" i="11"/>
  <c r="K1039" i="11"/>
  <c r="D1040" i="11"/>
  <c r="E1040" i="11"/>
  <c r="F1040" i="11"/>
  <c r="G1040" i="11"/>
  <c r="H1040" i="11"/>
  <c r="I1040" i="11"/>
  <c r="J1040" i="11"/>
  <c r="K1040" i="11"/>
  <c r="D1041" i="11"/>
  <c r="E1041" i="11"/>
  <c r="F1041" i="11"/>
  <c r="G1041" i="11"/>
  <c r="H1041" i="11"/>
  <c r="I1041" i="11"/>
  <c r="J1041" i="11"/>
  <c r="K1041" i="11"/>
  <c r="D1042" i="11"/>
  <c r="E1042" i="11"/>
  <c r="F1042" i="11"/>
  <c r="G1042" i="11"/>
  <c r="H1042" i="11"/>
  <c r="I1042" i="11"/>
  <c r="J1042" i="11"/>
  <c r="K1042" i="11"/>
  <c r="D1043" i="11"/>
  <c r="E1043" i="11"/>
  <c r="F1043" i="11"/>
  <c r="G1043" i="11"/>
  <c r="H1043" i="11"/>
  <c r="I1043" i="11"/>
  <c r="J1043" i="11"/>
  <c r="K1043" i="11"/>
  <c r="D1044" i="11"/>
  <c r="E1044" i="11"/>
  <c r="F1044" i="11"/>
  <c r="G1044" i="11"/>
  <c r="H1044" i="11"/>
  <c r="I1044" i="11"/>
  <c r="J1044" i="11"/>
  <c r="K1044" i="11"/>
  <c r="K6" i="11"/>
  <c r="J6" i="11"/>
  <c r="I6" i="11"/>
  <c r="G6" i="11"/>
  <c r="H6" i="11"/>
  <c r="F6" i="11"/>
  <c r="D6" i="11"/>
  <c r="E6" i="11"/>
  <c r="X12" i="8" l="1"/>
  <c r="X18" i="8"/>
  <c r="X6" i="8"/>
  <c r="X15" i="8"/>
  <c r="X17" i="8"/>
  <c r="X10" i="8"/>
  <c r="X13" i="8"/>
  <c r="X19" i="8"/>
  <c r="X9" i="8"/>
  <c r="X7" i="8"/>
  <c r="X14" i="8"/>
  <c r="X8" i="8"/>
  <c r="X16" i="8"/>
  <c r="X11" i="8"/>
  <c r="C20" i="8"/>
  <c r="D20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5" i="8"/>
  <c r="H5" i="8" s="1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5" i="8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F20" i="8" l="1"/>
  <c r="F28" i="8"/>
  <c r="F27" i="8"/>
  <c r="F26" i="8"/>
  <c r="F25" i="8"/>
  <c r="F24" i="8"/>
  <c r="F23" i="8"/>
  <c r="F22" i="8"/>
  <c r="I20" i="8"/>
  <c r="I24" i="8"/>
  <c r="I23" i="8"/>
  <c r="I28" i="8"/>
  <c r="I22" i="8"/>
  <c r="I27" i="8"/>
  <c r="I26" i="8"/>
  <c r="I25" i="8"/>
  <c r="E28" i="8"/>
  <c r="E27" i="8"/>
  <c r="E26" i="8"/>
  <c r="E25" i="8"/>
  <c r="E24" i="8"/>
  <c r="E23" i="8"/>
  <c r="E22" i="8"/>
  <c r="G20" i="8"/>
  <c r="G27" i="8"/>
  <c r="G26" i="8"/>
  <c r="G25" i="8"/>
  <c r="G24" i="8"/>
  <c r="G23" i="8"/>
  <c r="G28" i="8"/>
  <c r="G22" i="8"/>
  <c r="E20" i="8"/>
  <c r="H7" i="8"/>
  <c r="J7" i="8" s="1"/>
  <c r="H13" i="8"/>
  <c r="J13" i="8" s="1"/>
  <c r="H11" i="8"/>
  <c r="J11" i="8" s="1"/>
  <c r="H15" i="8"/>
  <c r="J15" i="8" s="1"/>
  <c r="H9" i="8"/>
  <c r="J9" i="8" s="1"/>
  <c r="H8" i="8"/>
  <c r="J8" i="8" s="1"/>
  <c r="H6" i="8"/>
  <c r="J6" i="8" s="1"/>
  <c r="J5" i="8"/>
  <c r="L14" i="7"/>
  <c r="M14" i="7" s="1"/>
  <c r="L13" i="7"/>
  <c r="M13" i="7" s="1"/>
  <c r="L12" i="7"/>
  <c r="M12" i="7" s="1"/>
  <c r="L11" i="7"/>
  <c r="M11" i="7" s="1"/>
  <c r="L10" i="7"/>
  <c r="M10" i="7" s="1"/>
  <c r="L9" i="7"/>
  <c r="M9" i="7" s="1"/>
  <c r="L8" i="7"/>
  <c r="M8" i="7" s="1"/>
  <c r="L7" i="7"/>
  <c r="M7" i="7" s="1"/>
  <c r="H19" i="8" l="1"/>
  <c r="J19" i="8" s="1"/>
  <c r="H17" i="8"/>
  <c r="J17" i="8" s="1"/>
  <c r="H10" i="8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I18" i="1"/>
  <c r="H18" i="1"/>
  <c r="G18" i="1"/>
  <c r="J4" i="1"/>
  <c r="J5" i="1"/>
  <c r="J6" i="1"/>
  <c r="J7" i="1"/>
  <c r="J18" i="1" s="1"/>
  <c r="J8" i="1"/>
  <c r="J9" i="1"/>
  <c r="J10" i="1"/>
  <c r="J11" i="1"/>
  <c r="J12" i="1"/>
  <c r="J13" i="1"/>
  <c r="J14" i="1"/>
  <c r="J15" i="1"/>
  <c r="J16" i="1"/>
  <c r="J17" i="1"/>
  <c r="J3" i="1"/>
  <c r="E18" i="1"/>
  <c r="F18" i="1"/>
  <c r="D18" i="1"/>
  <c r="J10" i="8" l="1"/>
  <c r="H12" i="8"/>
  <c r="J12" i="8" l="1"/>
  <c r="H14" i="8"/>
  <c r="J14" i="8" l="1"/>
  <c r="J22" i="8" s="1"/>
  <c r="H23" i="8"/>
  <c r="H26" i="8"/>
  <c r="H18" i="8"/>
  <c r="J18" i="8" s="1"/>
  <c r="H16" i="8"/>
  <c r="J16" i="8" s="1"/>
  <c r="J28" i="8" s="1"/>
  <c r="H25" i="8" l="1"/>
  <c r="H28" i="8"/>
  <c r="J24" i="8"/>
  <c r="H24" i="8"/>
  <c r="J25" i="8"/>
  <c r="J20" i="8"/>
  <c r="J27" i="8"/>
  <c r="J23" i="8"/>
  <c r="H27" i="8"/>
  <c r="H22" i="8"/>
  <c r="J26" i="8"/>
  <c r="H20" i="8"/>
</calcChain>
</file>

<file path=xl/comments1.xml><?xml version="1.0" encoding="utf-8"?>
<comments xmlns="http://schemas.openxmlformats.org/spreadsheetml/2006/main">
  <authors>
    <author>Author</author>
  </authors>
  <commentList>
    <comment ref="L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ctrl+;</t>
        </r>
      </text>
    </comment>
  </commentList>
</comments>
</file>

<file path=xl/sharedStrings.xml><?xml version="1.0" encoding="utf-8"?>
<sst xmlns="http://schemas.openxmlformats.org/spreadsheetml/2006/main" count="14047" uniqueCount="2069">
  <si>
    <t>ID</t>
  </si>
  <si>
    <t>Name</t>
  </si>
  <si>
    <t>Phone</t>
  </si>
  <si>
    <t>Email</t>
  </si>
  <si>
    <t>JEE 59</t>
  </si>
  <si>
    <t>DOB</t>
  </si>
  <si>
    <t>MD. SANAULLA</t>
  </si>
  <si>
    <t>15/02/1997</t>
  </si>
  <si>
    <t>sanaullah1997215@gmail.com</t>
  </si>
  <si>
    <t>MD. RAJU AHMED</t>
  </si>
  <si>
    <t>17/09/1996</t>
  </si>
  <si>
    <t>tamimahmedraju@gmail.com</t>
  </si>
  <si>
    <t>Md Najmul Islam</t>
  </si>
  <si>
    <t>16/06/1999</t>
  </si>
  <si>
    <t>thatsnajmul@gmail.com</t>
  </si>
  <si>
    <t>Mostofa Aminur Rashid</t>
  </si>
  <si>
    <t>14/10/1999</t>
  </si>
  <si>
    <t>mostofa.aminur.rezvi@gmail.com</t>
  </si>
  <si>
    <t>Md.Kutub Uddin</t>
  </si>
  <si>
    <t>13/08/2000</t>
  </si>
  <si>
    <t>mdkutub150@gmail.com</t>
  </si>
  <si>
    <t>Shamima Nasrin</t>
  </si>
  <si>
    <t>20/12/1996</t>
  </si>
  <si>
    <t>nasrin05shamima@gmail.com</t>
  </si>
  <si>
    <t>Md. Towhidul Alam</t>
  </si>
  <si>
    <t>17/12/1998</t>
  </si>
  <si>
    <t>alammdtowhidul9@gmail.com</t>
  </si>
  <si>
    <t>MD. AMINUL HOQUE</t>
  </si>
  <si>
    <t>nusunusu111@gmail.com</t>
  </si>
  <si>
    <t>Shabab Ahmed</t>
  </si>
  <si>
    <t>28/09/2000</t>
  </si>
  <si>
    <t>sabab239.1@gmail.com</t>
  </si>
  <si>
    <t>Md. Rabiul Islam</t>
  </si>
  <si>
    <t>15/05/1997</t>
  </si>
  <si>
    <t>rbiulislam10571@gmail.com</t>
  </si>
  <si>
    <t>Nusrat Jahan</t>
  </si>
  <si>
    <t>14/10/2000</t>
  </si>
  <si>
    <t>n.j.naima222@gmail.com</t>
  </si>
  <si>
    <t>MD. RAFIQUL ISLAM RAZU</t>
  </si>
  <si>
    <t>rafiqulislamrazu977@gmail.com</t>
  </si>
  <si>
    <t>MD. Nasif Shahriar</t>
  </si>
  <si>
    <t>shahriyarnirjash1996@gmail.com</t>
  </si>
  <si>
    <t>Hasan</t>
  </si>
  <si>
    <t>NAYAMUL LSLAM</t>
  </si>
  <si>
    <t>nayamulislam@gmail.com</t>
  </si>
  <si>
    <t>SL</t>
  </si>
  <si>
    <t>Total</t>
  </si>
  <si>
    <t>01303246215</t>
  </si>
  <si>
    <t>01624960378</t>
  </si>
  <si>
    <t>01790349310</t>
  </si>
  <si>
    <t>01521417316</t>
  </si>
  <si>
    <t>01763001787</t>
  </si>
  <si>
    <t>01838020680</t>
  </si>
  <si>
    <t>01767515057</t>
  </si>
  <si>
    <t>01717947670</t>
  </si>
  <si>
    <t>01710295968</t>
  </si>
  <si>
    <t>01780568877</t>
  </si>
  <si>
    <t>01847307407</t>
  </si>
  <si>
    <t>01775805206</t>
  </si>
  <si>
    <t>01784054171</t>
  </si>
  <si>
    <t>01813058381</t>
  </si>
  <si>
    <t>01323276407</t>
  </si>
  <si>
    <t>Salary</t>
  </si>
  <si>
    <t>%</t>
  </si>
  <si>
    <t>pvtable</t>
  </si>
  <si>
    <t>Marks</t>
  </si>
  <si>
    <t>Row Labels</t>
  </si>
  <si>
    <t>Grand Total</t>
  </si>
  <si>
    <t>Sum of Email</t>
  </si>
  <si>
    <t>a</t>
  </si>
  <si>
    <t>b</t>
  </si>
  <si>
    <t>c</t>
  </si>
  <si>
    <t>IF</t>
  </si>
  <si>
    <t>&lt;</t>
  </si>
  <si>
    <t>&gt;</t>
  </si>
  <si>
    <t>&lt;=</t>
  </si>
  <si>
    <t>&gt;=</t>
  </si>
  <si>
    <t>&lt;&gt;</t>
  </si>
  <si>
    <t>Pass Marks</t>
  </si>
  <si>
    <t>Pass &lt;=</t>
  </si>
  <si>
    <t>Fail &gt;=</t>
  </si>
  <si>
    <t>d</t>
  </si>
  <si>
    <t>e</t>
  </si>
  <si>
    <t>f</t>
  </si>
  <si>
    <t>g</t>
  </si>
  <si>
    <t>h</t>
  </si>
  <si>
    <t>Less Then</t>
  </si>
  <si>
    <t>Greter then</t>
  </si>
  <si>
    <t>Less Then Equal</t>
  </si>
  <si>
    <t>Greter then equal</t>
  </si>
  <si>
    <t>Not equal</t>
  </si>
  <si>
    <t>Equal</t>
  </si>
  <si>
    <t>=</t>
  </si>
  <si>
    <t>Grade</t>
  </si>
  <si>
    <t>Result</t>
  </si>
  <si>
    <t>0-32</t>
  </si>
  <si>
    <t>33-39</t>
  </si>
  <si>
    <t>40-49</t>
  </si>
  <si>
    <t>F</t>
  </si>
  <si>
    <t>D</t>
  </si>
  <si>
    <t>C</t>
  </si>
  <si>
    <t>B</t>
  </si>
  <si>
    <t>A-</t>
  </si>
  <si>
    <t>A</t>
  </si>
  <si>
    <t>A+</t>
  </si>
  <si>
    <t>50-59</t>
  </si>
  <si>
    <t>60-69</t>
  </si>
  <si>
    <t>70-79</t>
  </si>
  <si>
    <t>80-100</t>
  </si>
  <si>
    <t>Sl</t>
  </si>
  <si>
    <t>HR</t>
  </si>
  <si>
    <t>TA</t>
  </si>
  <si>
    <t>MA</t>
  </si>
  <si>
    <t>PF</t>
  </si>
  <si>
    <t>GROSS SALARY</t>
  </si>
  <si>
    <t>NET SALARY</t>
  </si>
  <si>
    <t>Basic Salary</t>
  </si>
  <si>
    <t>SALARY SHEET</t>
  </si>
  <si>
    <t>Bangla</t>
  </si>
  <si>
    <t>English</t>
  </si>
  <si>
    <t>Math</t>
  </si>
  <si>
    <t>Result Calc</t>
  </si>
  <si>
    <t xml:space="preserve"> </t>
  </si>
  <si>
    <t>Order No</t>
  </si>
  <si>
    <t>Customer Name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</si>
  <si>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</si>
  <si>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</si>
  <si>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</si>
  <si>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</si>
  <si>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</si>
  <si>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</si>
  <si>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</si>
  <si>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</si>
  <si>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</si>
  <si>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</si>
  <si>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</si>
  <si>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</si>
  <si>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</si>
  <si>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</si>
  <si>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</si>
  <si>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</si>
  <si>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</si>
  <si>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</si>
  <si>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</si>
  <si>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</si>
  <si>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</si>
  <si>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</si>
  <si>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</si>
  <si>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</si>
  <si>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</si>
  <si>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</si>
  <si>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</si>
  <si>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</si>
  <si>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</si>
  <si>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</si>
  <si>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</si>
  <si>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</si>
  <si>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</si>
  <si>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</si>
  <si>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</si>
  <si>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</si>
  <si>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</si>
  <si>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</si>
  <si>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</si>
  <si>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</si>
  <si>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</si>
  <si>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</si>
  <si>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</si>
  <si>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</si>
  <si>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</si>
  <si>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</si>
  <si>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</si>
  <si>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</si>
  <si>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</si>
  <si>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</si>
  <si>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</si>
  <si>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</si>
  <si>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</si>
  <si>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</si>
  <si>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</si>
  <si>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</si>
  <si>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</si>
  <si>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</si>
  <si>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</si>
  <si>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</si>
  <si>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</si>
  <si>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</si>
  <si>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</si>
  <si>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</si>
  <si>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</si>
  <si>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</si>
  <si>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</si>
  <si>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</si>
  <si>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</si>
  <si>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</si>
  <si>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</si>
  <si>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</si>
  <si>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</si>
  <si>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</si>
  <si>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</si>
  <si>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</si>
  <si>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</si>
  <si>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</si>
  <si>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</si>
  <si>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</si>
  <si>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</si>
  <si>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</si>
  <si>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</si>
  <si>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</si>
  <si>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</si>
  <si>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</si>
  <si>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</si>
  <si>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</si>
  <si>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</si>
  <si>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</si>
  <si>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</si>
  <si>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</si>
  <si>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</si>
  <si>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</si>
  <si>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</si>
  <si>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</si>
  <si>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</si>
  <si>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</si>
  <si>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</si>
  <si>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</si>
  <si>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</si>
  <si>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</si>
  <si>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</si>
  <si>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</si>
  <si>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</si>
  <si>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</si>
  <si>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</si>
  <si>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</si>
  <si>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</si>
  <si>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</si>
  <si>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</si>
  <si>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</si>
  <si>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</si>
  <si>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</si>
  <si>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</si>
  <si>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</si>
  <si>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</si>
  <si>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</si>
  <si>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</si>
  <si>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</si>
  <si>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</si>
  <si>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</si>
  <si>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</si>
  <si>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</si>
  <si>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</si>
  <si>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</si>
  <si>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</si>
  <si>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</si>
  <si>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</si>
  <si>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</si>
  <si>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</si>
  <si>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</si>
  <si>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</si>
  <si>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</si>
  <si>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</si>
  <si>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</si>
  <si>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</si>
  <si>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</si>
  <si>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</si>
  <si>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</si>
  <si>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</si>
  <si>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</si>
  <si>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</si>
  <si>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</si>
  <si>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</si>
  <si>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</si>
  <si>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</si>
  <si>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</si>
  <si>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</si>
  <si>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</si>
  <si>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</si>
  <si>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</si>
  <si>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</si>
  <si>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</si>
  <si>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</si>
  <si>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</si>
  <si>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</si>
  <si>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</si>
  <si>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</si>
  <si>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</si>
  <si>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</si>
  <si>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</si>
  <si>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</si>
  <si>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</si>
  <si>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</si>
  <si>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</si>
  <si>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</si>
  <si>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</si>
  <si>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</si>
  <si>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</si>
  <si>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</si>
  <si>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</si>
  <si>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</si>
  <si>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</si>
  <si>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</si>
  <si>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</si>
  <si>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</si>
  <si>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</si>
  <si>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</si>
  <si>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</si>
  <si>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</si>
  <si>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</si>
  <si>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</si>
  <si>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</si>
  <si>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</si>
  <si>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</si>
  <si>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</si>
  <si>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</si>
  <si>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</si>
  <si>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</si>
  <si>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</si>
  <si>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</si>
  <si>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</si>
  <si>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</si>
  <si>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</si>
  <si>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</si>
  <si>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</si>
  <si>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</si>
  <si>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</si>
  <si>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</si>
  <si>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</si>
  <si>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</si>
  <si>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</si>
  <si>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</si>
  <si>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</si>
  <si>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</si>
  <si>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</si>
  <si>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</si>
  <si>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</si>
  <si>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</si>
  <si>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</si>
  <si>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</si>
  <si>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</si>
  <si>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</si>
  <si>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</si>
  <si>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</si>
  <si>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</si>
  <si>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</si>
  <si>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</si>
  <si>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</si>
  <si>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</si>
  <si>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</si>
  <si>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</si>
  <si>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</si>
  <si>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</si>
  <si>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</si>
  <si>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</si>
  <si>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</si>
  <si>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</si>
  <si>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</si>
  <si>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</si>
  <si>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</si>
  <si>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</si>
  <si>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</si>
  <si>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</si>
  <si>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</si>
  <si>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</si>
  <si>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</si>
  <si>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</si>
  <si>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</si>
  <si>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</si>
  <si>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</si>
  <si>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</si>
  <si>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</si>
  <si>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</si>
  <si>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</si>
  <si>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</si>
  <si>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</si>
  <si>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</si>
  <si>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</si>
  <si>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</si>
  <si>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</si>
  <si>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</si>
  <si>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</si>
  <si>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</si>
  <si>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</si>
  <si>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</si>
  <si>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</si>
  <si>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</si>
  <si>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</si>
  <si>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</si>
  <si>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</si>
  <si>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</si>
  <si>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</si>
  <si>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</si>
  <si>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</si>
  <si>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</si>
  <si>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</si>
  <si>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</si>
  <si>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</si>
  <si>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</si>
  <si>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</si>
  <si>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</si>
  <si>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</si>
  <si>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</si>
  <si>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</si>
  <si>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</si>
  <si>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</si>
  <si>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</si>
  <si>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</si>
  <si>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</si>
  <si>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</si>
  <si>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</si>
  <si>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</si>
  <si>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</si>
  <si>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</si>
  <si>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</si>
  <si>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</si>
  <si>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</si>
  <si>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</si>
  <si>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</si>
  <si>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</si>
  <si>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</si>
  <si>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</si>
  <si>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</si>
  <si>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</si>
  <si>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</si>
  <si>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</si>
  <si>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</si>
  <si>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</si>
  <si>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</si>
  <si>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</si>
  <si>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</si>
  <si>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</si>
  <si>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</si>
  <si>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</si>
  <si>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</si>
  <si>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</si>
  <si>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</si>
  <si>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</si>
  <si>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</si>
  <si>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</si>
  <si>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</si>
  <si>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</si>
  <si>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</si>
  <si>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</si>
  <si>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</si>
  <si>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</si>
  <si>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</si>
  <si>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</si>
  <si>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</si>
  <si>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</si>
  <si>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</si>
  <si>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</si>
  <si>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</si>
  <si>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</si>
  <si>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</si>
  <si>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</si>
  <si>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</si>
  <si>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</si>
  <si>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</si>
  <si>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</si>
  <si>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</si>
  <si>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</si>
  <si>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</si>
  <si>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</si>
  <si>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</si>
  <si>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</si>
  <si>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</si>
  <si>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</si>
  <si>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</si>
  <si>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</si>
  <si>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</si>
  <si>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</si>
  <si>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</si>
  <si>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</si>
  <si>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</si>
  <si>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</si>
  <si>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</si>
  <si>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</si>
  <si>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</si>
  <si>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</si>
  <si>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</si>
  <si>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</si>
  <si>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</si>
  <si>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</si>
  <si>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</si>
  <si>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</si>
  <si>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</si>
  <si>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</si>
  <si>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</si>
  <si>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</si>
  <si>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</si>
  <si>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</si>
  <si>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</si>
  <si>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</si>
  <si>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</si>
  <si>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</si>
  <si>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</si>
  <si>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</si>
  <si>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</si>
  <si>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</si>
  <si>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</si>
  <si>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</si>
  <si>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</si>
  <si>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</si>
  <si>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</si>
  <si>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</si>
  <si>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</si>
  <si>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</si>
  <si>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</si>
  <si>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</si>
  <si>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</si>
  <si>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</si>
  <si>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</si>
  <si>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</si>
  <si>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</si>
  <si>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</si>
  <si>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</si>
  <si>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</si>
  <si>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</si>
  <si>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</si>
  <si>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</si>
  <si>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</si>
  <si>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</si>
  <si>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</si>
  <si>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</si>
  <si>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</si>
  <si>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</si>
  <si>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</si>
  <si>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</si>
  <si>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</si>
  <si>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</si>
  <si>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</si>
  <si>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</si>
  <si>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</si>
  <si>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</si>
  <si>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</si>
  <si>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</si>
  <si>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</si>
  <si>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</si>
  <si>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</si>
  <si>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</si>
  <si>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</si>
  <si>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</si>
  <si>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</si>
  <si>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</si>
  <si>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</si>
  <si>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</si>
  <si>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</si>
  <si>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</si>
  <si>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</si>
  <si>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</si>
  <si>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</si>
  <si>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</si>
  <si>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</si>
  <si>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</si>
  <si>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</si>
  <si>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</si>
  <si>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</si>
  <si>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</si>
  <si>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</si>
  <si>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</si>
  <si>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</si>
  <si>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</si>
  <si>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</si>
  <si>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</si>
  <si>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</si>
  <si>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</si>
  <si>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</si>
  <si>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</si>
  <si>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</si>
  <si>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</si>
  <si>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</si>
  <si>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</si>
  <si>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</si>
  <si>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</si>
  <si>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</si>
  <si>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</si>
  <si>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</si>
  <si>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</si>
  <si>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</si>
  <si>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</si>
  <si>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</si>
  <si>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</si>
  <si>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</si>
  <si>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</si>
  <si>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</si>
  <si>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</si>
  <si>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</si>
  <si>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</si>
  <si>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</si>
  <si>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</si>
  <si>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</si>
  <si>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</si>
  <si>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</si>
  <si>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</si>
  <si>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</si>
  <si>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</si>
  <si>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</si>
  <si>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</si>
  <si>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</si>
  <si>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</si>
  <si>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</si>
  <si>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</si>
  <si>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</si>
  <si>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</si>
  <si>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</si>
  <si>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</si>
  <si>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</si>
  <si>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</si>
  <si>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</si>
  <si>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</si>
  <si>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</si>
  <si>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</si>
  <si>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</si>
  <si>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</si>
  <si>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</si>
  <si>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</si>
  <si>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</si>
  <si>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</si>
  <si>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</si>
  <si>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</si>
  <si>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</si>
  <si>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</si>
  <si>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</si>
  <si>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</si>
  <si>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</si>
  <si>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</si>
  <si>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</si>
  <si>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</si>
  <si>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</si>
  <si>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</si>
  <si>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</si>
  <si>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</si>
  <si>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</si>
  <si>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</si>
  <si>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</si>
  <si>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</si>
  <si>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</si>
  <si>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</si>
  <si>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</si>
  <si>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</si>
  <si>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</si>
  <si>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</si>
  <si>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</si>
  <si>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</si>
  <si>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</si>
  <si>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</si>
  <si>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</si>
  <si>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</si>
  <si>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</si>
  <si>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</si>
  <si>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</si>
  <si>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</si>
  <si>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</si>
  <si>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</si>
  <si>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</si>
  <si>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</si>
  <si>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</si>
  <si>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</si>
  <si>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</si>
  <si>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</si>
  <si>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</si>
  <si>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</si>
  <si>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</si>
  <si>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</si>
  <si>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</si>
  <si>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</si>
  <si>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</si>
  <si>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</si>
  <si>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</si>
  <si>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</si>
  <si>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</si>
  <si>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</si>
  <si>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</si>
  <si>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</si>
  <si>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</si>
  <si>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</si>
  <si>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</si>
  <si>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</si>
  <si>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</si>
  <si>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</si>
  <si>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</si>
  <si>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</si>
  <si>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</si>
  <si>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</si>
  <si>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</si>
  <si>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</si>
  <si>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</si>
  <si>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</si>
  <si>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</si>
  <si>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</si>
  <si>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</si>
  <si>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</si>
  <si>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</si>
  <si>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</si>
  <si>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</si>
  <si>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</si>
  <si>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</si>
  <si>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</si>
  <si>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</si>
  <si>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</si>
  <si>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</si>
  <si>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</si>
  <si>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</si>
  <si>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</si>
  <si>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</si>
  <si>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</si>
  <si>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</si>
  <si>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</si>
  <si>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</si>
  <si>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</si>
  <si>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</si>
  <si>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</si>
  <si>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</si>
  <si>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</si>
  <si>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</si>
  <si>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</si>
  <si>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</si>
  <si>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</si>
  <si>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</si>
  <si>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</si>
  <si>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</si>
  <si>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</si>
  <si>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</si>
  <si>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</si>
  <si>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</si>
  <si>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</si>
  <si>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</si>
  <si>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</si>
  <si>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</si>
  <si>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</si>
  <si>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</si>
  <si>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</si>
  <si>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</si>
  <si>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</si>
  <si>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</si>
  <si>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</si>
  <si>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</si>
  <si>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</si>
  <si>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</si>
  <si>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</si>
  <si>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</si>
  <si>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</si>
  <si>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</si>
  <si>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</si>
  <si>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</si>
  <si>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</si>
  <si>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</si>
  <si>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</si>
  <si>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</si>
  <si>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</si>
  <si>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</si>
  <si>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</si>
  <si>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</si>
  <si>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</si>
  <si>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</si>
  <si>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</si>
  <si>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</si>
  <si>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</si>
  <si>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</si>
  <si>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</si>
  <si>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</si>
  <si>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</si>
  <si>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</si>
  <si>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</si>
  <si>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</si>
  <si>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</si>
  <si>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</si>
  <si>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</si>
  <si>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</si>
  <si>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</si>
  <si>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</si>
  <si>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</si>
  <si>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</si>
  <si>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</si>
  <si>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</si>
  <si>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</si>
  <si>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</si>
  <si>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</si>
  <si>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</si>
  <si>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</si>
  <si>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</si>
  <si>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</si>
  <si>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</si>
  <si>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</si>
  <si>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</si>
  <si>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</si>
  <si>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</si>
  <si>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</si>
  <si>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</si>
  <si>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</si>
  <si>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</si>
  <si>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</si>
  <si>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</si>
  <si>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</si>
  <si>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</si>
  <si>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</si>
  <si>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</si>
  <si>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</si>
  <si>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</si>
  <si>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</si>
  <si>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</si>
  <si>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</si>
  <si>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</si>
  <si>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</si>
  <si>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</si>
  <si>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</si>
  <si>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</si>
  <si>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</si>
  <si>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</si>
  <si>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</si>
  <si>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</si>
  <si>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</si>
  <si>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</si>
  <si>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</si>
  <si>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</si>
  <si>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</si>
  <si>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</si>
  <si>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</si>
  <si>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</si>
  <si>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</si>
  <si>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</si>
  <si>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</si>
  <si>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</si>
  <si>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</si>
  <si>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</si>
  <si>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</si>
  <si>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</si>
  <si>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</si>
  <si>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</si>
  <si>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</si>
  <si>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</si>
  <si>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</si>
  <si>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</si>
  <si>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</si>
  <si>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</si>
  <si>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</si>
  <si>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</si>
  <si>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</si>
  <si>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</si>
  <si>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</si>
  <si>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</si>
  <si>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</si>
  <si>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</si>
  <si>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</si>
  <si>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</si>
  <si>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</si>
  <si>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</si>
  <si>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</si>
  <si>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</si>
  <si>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</si>
  <si>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</si>
  <si>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</si>
  <si>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</si>
  <si>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</si>
  <si>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</si>
  <si>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</si>
  <si>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</si>
  <si>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</si>
  <si>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</si>
  <si>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</si>
  <si>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</si>
  <si>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</si>
  <si>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</si>
  <si>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</si>
  <si>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</si>
  <si>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</si>
  <si>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</si>
  <si>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</si>
  <si>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</si>
  <si>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</si>
  <si>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</si>
  <si>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</si>
  <si>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</si>
  <si>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</si>
  <si>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</si>
  <si>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</si>
  <si>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</si>
  <si>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</si>
  <si>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</si>
  <si>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</si>
  <si>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</si>
  <si>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</si>
  <si>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</si>
  <si>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</si>
  <si>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</si>
  <si>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</si>
  <si>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</si>
  <si>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</si>
  <si>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</si>
  <si>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</si>
  <si>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</si>
  <si>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</si>
  <si>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</si>
  <si>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</si>
  <si>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</si>
  <si>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</si>
  <si>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</si>
  <si>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</si>
  <si>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</si>
  <si>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</si>
  <si>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</si>
  <si>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</si>
  <si>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</si>
  <si>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</si>
  <si>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</si>
  <si>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</si>
  <si>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</si>
  <si>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</si>
  <si>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</si>
  <si>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</si>
  <si>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</si>
  <si>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</si>
  <si>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</si>
  <si>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</si>
  <si>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</si>
  <si>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</si>
  <si>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</si>
  <si>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</si>
  <si>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</si>
  <si>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</si>
  <si>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</si>
  <si>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</si>
  <si>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</si>
  <si>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</si>
  <si>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</si>
  <si>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</si>
  <si>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</si>
  <si>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</si>
  <si>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</si>
  <si>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</si>
  <si>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</si>
  <si>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</si>
  <si>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</si>
  <si>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</si>
  <si>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</si>
  <si>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</si>
  <si>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</si>
  <si>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</si>
  <si>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</si>
  <si>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</si>
  <si>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</si>
  <si>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</si>
  <si>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</si>
  <si>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</si>
  <si>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</si>
  <si>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</si>
  <si>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</si>
  <si>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</si>
  <si>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</si>
  <si>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</si>
  <si>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</si>
  <si>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</si>
  <si>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</si>
  <si>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</si>
  <si>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</si>
  <si>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</si>
  <si>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</si>
  <si>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</si>
  <si>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</si>
  <si>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</si>
  <si>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</si>
  <si>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</si>
  <si>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</si>
  <si>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</si>
  <si>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</si>
  <si>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</si>
  <si>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</si>
  <si>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</si>
  <si>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</si>
  <si>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</si>
  <si>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</si>
  <si>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</si>
  <si>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</si>
  <si>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</si>
  <si>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</si>
  <si>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</si>
  <si>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</si>
  <si>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</si>
  <si>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</si>
  <si>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</si>
  <si>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</si>
  <si>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</si>
  <si>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</si>
  <si>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</si>
  <si>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</si>
  <si>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</si>
  <si>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</si>
  <si>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</si>
  <si>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</si>
  <si>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</si>
  <si>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</si>
  <si>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</si>
  <si>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</si>
  <si>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</si>
  <si>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</si>
  <si>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</si>
  <si>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</si>
  <si>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</si>
  <si>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</si>
  <si>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</si>
  <si>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</si>
  <si>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</si>
  <si>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</si>
  <si>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</si>
  <si>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</si>
  <si>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</si>
  <si>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</si>
  <si>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</si>
  <si>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</si>
  <si>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</si>
  <si>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</si>
  <si>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</si>
  <si>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</si>
  <si>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</si>
  <si>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</si>
  <si>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</si>
  <si>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</si>
  <si>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</si>
  <si>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</si>
  <si>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</si>
  <si>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</si>
  <si>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</si>
  <si>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</si>
  <si>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</si>
  <si>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</si>
  <si>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</si>
  <si>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</si>
  <si>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</si>
  <si>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</si>
  <si>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</si>
  <si>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</si>
  <si>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</si>
  <si>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</si>
  <si>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</si>
  <si>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</si>
  <si>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</si>
  <si>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</si>
  <si>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</si>
  <si>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</si>
  <si>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</si>
  <si>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</si>
  <si>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</si>
  <si>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</si>
  <si>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</si>
  <si>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</si>
  <si>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</si>
  <si>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</si>
  <si>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</si>
  <si>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</si>
  <si>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</si>
  <si>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</si>
  <si>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</si>
  <si>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</si>
  <si>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</si>
  <si>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</si>
  <si>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</si>
  <si>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</si>
  <si>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</si>
  <si>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</si>
  <si>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</si>
  <si>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</si>
  <si>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</si>
  <si>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</si>
  <si>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</si>
  <si>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</si>
  <si>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</si>
  <si>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</si>
  <si>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</si>
  <si>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</si>
  <si>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</si>
  <si>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</si>
  <si>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</si>
  <si>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</si>
  <si>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</si>
  <si>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</si>
  <si>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</si>
  <si>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</si>
  <si>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</si>
  <si>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</si>
  <si>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</si>
  <si>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</si>
  <si>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</si>
  <si>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</si>
  <si>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</si>
  <si>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</si>
  <si>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</si>
  <si>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</si>
  <si>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</si>
  <si>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</si>
  <si>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</si>
  <si>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</si>
  <si>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</si>
  <si>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</si>
  <si>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</si>
  <si>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</si>
  <si>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</si>
  <si>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</si>
  <si>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</si>
  <si>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</si>
  <si>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</si>
  <si>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</si>
  <si>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</si>
  <si>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</si>
  <si>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</si>
  <si>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</si>
  <si>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</si>
  <si>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</si>
  <si>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</si>
  <si>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</si>
  <si>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</si>
  <si>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</si>
  <si>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</si>
  <si>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</si>
  <si>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</si>
  <si>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</si>
  <si>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</si>
  <si>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</si>
  <si>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</si>
  <si>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</si>
  <si>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</si>
  <si>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</si>
  <si>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</si>
  <si>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</si>
  <si>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</si>
  <si>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</si>
  <si>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</si>
  <si>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</si>
  <si>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</si>
  <si>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</si>
  <si>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</si>
  <si>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</si>
  <si>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</si>
  <si>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</si>
  <si>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</si>
  <si>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</si>
  <si>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</si>
  <si>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</si>
  <si>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</si>
  <si>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</si>
  <si>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>City</t>
  </si>
  <si>
    <t>State</t>
  </si>
  <si>
    <t>Customer Type</t>
  </si>
  <si>
    <t>Account Manager</t>
  </si>
  <si>
    <t>Order Priority</t>
  </si>
  <si>
    <t>Product Name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</si>
  <si>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</si>
  <si>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</si>
  <si>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</si>
  <si>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</si>
  <si>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</si>
  <si>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</si>
  <si>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</si>
  <si>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</si>
  <si>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</si>
  <si>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</si>
  <si>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</si>
  <si>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</si>
  <si>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</si>
  <si>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</si>
  <si>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</si>
  <si>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</si>
  <si>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</si>
  <si>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</si>
  <si>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</si>
  <si>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</si>
  <si>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</si>
  <si>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</si>
  <si>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</si>
  <si>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</si>
  <si>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</si>
  <si>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</si>
  <si>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</si>
  <si>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</si>
  <si>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</si>
  <si>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</si>
  <si>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</si>
  <si>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</si>
  <si>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</si>
  <si>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</si>
  <si>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Pivot Table</t>
  </si>
  <si>
    <t>Minimum</t>
  </si>
  <si>
    <t>Maximum</t>
  </si>
  <si>
    <t>Average</t>
  </si>
  <si>
    <t>Counta</t>
  </si>
  <si>
    <t>count</t>
  </si>
  <si>
    <t>blank</t>
  </si>
  <si>
    <t>Left</t>
  </si>
  <si>
    <t>&amp; with string</t>
  </si>
  <si>
    <t>Right</t>
  </si>
  <si>
    <t>Lower left</t>
  </si>
  <si>
    <t>Upper Left</t>
  </si>
  <si>
    <t>Upper right</t>
  </si>
  <si>
    <t>Lower Right</t>
  </si>
  <si>
    <t>Batch</t>
  </si>
  <si>
    <t>sumif</t>
  </si>
  <si>
    <t>sumif plus left</t>
  </si>
  <si>
    <t>sum ifs</t>
  </si>
  <si>
    <t>city</t>
  </si>
  <si>
    <t>c type</t>
  </si>
  <si>
    <t>amount</t>
  </si>
  <si>
    <t>Sydney</t>
  </si>
  <si>
    <t>Melbourne</t>
  </si>
  <si>
    <t>Corporate</t>
  </si>
  <si>
    <t>Small Business</t>
  </si>
  <si>
    <t>Consumer</t>
  </si>
  <si>
    <t>Home Office</t>
  </si>
  <si>
    <t xml:space="preserve"> Shipping Data</t>
  </si>
  <si>
    <t>Order Date</t>
  </si>
  <si>
    <t>Address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</si>
  <si>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</si>
  <si>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</si>
  <si>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</si>
  <si>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</si>
  <si>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</si>
  <si>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</si>
  <si>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</si>
  <si>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Sub Total</t>
  </si>
  <si>
    <t>Discount %</t>
  </si>
  <si>
    <t>Discount $</t>
  </si>
  <si>
    <t>Order Total</t>
  </si>
  <si>
    <t>Shipping Cost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</si>
  <si>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</si>
  <si>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</si>
  <si>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</si>
  <si>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</si>
  <si>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</si>
  <si>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</si>
  <si>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</si>
  <si>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</si>
  <si>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</si>
  <si>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</si>
  <si>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</si>
  <si>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</si>
  <si>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</si>
  <si>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</si>
  <si>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Christopher Schild</t>
  </si>
  <si>
    <t>4A Lyons St,Strathfield</t>
  </si>
  <si>
    <t>NSW</t>
  </si>
  <si>
    <t>Tina Carlton</t>
  </si>
  <si>
    <t>Medium</t>
  </si>
  <si>
    <t>Laser Neon Mac Format Diskettes, 10/Pack</t>
  </si>
  <si>
    <t>Technology</t>
  </si>
  <si>
    <t>Small Pack</t>
  </si>
  <si>
    <t>Regular Air</t>
  </si>
  <si>
    <t>Steady Liquid Accent Highlighters</t>
  </si>
  <si>
    <t>Office Supplies</t>
  </si>
  <si>
    <t>Wrap Bag</t>
  </si>
  <si>
    <t>Cyma Kinney</t>
  </si>
  <si>
    <t>Sydney Fish Market, Bank Street, Sydney</t>
  </si>
  <si>
    <t>Phoebe Gour</t>
  </si>
  <si>
    <t>Low</t>
  </si>
  <si>
    <t>Alto Memo Cubes</t>
  </si>
  <si>
    <t>Express Air</t>
  </si>
  <si>
    <t>Artisan Hi-Liter Smear-Safe Highlighters</t>
  </si>
  <si>
    <t>Berenike Kampe</t>
  </si>
  <si>
    <t>180 High Street,Windsor</t>
  </si>
  <si>
    <t>VIC</t>
  </si>
  <si>
    <t>Connor Betts</t>
  </si>
  <si>
    <t>Not Specified</t>
  </si>
  <si>
    <t>1726 Digital Answering Machine</t>
  </si>
  <si>
    <t>Medium Box</t>
  </si>
  <si>
    <t>3Max Organizer Strips</t>
  </si>
  <si>
    <t>Small Box</t>
  </si>
  <si>
    <t>Christy Brittain</t>
  </si>
  <si>
    <t>Shop 1, 186-190 Church Street,Parramatta;46a Macleay Street,Potts Point</t>
  </si>
  <si>
    <t>Mihael Khan</t>
  </si>
  <si>
    <t>Critical</t>
  </si>
  <si>
    <t>Smiths Pen Style Liquid Stix; Assorted (yellow, pink, green, blue, orange), 5/Pack</t>
  </si>
  <si>
    <t>Steady Liquid Accent Tank-Style Highlighters</t>
  </si>
  <si>
    <t>Alex Grayson</t>
  </si>
  <si>
    <t>644 George St,Sydney</t>
  </si>
  <si>
    <t>Radhya Staples</t>
  </si>
  <si>
    <t>Artisan Durable Binders</t>
  </si>
  <si>
    <t>Beekin 105-Key Black Keyboard</t>
  </si>
  <si>
    <t>Stephanie Ulpright</t>
  </si>
  <si>
    <t>541 Church St ,Richmond</t>
  </si>
  <si>
    <t>Yvette Biti</t>
  </si>
  <si>
    <t>Artisan Binder Labels</t>
  </si>
  <si>
    <t>Economy Rollaway Files</t>
  </si>
  <si>
    <t>Sylvia Foulston</t>
  </si>
  <si>
    <t>152 Bunnerong Road,Eastgardens</t>
  </si>
  <si>
    <t>300 Series Non-Flip</t>
  </si>
  <si>
    <t>Patrick Jones</t>
  </si>
  <si>
    <t>221 Barkly St,St Kilda</t>
  </si>
  <si>
    <t>Artisan Printable Repositionable Plastic Tabs</t>
  </si>
  <si>
    <t>OIC Colored Binder Clips, Assorted Sizes</t>
  </si>
  <si>
    <t>Saphhira Shifley</t>
  </si>
  <si>
    <t>Westfield Miranda, 600 Kingsway,Miranda</t>
  </si>
  <si>
    <t>Preston Senome</t>
  </si>
  <si>
    <t>Artisan Heavy-Duty EZD  Binder With Locking Rings</t>
  </si>
  <si>
    <t>Desktop 3-Pocket Hot File</t>
  </si>
  <si>
    <t>Anne Pryor</t>
  </si>
  <si>
    <t>1-2/299 Sussex St,Sydney</t>
  </si>
  <si>
    <t>Aanya Zhang</t>
  </si>
  <si>
    <t>Office Shears by Apex</t>
  </si>
  <si>
    <t>Logan Haushalter</t>
  </si>
  <si>
    <t>222 Barkly St,St Kilda</t>
  </si>
  <si>
    <t>HFX LaserJet 3310 Copier</t>
  </si>
  <si>
    <t>Large Box</t>
  </si>
  <si>
    <t>Unpadded Memo Slips</t>
  </si>
  <si>
    <t>Tracy Blumstein</t>
  </si>
  <si>
    <t>Hoyts Entertainment Quarter 122 Lang Road,Moore Park</t>
  </si>
  <si>
    <t>Artisan Poly Binder Pockets</t>
  </si>
  <si>
    <t>Assorted Color Push Pins</t>
  </si>
  <si>
    <t>Daniel Byrd</t>
  </si>
  <si>
    <t>127 Liverpool St,Sydney</t>
  </si>
  <si>
    <t>Samantha Chairs</t>
  </si>
  <si>
    <t>Angle-D Binders with Locking Rings, Label Holders</t>
  </si>
  <si>
    <t>Smiths Paper Clips</t>
  </si>
  <si>
    <t>Julia Dunbar</t>
  </si>
  <si>
    <t>Qantas Domestic Terminal,Mascot</t>
  </si>
  <si>
    <t>Colored Push Pins</t>
  </si>
  <si>
    <t>Steady Colorific Eraseable Coloring Pencils, 12 Count</t>
  </si>
  <si>
    <t>Victoria Wilson</t>
  </si>
  <si>
    <t>1/160 Anzac Parade,Kensington</t>
  </si>
  <si>
    <t>Natasha Song</t>
  </si>
  <si>
    <t>Smiths Metal Binder Clips</t>
  </si>
  <si>
    <t>Ruben Ausman</t>
  </si>
  <si>
    <t>Crown Complex,Southbank</t>
  </si>
  <si>
    <t>High</t>
  </si>
  <si>
    <t>Cando PC940 Copier</t>
  </si>
  <si>
    <t>Jumbo Drum</t>
  </si>
  <si>
    <t>Delivery Truck</t>
  </si>
  <si>
    <t>EcoTones Memo Sheets</t>
  </si>
  <si>
    <t>Eugene Moren</t>
  </si>
  <si>
    <t>85-113 Dunning Ave,Rosebery</t>
  </si>
  <si>
    <t>Smiths General Use 3-Ring Binders</t>
  </si>
  <si>
    <t>George Ashbrook</t>
  </si>
  <si>
    <t>506 Swan Street,Richmond</t>
  </si>
  <si>
    <t>600 Series Non-Flip</t>
  </si>
  <si>
    <t>Binder Clips by OIC</t>
  </si>
  <si>
    <t>Sam Craven</t>
  </si>
  <si>
    <t>8 Rankins Lane ,Melbourne</t>
  </si>
  <si>
    <t>Apex Straight Scissors</t>
  </si>
  <si>
    <t>Todd Boyes</t>
  </si>
  <si>
    <t>Multi-Use Personal File Cart and Caster Set, Three Stacking Bins</t>
  </si>
  <si>
    <t>Smiths Bulldog Clip</t>
  </si>
  <si>
    <t>Artisan Hi-Liter EverBold Pen Style Fluorescent Highlighters, 4/Pack</t>
  </si>
  <si>
    <t>Bill Donatelli</t>
  </si>
  <si>
    <t>359 Crown Street,Surry Hills</t>
  </si>
  <si>
    <t>Artisan Flip-Chart Easel Binder, Black</t>
  </si>
  <si>
    <t>Sandra Glassco</t>
  </si>
  <si>
    <t>224A Gertrude St,Fitzroy</t>
  </si>
  <si>
    <t>Artisan Durable Poly Binders</t>
  </si>
  <si>
    <t>Artisan Hi-Liter Pen Style Six-Color Fluorescent Set</t>
  </si>
  <si>
    <t>Peter McVee</t>
  </si>
  <si>
    <t>Bagged Rubber Bands</t>
  </si>
  <si>
    <t>DrawIt Pizazz Watercolor Pencils, 10-Color Set with Brush</t>
  </si>
  <si>
    <t>Bill Stewart</t>
  </si>
  <si>
    <t>188 Pitt Street,Sydney</t>
  </si>
  <si>
    <t>Apex Box Cutter Scissors</t>
  </si>
  <si>
    <t>Artisan Hanging File Binders</t>
  </si>
  <si>
    <t>Denise Monton</t>
  </si>
  <si>
    <t>2/797 Botany Rd,Rosebery</t>
  </si>
  <si>
    <t>12 Colored Short Pencils</t>
  </si>
  <si>
    <t>TechSavi Cordless Navigator Duo</t>
  </si>
  <si>
    <t>Annie Thurman</t>
  </si>
  <si>
    <t>499-501 Lygon Street,Carlton North</t>
  </si>
  <si>
    <t>Adams "While You Were Out" Message Pads</t>
  </si>
  <si>
    <t>Barrel Sharpener</t>
  </si>
  <si>
    <t>Michael Oakman</t>
  </si>
  <si>
    <t>PastelOcean Color Pencil Set</t>
  </si>
  <si>
    <t>Nora Price</t>
  </si>
  <si>
    <t>7 Khartoum Rd,Macquarie Park</t>
  </si>
  <si>
    <t>Alto 3-Hole Punch</t>
  </si>
  <si>
    <t>Apex Forged Steel Scissors with Black Enamel Handles</t>
  </si>
  <si>
    <t>Lisa DeCherney</t>
  </si>
  <si>
    <t>324A King St,Newtown</t>
  </si>
  <si>
    <t>Wirebound Message Book, 4 per Page</t>
  </si>
  <si>
    <t>Bobby Trafton</t>
  </si>
  <si>
    <t>Steady Colorific Colored Pencils, 12/Box</t>
  </si>
  <si>
    <t>Patrick OBrill</t>
  </si>
  <si>
    <t>53 Riley Street,Woolloomooloo</t>
  </si>
  <si>
    <t>Matt Collister</t>
  </si>
  <si>
    <t>99 Glebe Point Rd,Glebe</t>
  </si>
  <si>
    <t>Artisan 487 Labels</t>
  </si>
  <si>
    <t>DrawIt Colored Pencils</t>
  </si>
  <si>
    <t>Alejandro Ballentine</t>
  </si>
  <si>
    <t>412 Brunswick St,Fitzroy</t>
  </si>
  <si>
    <t>Lumi Crayons</t>
  </si>
  <si>
    <t>Pizazz Colored Pencils</t>
  </si>
  <si>
    <t>Don Weiss</t>
  </si>
  <si>
    <t>79 Elliott St,Balmain</t>
  </si>
  <si>
    <t>3Max Polarizing Task Lamp with Clamp Arm, Light Gray</t>
  </si>
  <si>
    <t>Furniture</t>
  </si>
  <si>
    <t>Sally Knutson</t>
  </si>
  <si>
    <t>Beekin 6 Outlet Metallic Surge Strip</t>
  </si>
  <si>
    <t>Greg Hansen</t>
  </si>
  <si>
    <t>Aluminum Document Frame</t>
  </si>
  <si>
    <t>Vivek Grady</t>
  </si>
  <si>
    <t>99 Lygon Street,East Brunswick</t>
  </si>
  <si>
    <t>Edward Nazzal</t>
  </si>
  <si>
    <t>2a/285A Crown St,Surry Hills</t>
  </si>
  <si>
    <t>Adesso Programmable 142-Key Keyboard</t>
  </si>
  <si>
    <t>Laser DVD-RAM discs</t>
  </si>
  <si>
    <t>OIC Thumb-Tacks</t>
  </si>
  <si>
    <t>Harold Dahlen</t>
  </si>
  <si>
    <t>53-55 Liverpool St,Sydney</t>
  </si>
  <si>
    <t>Pizazz Drawing Pencil Set</t>
  </si>
  <si>
    <t>Jasper Cacioppo</t>
  </si>
  <si>
    <t>24 Addison Rd,Marrickville</t>
  </si>
  <si>
    <t>Christopher Martinez</t>
  </si>
  <si>
    <t>TechSavi Cordless Access Keyboard</t>
  </si>
  <si>
    <t>UGen Ultra Cordless Optical Suite</t>
  </si>
  <si>
    <t>Erica Hernandez</t>
  </si>
  <si>
    <t>12 Princess Hwy,Sylvania</t>
  </si>
  <si>
    <t>Nicholas Fernandes</t>
  </si>
  <si>
    <t>Alto Parchment Paper, Assorted Colors</t>
  </si>
  <si>
    <t>Alex Russell</t>
  </si>
  <si>
    <t>Tamara Dahlen</t>
  </si>
  <si>
    <t>61 York St,Sydney</t>
  </si>
  <si>
    <t>Leighton Forrest</t>
  </si>
  <si>
    <t>Message Book, One Form per Page</t>
  </si>
  <si>
    <t>Susan Vittorini</t>
  </si>
  <si>
    <t>3 Carrington Road ,Box Hill</t>
  </si>
  <si>
    <t>Cando S750 Color Inkjet Printer</t>
  </si>
  <si>
    <t>Muhammed Yedwab</t>
  </si>
  <si>
    <t>18 Whistler St,Sydney</t>
  </si>
  <si>
    <t>Steady EarthWrite Recycled Pencils, Medium Soft, #2</t>
  </si>
  <si>
    <t>Artisan Reinforcements for Hole-Punch Pages</t>
  </si>
  <si>
    <t>Olvera Toch</t>
  </si>
  <si>
    <t>Sean Wendt</t>
  </si>
  <si>
    <t>145 Ramsay St,Haberfield</t>
  </si>
  <si>
    <t>Multimedia Mailers</t>
  </si>
  <si>
    <t>Rick Reed</t>
  </si>
  <si>
    <t>Pizazz Dustless Chalk Sticks</t>
  </si>
  <si>
    <t>Toby Swindell</t>
  </si>
  <si>
    <t>273 George Street,Sydney</t>
  </si>
  <si>
    <t>TypeRight Side-Opening Peel &amp; Seel Expanding Envelopes</t>
  </si>
  <si>
    <t>Giulietta Weimer</t>
  </si>
  <si>
    <t>48 Albion St,Surry Hills</t>
  </si>
  <si>
    <t>Paul Prost</t>
  </si>
  <si>
    <t>120 Hardware St,Melbourne</t>
  </si>
  <si>
    <t>Security-Tint Envelopes</t>
  </si>
  <si>
    <t>Katherine Ducich</t>
  </si>
  <si>
    <t>61A Bay Road,Wollstonecraft</t>
  </si>
  <si>
    <t>Natalie Webber</t>
  </si>
  <si>
    <t>98-104 Parramatta Rd,Camperdown</t>
  </si>
  <si>
    <t>Artisan Arch Ring Binders</t>
  </si>
  <si>
    <t>Sean ODonnell</t>
  </si>
  <si>
    <t>Art Foster</t>
  </si>
  <si>
    <t>Westfield Parramatta,Parramatta</t>
  </si>
  <si>
    <t>Stevie Bacata</t>
  </si>
  <si>
    <t>Apex Elite Stainless Steel Scissors</t>
  </si>
  <si>
    <t>Darren Powers</t>
  </si>
  <si>
    <t>Michael Grace</t>
  </si>
  <si>
    <t>402 Argyle St,Moss Vale</t>
  </si>
  <si>
    <t>Christina Vanderzanden</t>
  </si>
  <si>
    <t>Thais Sissman</t>
  </si>
  <si>
    <t>Aaron Smayling</t>
  </si>
  <si>
    <t>1737 Botany Rd,Banksmeadow</t>
  </si>
  <si>
    <t>Smiths Gold Paper Clips</t>
  </si>
  <si>
    <t>Mick Brown</t>
  </si>
  <si>
    <t>523 King St,Newtown</t>
  </si>
  <si>
    <t>UGen RF Keyboard</t>
  </si>
  <si>
    <t>Edward Becker</t>
  </si>
  <si>
    <t>501 George St,Sydney</t>
  </si>
  <si>
    <t>Erica Smith</t>
  </si>
  <si>
    <t>Smiths Standard Envelopes</t>
  </si>
  <si>
    <t>Justin Knight</t>
  </si>
  <si>
    <t>Macquarie Centre Cnr Herring Road &amp; Waterloo Road,Macquarie Park</t>
  </si>
  <si>
    <t>Craig Carroll</t>
  </si>
  <si>
    <t>Laura Armstrong</t>
  </si>
  <si>
    <t>240-242 Johnston Street,Fitzroy</t>
  </si>
  <si>
    <t>Thomas Boland</t>
  </si>
  <si>
    <t>3/219 Canley Vale Road,Canley Heights</t>
  </si>
  <si>
    <t>Noah Childs</t>
  </si>
  <si>
    <t>78 Stanley St,Darlinghurst</t>
  </si>
  <si>
    <t>Smiths Premium Bright 1-Part Blank Computer Paper</t>
  </si>
  <si>
    <t>Rob Haberlin</t>
  </si>
  <si>
    <t>Artisan 479 Labels</t>
  </si>
  <si>
    <t>Barry Weirich</t>
  </si>
  <si>
    <t>105 Pitt St,Sydney</t>
  </si>
  <si>
    <t>Charlie Bui</t>
  </si>
  <si>
    <t>Kelly Williams</t>
  </si>
  <si>
    <t>Jack OBriant</t>
  </si>
  <si>
    <t>Pamela Stobb</t>
  </si>
  <si>
    <t>TechSavi Access Keyboard</t>
  </si>
  <si>
    <t>William Brown</t>
  </si>
  <si>
    <t>Smiths SlimLine Pencil Sharpener</t>
  </si>
  <si>
    <t>Nat Carroll</t>
  </si>
  <si>
    <t>Artisan Premier Heavy-Duty Binder with Round Locking Rings</t>
  </si>
  <si>
    <t>Troy Staebel</t>
  </si>
  <si>
    <t>Dario Medina</t>
  </si>
  <si>
    <t>60 York St,Sydney</t>
  </si>
  <si>
    <t>Lynn Smith</t>
  </si>
  <si>
    <t>Dave Kipp</t>
  </si>
  <si>
    <t>Grant Carroll</t>
  </si>
  <si>
    <t>10 O'Connell St,Sydney</t>
  </si>
  <si>
    <t>Liz Pelletier</t>
  </si>
  <si>
    <t>Thea Hudgings</t>
  </si>
  <si>
    <t>Eudokia Martin</t>
  </si>
  <si>
    <t>Scot Wooten</t>
  </si>
  <si>
    <t>438 Victoria Avenue,Chatswood</t>
  </si>
  <si>
    <t>DrawIt Colored Pencils, 48-Color Set</t>
  </si>
  <si>
    <t>Jenna Caffey</t>
  </si>
  <si>
    <t>470 Anzac Parade,Kingsford</t>
  </si>
  <si>
    <t>Roy Collins</t>
  </si>
  <si>
    <t>Westfield Sydney,Sydney</t>
  </si>
  <si>
    <t>Brad Thomas</t>
  </si>
  <si>
    <t>210 Trimline Phone, White</t>
  </si>
  <si>
    <t>Steady Major Accent Highlighters</t>
  </si>
  <si>
    <t>Roy Skaria</t>
  </si>
  <si>
    <t>Brad Eason</t>
  </si>
  <si>
    <t>Artisan Legal 4-Ring Binder</t>
  </si>
  <si>
    <t>Andy Reiter</t>
  </si>
  <si>
    <t>Cnr Williams Road &amp; Lechlade Ave,South Yarra</t>
  </si>
  <si>
    <t>Becky Martin</t>
  </si>
  <si>
    <t>53-55 Liverpool Street,Sydney</t>
  </si>
  <si>
    <t>Alto Keyboard-In-A-Box</t>
  </si>
  <si>
    <t>Denny Ordway</t>
  </si>
  <si>
    <t>Artisan 48 Labels</t>
  </si>
  <si>
    <t>Luke Schmidt</t>
  </si>
  <si>
    <t>73 York St,Sydney</t>
  </si>
  <si>
    <t>UGen Ultra Professional Cordless Optical Suite</t>
  </si>
  <si>
    <t>Kelly Lampkin</t>
  </si>
  <si>
    <t>310 Wattle St,Ultimo</t>
  </si>
  <si>
    <t>Colored Envelopes</t>
  </si>
  <si>
    <t>Anthony Rawles</t>
  </si>
  <si>
    <t>Xit Blank Computer Paper</t>
  </si>
  <si>
    <t>Rick Duston</t>
  </si>
  <si>
    <t>260 Marrickville Rd,Marrickville</t>
  </si>
  <si>
    <t>Alto Perma 2700 Stacking Storage Drawers</t>
  </si>
  <si>
    <t>Raymond Fair</t>
  </si>
  <si>
    <t>TechSavi Cordless Elite Duo</t>
  </si>
  <si>
    <t>Joy Smith</t>
  </si>
  <si>
    <t>Jim Epp</t>
  </si>
  <si>
    <t>Mike Vittorini</t>
  </si>
  <si>
    <t>211/25-29 Dixon St,Haymarket</t>
  </si>
  <si>
    <t>Artisan Hi-Liter Fluorescent Desk Style Markers</t>
  </si>
  <si>
    <t>Neil Knudson</t>
  </si>
  <si>
    <t>Deborah Brumfield</t>
  </si>
  <si>
    <t>Janet Martin</t>
  </si>
  <si>
    <t>Beth Thompson</t>
  </si>
  <si>
    <t>85-113 Dunning Ave,Roseberry</t>
  </si>
  <si>
    <t>Deluxe Rollaway Locking File with Drawer</t>
  </si>
  <si>
    <t>Nora Paige</t>
  </si>
  <si>
    <t>Jim Kriz</t>
  </si>
  <si>
    <t>Smiths Colored Interoffice Envelopes</t>
  </si>
  <si>
    <t>Steve Nguyen</t>
  </si>
  <si>
    <t>Scott Cohen</t>
  </si>
  <si>
    <t>Wirebound Voice Message Log Book</t>
  </si>
  <si>
    <t>Liz MacKendrick</t>
  </si>
  <si>
    <t>Carlos Meador</t>
  </si>
  <si>
    <t>Giulietta Dortch</t>
  </si>
  <si>
    <t>Paul Lucas</t>
  </si>
  <si>
    <t>8 Quay Street,Haymarket</t>
  </si>
  <si>
    <t>Aleksandra Gannaway</t>
  </si>
  <si>
    <t>Eugene Hildebrand</t>
  </si>
  <si>
    <t>Economy Binders</t>
  </si>
  <si>
    <t>Adam Bellavance</t>
  </si>
  <si>
    <t>106 Ebley Street,Bondi Junction</t>
  </si>
  <si>
    <t>HFX 6S Scientific Calculator</t>
  </si>
  <si>
    <t>Mitch Gastineau</t>
  </si>
  <si>
    <t>Stuart Calhoun</t>
  </si>
  <si>
    <t>Denise Leinenbach</t>
  </si>
  <si>
    <t>Self-Adhesive Removable Labels</t>
  </si>
  <si>
    <t>Mitch Webber</t>
  </si>
  <si>
    <t>TypeRight  Top-Opening Peel &amp; Seel Envelopes, Plain White</t>
  </si>
  <si>
    <t>Sara Luxemburg</t>
  </si>
  <si>
    <t>TypeRight  Top-Opening Peel &amp; Seel  Envelopes, Gray</t>
  </si>
  <si>
    <t>Julie Kriz</t>
  </si>
  <si>
    <t>Artisan Non-Stick Binders</t>
  </si>
  <si>
    <t>George Zrebassa</t>
  </si>
  <si>
    <t>81 MacLeay St,Potts Point</t>
  </si>
  <si>
    <t>Pauline Webber</t>
  </si>
  <si>
    <t>Ben Wallace</t>
  </si>
  <si>
    <t>Adam Shillingsburg</t>
  </si>
  <si>
    <t>Rick Hansen</t>
  </si>
  <si>
    <t>TechSavi Internet Navigator Keyboard</t>
  </si>
  <si>
    <t>Karl Brown</t>
  </si>
  <si>
    <t>Eric Barreto</t>
  </si>
  <si>
    <t>Charles Sheldon</t>
  </si>
  <si>
    <t>Jesus Ocampo</t>
  </si>
  <si>
    <t>60 Commercial Rd,Prahran</t>
  </si>
  <si>
    <t>Fluorescent Highlighters by DrawIt</t>
  </si>
  <si>
    <t>Nick Zandusky</t>
  </si>
  <si>
    <t>Artisan 481 Labels</t>
  </si>
  <si>
    <t>Corinna Mitchell</t>
  </si>
  <si>
    <t>27 Greenfield Parade,Bankstown</t>
  </si>
  <si>
    <t>Emerson C82 Color Inkjet Printer</t>
  </si>
  <si>
    <t>Chuck Magee</t>
  </si>
  <si>
    <t>Seth Vernon</t>
  </si>
  <si>
    <t>541 Church St,Richmond</t>
  </si>
  <si>
    <t>Vivian Mathis</t>
  </si>
  <si>
    <t>Harold Ryan</t>
  </si>
  <si>
    <t>Kean Takahito</t>
  </si>
  <si>
    <t>21 Wentworth St,Parramatta</t>
  </si>
  <si>
    <t>Binding Machine Supplies</t>
  </si>
  <si>
    <t>Tony Sayre</t>
  </si>
  <si>
    <t>Aaron Bergman</t>
  </si>
  <si>
    <t>Edward Hooks</t>
  </si>
  <si>
    <t>Binder Posts</t>
  </si>
  <si>
    <t>Liz Willingham</t>
  </si>
  <si>
    <t>Dave Poirier</t>
  </si>
  <si>
    <t>Self-Adhesive Ring Binder Labels</t>
  </si>
  <si>
    <t>Valerie Dominguez</t>
  </si>
  <si>
    <t>Jennifer Patt</t>
  </si>
  <si>
    <t>Cynthia Arntzen</t>
  </si>
  <si>
    <t>Bradley Drucker</t>
  </si>
  <si>
    <t>1 John St,Waterloo</t>
  </si>
  <si>
    <t>Skye Norling</t>
  </si>
  <si>
    <t>Bruce Degenhardt</t>
  </si>
  <si>
    <t>John Castell</t>
  </si>
  <si>
    <t>38/133-145 Castlereagh St,Sydney</t>
  </si>
  <si>
    <t>Neil French</t>
  </si>
  <si>
    <t>Nancy Lomonaco</t>
  </si>
  <si>
    <t>Carol Triggs</t>
  </si>
  <si>
    <t>Andrew Allen</t>
  </si>
  <si>
    <t>797 Botany Rd,Rosebery</t>
  </si>
  <si>
    <t>Darrin Martin</t>
  </si>
  <si>
    <t>Max Ludwig</t>
  </si>
  <si>
    <t>6-8 O'Connell Street,Newtown</t>
  </si>
  <si>
    <t>Liz Price</t>
  </si>
  <si>
    <t>Grant Thornton</t>
  </si>
  <si>
    <t>98 Holdsworth Street,Woollahra</t>
  </si>
  <si>
    <t>Victoria Brennan</t>
  </si>
  <si>
    <t>Westfield 1 Anderson St,Chatswood</t>
  </si>
  <si>
    <t>Sarah Brown</t>
  </si>
  <si>
    <t>Michael Granlund</t>
  </si>
  <si>
    <t>Apex Preferred Stainless Steel Scissors</t>
  </si>
  <si>
    <t>Marina Lichtenstein</t>
  </si>
  <si>
    <t>Fred Wasserman</t>
  </si>
  <si>
    <t>Ann Chong</t>
  </si>
  <si>
    <t>Mick Crebagga</t>
  </si>
  <si>
    <t>Chloris Kastensmidt</t>
  </si>
  <si>
    <t>7/370-374 Victoria Ave,Chatswood</t>
  </si>
  <si>
    <t>Maribeth Dona</t>
  </si>
  <si>
    <t>Cynthia Delaney</t>
  </si>
  <si>
    <t>John Dryer</t>
  </si>
  <si>
    <t>Carlos Daly</t>
  </si>
  <si>
    <t>5/63-71 Enmore Rd,Newtown</t>
  </si>
  <si>
    <t>Joni Wasserman</t>
  </si>
  <si>
    <t>600 Series Flip</t>
  </si>
  <si>
    <t>Frank Merwin</t>
  </si>
  <si>
    <t>Amy Cox</t>
  </si>
  <si>
    <t>Paul MacIntyre</t>
  </si>
  <si>
    <t>Cindy Stewart</t>
  </si>
  <si>
    <t>1/173-179 Bronte Rd,Waverley</t>
  </si>
  <si>
    <t>Tamara Willingham</t>
  </si>
  <si>
    <t>Darrin Sayre</t>
  </si>
  <si>
    <t>Ed Jacobs</t>
  </si>
  <si>
    <t>22 Civic Rd,Auburn</t>
  </si>
  <si>
    <t>Dan Campbell</t>
  </si>
  <si>
    <t>Brown Kraft Recycled Envelopes</t>
  </si>
  <si>
    <t>Shahid Shariari</t>
  </si>
  <si>
    <t>Toby Knight</t>
  </si>
  <si>
    <t>Steady 52201 APSCO Electric Pencil Sharpener</t>
  </si>
  <si>
    <t>Sung Chung</t>
  </si>
  <si>
    <t>Kristina Nunn</t>
  </si>
  <si>
    <t>Jeremy Lonsdale</t>
  </si>
  <si>
    <t>163 Concord Road,North Strathfield</t>
  </si>
  <si>
    <t>Victoria Pisteka</t>
  </si>
  <si>
    <t>Liz Carlisle</t>
  </si>
  <si>
    <t>Dennis Kane</t>
  </si>
  <si>
    <t>33/4 Barangaroo Avenue,Sydney</t>
  </si>
  <si>
    <t>Tom Prescott</t>
  </si>
  <si>
    <t>Jas OCarroll</t>
  </si>
  <si>
    <t>Peter Fuller</t>
  </si>
  <si>
    <t>Erin Ashbrook</t>
  </si>
  <si>
    <t>Allen Armold</t>
  </si>
  <si>
    <t>Apex Office Executive Series Stainless Steel Trimmers</t>
  </si>
  <si>
    <t>Eugene Barchas</t>
  </si>
  <si>
    <t>Phillip Flathmann</t>
  </si>
  <si>
    <t>Justin Hirsh</t>
  </si>
  <si>
    <t>3Max Polarizing Light Filter Sleeves</t>
  </si>
  <si>
    <t>Sarah Foster</t>
  </si>
  <si>
    <t>Tanja Norvell</t>
  </si>
  <si>
    <t>Maya Herman</t>
  </si>
  <si>
    <t>Trudy Brown</t>
  </si>
  <si>
    <t>Gary Hwang</t>
  </si>
  <si>
    <t>Larry Tron</t>
  </si>
  <si>
    <t>Steady Pocket Accent Highlighters</t>
  </si>
  <si>
    <t>Joseph Airdo</t>
  </si>
  <si>
    <t>Artisan Binding System Hidden Tab Executive Style Index Sets</t>
  </si>
  <si>
    <t>Ben Peterman</t>
  </si>
  <si>
    <t>485 Crown St,Surry Hills</t>
  </si>
  <si>
    <t>Artisan Hi-Liter GlideStik Fluorescent Highlighter, Yellow Ink</t>
  </si>
  <si>
    <t>Henry Goldwyn</t>
  </si>
  <si>
    <t>Tony Molinari</t>
  </si>
  <si>
    <t>Brian Dahlen</t>
  </si>
  <si>
    <t>Don Miller</t>
  </si>
  <si>
    <t>Artisan 478 Labels</t>
  </si>
  <si>
    <t>Duane Huffman</t>
  </si>
  <si>
    <t>Philip Fox</t>
  </si>
  <si>
    <t>Charlotte Melton</t>
  </si>
  <si>
    <t>Dionis Lloyd</t>
  </si>
  <si>
    <t>Ashley Jarboe</t>
  </si>
  <si>
    <t>Nat Gilpin</t>
  </si>
  <si>
    <t>274 Canley Vale Rd,Canley Heights</t>
  </si>
  <si>
    <t>Sanjit Engle</t>
  </si>
  <si>
    <t>Emerson LQ-870 Dot Matrix Printer</t>
  </si>
  <si>
    <t>Mark Van Huff</t>
  </si>
  <si>
    <t>1 John Street,Waterloo</t>
  </si>
  <si>
    <t>Helen Andreada</t>
  </si>
  <si>
    <t>Darrin Van Huff</t>
  </si>
  <si>
    <t>Sarah Jordon</t>
  </si>
  <si>
    <t>Bill Eplett</t>
  </si>
  <si>
    <t>Ken Lonsdale</t>
  </si>
  <si>
    <t>Michael Nguyen</t>
  </si>
  <si>
    <t>Hilary Holden</t>
  </si>
  <si>
    <t>Brooke Gillingham</t>
  </si>
  <si>
    <t>Suzanne McNair</t>
  </si>
  <si>
    <t>Mathew Reese</t>
  </si>
  <si>
    <t>Susan MacKendrick</t>
  </si>
  <si>
    <t>Dennis Pardue</t>
  </si>
  <si>
    <t>Elpida Rittenbach</t>
  </si>
  <si>
    <t>Ames Color-File Green Diamond Border X-ray Mailers</t>
  </si>
  <si>
    <t>Julie Prescott</t>
  </si>
  <si>
    <t>Blackstonian Pencils</t>
  </si>
  <si>
    <t>Yana Sorensen</t>
  </si>
  <si>
    <t>Creator Colored Pencils</t>
  </si>
  <si>
    <t>Pamela Coakley</t>
  </si>
  <si>
    <t>Sanjit Jacobs</t>
  </si>
  <si>
    <t>Erica Hackney</t>
  </si>
  <si>
    <t>Chad McGuire</t>
  </si>
  <si>
    <t>73 MacLeay St,Potts Point</t>
  </si>
  <si>
    <t>Pauline Chand</t>
  </si>
  <si>
    <t>Bobby Elias</t>
  </si>
  <si>
    <t>Lena Radford</t>
  </si>
  <si>
    <t>Delfina Latchford</t>
  </si>
  <si>
    <t>Adam Hart</t>
  </si>
  <si>
    <t>Airmail Envelopes</t>
  </si>
  <si>
    <t>Troy Blackwell</t>
  </si>
  <si>
    <t>Carl Ludwig</t>
  </si>
  <si>
    <t>Chad Cunningham</t>
  </si>
  <si>
    <t>Smiths Colored Bar Computer Paper</t>
  </si>
  <si>
    <t>Michael Paige</t>
  </si>
  <si>
    <t>Justin Ellison</t>
  </si>
  <si>
    <t>Ralph Knight</t>
  </si>
  <si>
    <t>Roland Murray</t>
  </si>
  <si>
    <t>Alto Perma 3000 Stacking Storage Drawers</t>
  </si>
  <si>
    <t>Patrick Bzostek</t>
  </si>
  <si>
    <t>1/50-58 Hunter St,Sydney</t>
  </si>
  <si>
    <t>OIC Bulk Pack Metal Binder Clips</t>
  </si>
  <si>
    <t>Steve Chapman</t>
  </si>
  <si>
    <t>Artisan Hi-Liter Comfort Grip Fluorescent Highlighter, Yellow Ink</t>
  </si>
  <si>
    <t>Mike Kennedy</t>
  </si>
  <si>
    <t>Emerson Stylus 1520 Color Inkjet Printer</t>
  </si>
  <si>
    <t>Brenda Bowman</t>
  </si>
  <si>
    <t>Xylona Price</t>
  </si>
  <si>
    <t>Kelly Collister</t>
  </si>
  <si>
    <t>Dean Percer</t>
  </si>
  <si>
    <t>Anemone Ratner</t>
  </si>
  <si>
    <t>157 Norton St,Leichhardt</t>
  </si>
  <si>
    <t>Brian Stugart</t>
  </si>
  <si>
    <t>88 Oxford St,Woollahra</t>
  </si>
  <si>
    <t>24 Capacity Maxi Data Binder Racks, Pearl</t>
  </si>
  <si>
    <t>Michelle Tran</t>
  </si>
  <si>
    <t>Vivek Sundaresam</t>
  </si>
  <si>
    <t>Ritsa Hightower</t>
  </si>
  <si>
    <t>Michelle Moray</t>
  </si>
  <si>
    <t>Jim Radford</t>
  </si>
  <si>
    <t>Richard Eichhorn</t>
  </si>
  <si>
    <t>Juliana Krohn</t>
  </si>
  <si>
    <t>Clytie Kelty</t>
  </si>
  <si>
    <t>8 Khartoum Rd,Macquarie Park</t>
  </si>
  <si>
    <t>Ken Dana</t>
  </si>
  <si>
    <t>Andy Yotov</t>
  </si>
  <si>
    <t>Melanie Page</t>
  </si>
  <si>
    <t>Arthur Gainer</t>
  </si>
  <si>
    <t>Creator Anti Dust Chalk, 12/Pack</t>
  </si>
  <si>
    <t>Dianna Wilson</t>
  </si>
  <si>
    <t>Lindsay Castell</t>
  </si>
  <si>
    <t>Chuck Sachs</t>
  </si>
  <si>
    <t>1/41B Elizabeth Bay Rd,Elizabeth Bay</t>
  </si>
  <si>
    <t>John Lee</t>
  </si>
  <si>
    <t>Fred Chung</t>
  </si>
  <si>
    <t>Barry Pond</t>
  </si>
  <si>
    <t>Jim Mitchum</t>
  </si>
  <si>
    <t>Luke Weiss</t>
  </si>
  <si>
    <t>Craig Leslie</t>
  </si>
  <si>
    <t>10 Bligh St,Melbourne</t>
  </si>
  <si>
    <t>Frank Hawley</t>
  </si>
  <si>
    <t>Shop 1 797 Botany Rd,Rosebery</t>
  </si>
  <si>
    <t>Artisan 474 Labels</t>
  </si>
  <si>
    <t>Christine Abelman</t>
  </si>
  <si>
    <t>Monica Federle</t>
  </si>
  <si>
    <t>834 Bourke St,Waterloo</t>
  </si>
  <si>
    <t>Mike Gockenbach</t>
  </si>
  <si>
    <t>James Galang</t>
  </si>
  <si>
    <t>Artisan File Folder Labels</t>
  </si>
  <si>
    <t>Raymond Book</t>
  </si>
  <si>
    <t>Artisan Round Ring Poly Binders</t>
  </si>
  <si>
    <t>Bobby Odegard</t>
  </si>
  <si>
    <t>Art Miller</t>
  </si>
  <si>
    <t>Gene Hale</t>
  </si>
  <si>
    <t>Sonia Sunley</t>
  </si>
  <si>
    <t>Philip Brown</t>
  </si>
  <si>
    <t>Maria Zettner</t>
  </si>
  <si>
    <t>531 King St,Newtown</t>
  </si>
  <si>
    <t>Keith Herrera</t>
  </si>
  <si>
    <t>Mark Packer</t>
  </si>
  <si>
    <t>Denny Joy</t>
  </si>
  <si>
    <t>Shirley Jackson</t>
  </si>
  <si>
    <t>Ed Ludwig</t>
  </si>
  <si>
    <t>Carol Adams</t>
  </si>
  <si>
    <t>181 Enmore Rd,Enmore</t>
  </si>
  <si>
    <t>John Lucas</t>
  </si>
  <si>
    <t>Benjamin Patterson</t>
  </si>
  <si>
    <t>Adrian Hane</t>
  </si>
  <si>
    <t>Tonja Turnell</t>
  </si>
  <si>
    <t>Dorris Love</t>
  </si>
  <si>
    <t>Smiths File Caddy</t>
  </si>
  <si>
    <t>Jill Fjeld</t>
  </si>
  <si>
    <t>Maribeth Yedwab</t>
  </si>
  <si>
    <t>Odella Nelson</t>
  </si>
  <si>
    <t>Kean Thornton</t>
  </si>
  <si>
    <t>Jack Garza</t>
  </si>
  <si>
    <t>Gary Hansen</t>
  </si>
  <si>
    <t>Bart Watters</t>
  </si>
  <si>
    <t>Nathan Mautz</t>
  </si>
  <si>
    <t>Cindy Chapman</t>
  </si>
  <si>
    <t>Charles McCrossin</t>
  </si>
  <si>
    <t>Giulietta Baptist</t>
  </si>
  <si>
    <t>Jamie Kunitz</t>
  </si>
  <si>
    <t>Carl Jackson</t>
  </si>
  <si>
    <t>6 Mary St,Newtown</t>
  </si>
  <si>
    <t>Trudy Bell</t>
  </si>
  <si>
    <t>Arthur Prichep</t>
  </si>
  <si>
    <t>Vicky Freymann</t>
  </si>
  <si>
    <t>Barry Franz</t>
  </si>
  <si>
    <t>Roger Demir</t>
  </si>
  <si>
    <t>2/86 Enmore Rd,Enmore</t>
  </si>
  <si>
    <t>Caroline Jumper</t>
  </si>
  <si>
    <t>Catherine Glotzbach</t>
  </si>
  <si>
    <t>TechSavi Cordless Keyboard</t>
  </si>
  <si>
    <t>Brendan Murry</t>
  </si>
  <si>
    <t>John Murray</t>
  </si>
  <si>
    <t>Lindsay Shagiari</t>
  </si>
  <si>
    <t>5/250 Old Northern Road ,Castle Hill</t>
  </si>
  <si>
    <t>Pete Armstrong</t>
  </si>
  <si>
    <t>Becky Castell</t>
  </si>
  <si>
    <t>333-339 Enmore Rd,Marrickville</t>
  </si>
  <si>
    <t>Toby Carlisle</t>
  </si>
  <si>
    <t>6/15 Cross Street,Double Bay</t>
  </si>
  <si>
    <t>Smiths Pushpins</t>
  </si>
  <si>
    <t>Jill Stevenson</t>
  </si>
  <si>
    <t>Julia Barnett</t>
  </si>
  <si>
    <t>Nicole Hansen</t>
  </si>
  <si>
    <t>184 King Street,Newtown</t>
  </si>
  <si>
    <t>Maurice Satty</t>
  </si>
  <si>
    <t>Lena Creighton</t>
  </si>
  <si>
    <t>Ed Braxton</t>
  </si>
  <si>
    <t>Vivek Gonzalez</t>
  </si>
  <si>
    <t>Robert Barroso</t>
  </si>
  <si>
    <t>Linda Southworth</t>
  </si>
  <si>
    <t>Marc Crier</t>
  </si>
  <si>
    <t>Harry Greene</t>
  </si>
  <si>
    <t>Theone Pippenger</t>
  </si>
  <si>
    <t>Greg Guthrie</t>
  </si>
  <si>
    <t>Matthew Grinstein</t>
  </si>
  <si>
    <t>Charles Crestani</t>
  </si>
  <si>
    <t>Tim Taslimi</t>
  </si>
  <si>
    <t>Christine Sundaresam</t>
  </si>
  <si>
    <t>Apex Design Stainless Steel Bent Scissors</t>
  </si>
  <si>
    <t>Ellis Ballard</t>
  </si>
  <si>
    <t>Dave Hallsten</t>
  </si>
  <si>
    <t>Col-Erase Pencils with Erasers</t>
  </si>
  <si>
    <t>Katrina Willman</t>
  </si>
  <si>
    <t>Max Jones</t>
  </si>
  <si>
    <t>Katherine Nockton</t>
  </si>
  <si>
    <t>Jim Sink</t>
  </si>
  <si>
    <t>Clay Rozendal</t>
  </si>
  <si>
    <t>Doug Jacobs</t>
  </si>
  <si>
    <t>Jennifer Braxton</t>
  </si>
  <si>
    <t>Cari Schnelling</t>
  </si>
  <si>
    <t>Paul Knutson</t>
  </si>
  <si>
    <t>Ionia McGrath</t>
  </si>
  <si>
    <t>Claire Good</t>
  </si>
  <si>
    <t>Tom Stivers</t>
  </si>
  <si>
    <t>David Smith</t>
  </si>
  <si>
    <t>Carlos Soltero</t>
  </si>
  <si>
    <t>Doug Bickford</t>
  </si>
  <si>
    <t>Ralph Arnett</t>
  </si>
  <si>
    <t>Jeremy Pistek</t>
  </si>
  <si>
    <t>Brian Thompson</t>
  </si>
  <si>
    <t>154 Castlereagh St,Sydney</t>
  </si>
  <si>
    <t>Ann Blume</t>
  </si>
  <si>
    <t>Roy French</t>
  </si>
  <si>
    <t>Anne McFarland</t>
  </si>
  <si>
    <t>Sarah Bern</t>
  </si>
  <si>
    <t>Artisan Hole Reinforcements</t>
  </si>
  <si>
    <t>Thomas Thornton</t>
  </si>
  <si>
    <t>Nicole Brennan</t>
  </si>
  <si>
    <t>Tracy Poddar</t>
  </si>
  <si>
    <t>Anthony Garverick</t>
  </si>
  <si>
    <t>Susan Pistek</t>
  </si>
  <si>
    <t>Keith Dawkins</t>
  </si>
  <si>
    <t>Harold Pawlan</t>
  </si>
  <si>
    <t>Jonathan Howell</t>
  </si>
  <si>
    <t>Erin Creighton</t>
  </si>
  <si>
    <t>Sibella Parks</t>
  </si>
  <si>
    <t>Tom Ashbrook</t>
  </si>
  <si>
    <t>Astrea Jones</t>
  </si>
  <si>
    <t>Brad Norvell</t>
  </si>
  <si>
    <t>Valerie Mitchum</t>
  </si>
  <si>
    <t>Craig Molinari</t>
  </si>
  <si>
    <t>Bradley Nguyen</t>
  </si>
  <si>
    <t>Alto Six-Outlet Power Strip, 4 Cord Length</t>
  </si>
  <si>
    <t>Katrina Edelman</t>
  </si>
  <si>
    <t>Alejandro Grove</t>
  </si>
  <si>
    <t>155 Oxford Street,Darlinghurst</t>
  </si>
  <si>
    <t>Trudy Schmidt</t>
  </si>
  <si>
    <t>Art Ferguson</t>
  </si>
  <si>
    <t>Frank Carlisle</t>
  </si>
  <si>
    <t>Greg Tran</t>
  </si>
  <si>
    <t>Dianna Arnett</t>
  </si>
  <si>
    <t>Cindy Schnelling</t>
  </si>
  <si>
    <t>Chuck Clark</t>
  </si>
  <si>
    <t>Denny Blanton</t>
  </si>
  <si>
    <t>Guy Armstrong</t>
  </si>
  <si>
    <t>Michelle Lonsdale</t>
  </si>
  <si>
    <t>Ricardo Block</t>
  </si>
  <si>
    <t>Shui Tom</t>
  </si>
  <si>
    <t>Penelope Sewall</t>
  </si>
  <si>
    <t>96 Liverpool St,Sydney</t>
  </si>
  <si>
    <t>Muhammed MacIntyre</t>
  </si>
  <si>
    <t>Brian DeCherney</t>
  </si>
  <si>
    <t>Alan Shonely</t>
  </si>
  <si>
    <t>Patrick Ryan</t>
  </si>
  <si>
    <t>George Bell</t>
  </si>
  <si>
    <t>Lauren Leatherbury</t>
  </si>
  <si>
    <t>Michael Chen</t>
  </si>
  <si>
    <t>Shop 3/144 Waterloo Road,Greenacre</t>
  </si>
  <si>
    <t>Alan Schoenberger</t>
  </si>
  <si>
    <t>Tamara Chand</t>
  </si>
  <si>
    <t>Annie Cyprus</t>
  </si>
  <si>
    <t>Richard Bierner</t>
  </si>
  <si>
    <t>Erica Bern</t>
  </si>
  <si>
    <t>Beth Paige</t>
  </si>
  <si>
    <t>Stefania Perrino</t>
  </si>
  <si>
    <t>Arianne Irving</t>
  </si>
  <si>
    <t>Max Engle</t>
  </si>
  <si>
    <t>Michelle Huthwaite</t>
  </si>
  <si>
    <t>Randy Ferguson</t>
  </si>
  <si>
    <t>Karen Ferguson</t>
  </si>
  <si>
    <t>Ralph Kennedy</t>
  </si>
  <si>
    <t>Bryan Spruell</t>
  </si>
  <si>
    <t>Barry Gonzalez</t>
  </si>
  <si>
    <t>Barry Blumstein</t>
  </si>
  <si>
    <t>Magdelene Morse</t>
  </si>
  <si>
    <t>Frank Atkinson</t>
  </si>
  <si>
    <t>Christopher Conant</t>
  </si>
  <si>
    <t>Jack Lebron</t>
  </si>
  <si>
    <t>Toby Grace</t>
  </si>
  <si>
    <t>Lycoris Saunders</t>
  </si>
  <si>
    <t>Nora Pelletier</t>
  </si>
  <si>
    <t>5/250 Old Northern Road,Castle Hill</t>
  </si>
  <si>
    <t>Tracy Collins</t>
  </si>
  <si>
    <t>Steve Carroll</t>
  </si>
  <si>
    <t>Nona Balk</t>
  </si>
  <si>
    <t>Fred McMath</t>
  </si>
  <si>
    <t>Eleni McCrary</t>
  </si>
  <si>
    <t>Maxwell Schwartz</t>
  </si>
  <si>
    <t>3 Orwell St,Potts Point</t>
  </si>
  <si>
    <t>Larry Hughes</t>
  </si>
  <si>
    <t>Meg Tillman</t>
  </si>
  <si>
    <t>Victor Price</t>
  </si>
  <si>
    <t>Naresj Patel</t>
  </si>
  <si>
    <t>Cyra Reiten</t>
  </si>
  <si>
    <t>Ricardo Emerson</t>
  </si>
  <si>
    <t>Roy Phan</t>
  </si>
  <si>
    <t>Anthony Johnson</t>
  </si>
  <si>
    <t>Maria Bertelson</t>
  </si>
  <si>
    <t>Damala Kotsonis</t>
  </si>
  <si>
    <t>Janet Lee</t>
  </si>
  <si>
    <t>Barbara Fisher</t>
  </si>
  <si>
    <t>Eva Jacobs</t>
  </si>
  <si>
    <t>Sung Shariari</t>
  </si>
  <si>
    <t>Shahid Hopkins</t>
  </si>
  <si>
    <t>Gary Zandusky</t>
  </si>
  <si>
    <t>Tamara Manning</t>
  </si>
  <si>
    <t>Alan Hwang</t>
  </si>
  <si>
    <t>223 Barkly St,St Kilda</t>
  </si>
  <si>
    <t>Smiths Bulk Pack Metal Binder Clips</t>
  </si>
  <si>
    <t>Beth Fritzler</t>
  </si>
  <si>
    <t>Dennis Bolton</t>
  </si>
  <si>
    <t>Julie Creighton</t>
  </si>
  <si>
    <t>Dan Lawera</t>
  </si>
  <si>
    <t>Alliance Rubber Bands</t>
  </si>
  <si>
    <t>Gary McGarr</t>
  </si>
  <si>
    <t>Bart Folk</t>
  </si>
  <si>
    <t>Sue Ann Reed</t>
  </si>
  <si>
    <t>Justin MacKendrick</t>
  </si>
  <si>
    <t>Joy Bell</t>
  </si>
  <si>
    <t>Patrick ODonnell</t>
  </si>
  <si>
    <t>Noel Staavos</t>
  </si>
  <si>
    <t>Patrick Gardner</t>
  </si>
  <si>
    <t>Scot Coram</t>
  </si>
  <si>
    <t>2-4 College Street, Darlinghurst</t>
  </si>
  <si>
    <t>Don Jones</t>
  </si>
  <si>
    <t>Clay Cheatham</t>
  </si>
  <si>
    <t>Quincy Jones</t>
  </si>
  <si>
    <t>Steven Cartwright</t>
  </si>
  <si>
    <t>Robert Marley</t>
  </si>
  <si>
    <t>Shirley Schmidt</t>
  </si>
  <si>
    <t>Sandra Flanagan</t>
  </si>
  <si>
    <t>Carol Darley</t>
  </si>
  <si>
    <t>MaryBeth Skach</t>
  </si>
  <si>
    <t>Michael Kennedy</t>
  </si>
  <si>
    <t>Deanra Eno</t>
  </si>
  <si>
    <t>Nick Crebassa</t>
  </si>
  <si>
    <t>Deirdre Greer</t>
  </si>
  <si>
    <t>Alan Dominguez</t>
  </si>
  <si>
    <t>Ruben Dartt</t>
  </si>
  <si>
    <t>Hunter Glantz</t>
  </si>
  <si>
    <t>Adrian Shami</t>
  </si>
  <si>
    <t>Emily Grady</t>
  </si>
  <si>
    <t>Corey Lock</t>
  </si>
  <si>
    <t>Heather Kirkland</t>
  </si>
  <si>
    <t>Shahid Collister</t>
  </si>
  <si>
    <t>Stuart Van</t>
  </si>
  <si>
    <t>Valerie Takahito</t>
  </si>
  <si>
    <t>Shaun Weien</t>
  </si>
  <si>
    <t>Frank Price</t>
  </si>
  <si>
    <t>Rose OBrian</t>
  </si>
  <si>
    <t>Dana Kaydos</t>
  </si>
  <si>
    <t>Daniel Lacy</t>
  </si>
  <si>
    <t>Jim Karlsson</t>
  </si>
  <si>
    <t>Lela Donovan</t>
  </si>
  <si>
    <t>255 Devonshire St,Surry Hills</t>
  </si>
  <si>
    <t>Peter Buhler</t>
  </si>
  <si>
    <t>Jeremy Farry</t>
  </si>
  <si>
    <t>Christina Anderson</t>
  </si>
  <si>
    <t>John Huston</t>
  </si>
  <si>
    <t>Clay Ludtke</t>
  </si>
  <si>
    <t>Matthew Clasen</t>
  </si>
  <si>
    <t>Thea Hendricks</t>
  </si>
  <si>
    <t>Katherine Murray</t>
  </si>
  <si>
    <t>Debra Catini</t>
  </si>
  <si>
    <t>HFX 610 Color Digital Copier / Printer</t>
  </si>
  <si>
    <t>Michael Stewart</t>
  </si>
  <si>
    <t>Bruce Stewart</t>
  </si>
  <si>
    <t>Maureen Gastineau</t>
  </si>
  <si>
    <t>Michelle Arnett</t>
  </si>
  <si>
    <t>Cynthia Voltz</t>
  </si>
  <si>
    <t>Nathan Gelder</t>
  </si>
  <si>
    <t>Christine Phan</t>
  </si>
  <si>
    <t>David Flashing</t>
  </si>
  <si>
    <t>Joni Sundaresam</t>
  </si>
  <si>
    <t>Pierre Wener</t>
  </si>
  <si>
    <t>Rick Wilson</t>
  </si>
  <si>
    <t>Cassandra Brandow</t>
  </si>
  <si>
    <t>Sheri Gordon</t>
  </si>
  <si>
    <t>Bill Shonely</t>
  </si>
  <si>
    <t>Ken Black</t>
  </si>
  <si>
    <t>Luke Foster</t>
  </si>
  <si>
    <t>Ryan Crowe</t>
  </si>
  <si>
    <t>Alan Barnes</t>
  </si>
  <si>
    <t>Jonathan Doherty</t>
  </si>
  <si>
    <t>Becky Pak</t>
  </si>
  <si>
    <t>Matt Connell</t>
  </si>
  <si>
    <t>Laurel Elliston</t>
  </si>
  <si>
    <t>Jennifer Jackson</t>
  </si>
  <si>
    <t>Amy Hunt</t>
  </si>
  <si>
    <t>Theresa Coyne</t>
  </si>
  <si>
    <t>Benjamin Farhat</t>
  </si>
  <si>
    <t>Lisa Hazard</t>
  </si>
  <si>
    <t>Tracy Zic</t>
  </si>
  <si>
    <t>Stephanie Phelps</t>
  </si>
  <si>
    <t>Ann Steele</t>
  </si>
  <si>
    <t>Laurel Workman</t>
  </si>
  <si>
    <t>Ken Heidel</t>
  </si>
  <si>
    <t>Joy Daniels</t>
  </si>
  <si>
    <t>Roland Black</t>
  </si>
  <si>
    <t>Theresa Swint</t>
  </si>
  <si>
    <t>Multiple Sumifs</t>
  </si>
  <si>
    <t>total</t>
  </si>
  <si>
    <t>Produtct type</t>
  </si>
  <si>
    <t>Produtct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</si>
</sst>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[$৳-845]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0"/>
      <name val="Verdana"/>
      <family val="2"/>
    </font>
    <font>
      <sz val="11"/>
      <color theme="1"/>
      <name val="Verdana"/>
      <family val="2"/>
    </font>
    <font>
      <sz val="11"/>
      <color theme="1"/>
      <name val="Arial Rounded MT Bold"/>
      <family val="2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7" fillId="0" borderId="24" applyNumberFormat="0" applyFill="0" applyAlignment="0" applyProtection="0"/>
  </cellStyleXfs>
  <cellXfs count="104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right" vertical="center" wrapText="1"/>
    </xf>
    <xf numFmtId="14" fontId="6" fillId="4" borderId="1" xfId="0" applyNumberFormat="1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0" xfId="0" applyFill="1" applyBorder="1"/>
    <xf numFmtId="0" fontId="0" fillId="5" borderId="0" xfId="0" applyFill="1" applyBorder="1" applyAlignment="1">
      <alignment vertical="center"/>
    </xf>
    <xf numFmtId="0" fontId="0" fillId="5" borderId="0" xfId="0" applyFill="1"/>
    <xf numFmtId="49" fontId="6" fillId="4" borderId="8" xfId="0" applyNumberFormat="1" applyFont="1" applyFill="1" applyBorder="1" applyAlignment="1">
      <alignment horizontal="right" vertical="center" wrapText="1"/>
    </xf>
    <xf numFmtId="164" fontId="6" fillId="4" borderId="3" xfId="0" applyNumberFormat="1" applyFont="1" applyFill="1" applyBorder="1" applyAlignment="1">
      <alignment horizontal="left" vertical="center"/>
    </xf>
    <xf numFmtId="9" fontId="6" fillId="4" borderId="3" xfId="1" applyFont="1" applyFill="1" applyBorder="1" applyAlignment="1">
      <alignment horizontal="left" vertical="center"/>
    </xf>
    <xf numFmtId="9" fontId="3" fillId="2" borderId="3" xfId="1" applyFont="1" applyFill="1" applyBorder="1" applyAlignment="1">
      <alignment horizontal="center" vertical="center"/>
    </xf>
    <xf numFmtId="9" fontId="0" fillId="5" borderId="0" xfId="1" applyFont="1" applyFill="1"/>
    <xf numFmtId="9" fontId="6" fillId="4" borderId="8" xfId="1" applyFont="1" applyFill="1" applyBorder="1" applyAlignment="1">
      <alignment horizontal="left" vertical="center" wrapText="1"/>
    </xf>
    <xf numFmtId="18" fontId="6" fillId="4" borderId="3" xfId="0" applyNumberFormat="1" applyFont="1" applyFill="1" applyBorder="1" applyAlignment="1">
      <alignment horizontal="left" vertical="center"/>
    </xf>
    <xf numFmtId="164" fontId="0" fillId="0" borderId="6" xfId="0" applyNumberFormat="1" applyBorder="1" applyAlignment="1">
      <alignment vertical="center"/>
    </xf>
    <xf numFmtId="0" fontId="0" fillId="5" borderId="1" xfId="0" applyFill="1" applyBorder="1"/>
    <xf numFmtId="9" fontId="0" fillId="5" borderId="1" xfId="1" applyFont="1" applyFill="1" applyBorder="1"/>
    <xf numFmtId="0" fontId="4" fillId="5" borderId="8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9" borderId="0" xfId="0" applyFill="1"/>
    <xf numFmtId="0" fontId="0" fillId="10" borderId="0" xfId="0" applyFill="1"/>
    <xf numFmtId="0" fontId="0" fillId="0" borderId="1" xfId="0" applyBorder="1"/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/>
    <xf numFmtId="0" fontId="11" fillId="17" borderId="2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/>
    </xf>
    <xf numFmtId="0" fontId="12" fillId="13" borderId="1" xfId="0" applyNumberFormat="1" applyFont="1" applyFill="1" applyBorder="1"/>
    <xf numFmtId="0" fontId="12" fillId="9" borderId="1" xfId="0" applyFont="1" applyFill="1" applyBorder="1"/>
    <xf numFmtId="0" fontId="12" fillId="14" borderId="1" xfId="0" applyFont="1" applyFill="1" applyBorder="1"/>
    <xf numFmtId="0" fontId="12" fillId="11" borderId="1" xfId="0" applyFont="1" applyFill="1" applyBorder="1"/>
    <xf numFmtId="0" fontId="12" fillId="16" borderId="3" xfId="0" applyFont="1" applyFill="1" applyBorder="1"/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13" fillId="10" borderId="2" xfId="0" applyFont="1" applyFill="1" applyBorder="1"/>
    <xf numFmtId="0" fontId="13" fillId="10" borderId="1" xfId="0" applyFont="1" applyFill="1" applyBorder="1"/>
    <xf numFmtId="0" fontId="13" fillId="10" borderId="3" xfId="0" applyFont="1" applyFill="1" applyBorder="1"/>
    <xf numFmtId="9" fontId="14" fillId="16" borderId="0" xfId="0" applyNumberFormat="1" applyFont="1" applyFill="1" applyBorder="1"/>
    <xf numFmtId="9" fontId="15" fillId="8" borderId="0" xfId="0" applyNumberFormat="1" applyFont="1" applyFill="1" applyBorder="1"/>
    <xf numFmtId="9" fontId="14" fillId="12" borderId="0" xfId="0" applyNumberFormat="1" applyFont="1" applyFill="1" applyBorder="1"/>
    <xf numFmtId="0" fontId="14" fillId="0" borderId="0" xfId="0" applyFont="1" applyBorder="1"/>
    <xf numFmtId="9" fontId="14" fillId="2" borderId="0" xfId="0" applyNumberFormat="1" applyFont="1" applyFill="1" applyBorder="1"/>
    <xf numFmtId="0" fontId="9" fillId="5" borderId="0" xfId="0" applyFont="1" applyFill="1" applyBorder="1"/>
    <xf numFmtId="0" fontId="0" fillId="15" borderId="1" xfId="0" applyFill="1" applyBorder="1"/>
    <xf numFmtId="0" fontId="0" fillId="0" borderId="0" xfId="0" applyAlignment="1"/>
    <xf numFmtId="0" fontId="16" fillId="2" borderId="8" xfId="0" applyFont="1" applyFill="1" applyBorder="1" applyAlignment="1"/>
    <xf numFmtId="0" fontId="16" fillId="2" borderId="13" xfId="0" applyFont="1" applyFill="1" applyBorder="1" applyAlignment="1"/>
    <xf numFmtId="0" fontId="16" fillId="2" borderId="7" xfId="0" applyFont="1" applyFill="1" applyBorder="1" applyAlignment="1"/>
    <xf numFmtId="0" fontId="0" fillId="15" borderId="9" xfId="0" applyFill="1" applyBorder="1"/>
    <xf numFmtId="0" fontId="16" fillId="2" borderId="20" xfId="0" applyFont="1" applyFill="1" applyBorder="1" applyAlignment="1"/>
    <xf numFmtId="0" fontId="16" fillId="2" borderId="14" xfId="0" applyFont="1" applyFill="1" applyBorder="1" applyAlignment="1"/>
    <xf numFmtId="0" fontId="16" fillId="2" borderId="21" xfId="0" applyFont="1" applyFill="1" applyBorder="1" applyAlignment="1"/>
    <xf numFmtId="0" fontId="0" fillId="7" borderId="22" xfId="0" applyFont="1" applyFill="1" applyBorder="1" applyAlignment="1"/>
    <xf numFmtId="0" fontId="0" fillId="0" borderId="22" xfId="0" applyFont="1" applyBorder="1" applyAlignment="1"/>
    <xf numFmtId="0" fontId="12" fillId="4" borderId="0" xfId="0" applyFont="1" applyFill="1" applyBorder="1" applyAlignment="1">
      <alignment horizontal="left"/>
    </xf>
    <xf numFmtId="0" fontId="13" fillId="10" borderId="23" xfId="0" applyFont="1" applyFill="1" applyBorder="1"/>
    <xf numFmtId="0" fontId="13" fillId="10" borderId="0" xfId="0" applyFont="1" applyFill="1" applyBorder="1"/>
    <xf numFmtId="0" fontId="0" fillId="0" borderId="0" xfId="0" applyAlignment="1">
      <alignment horizontal="center"/>
    </xf>
    <xf numFmtId="0" fontId="10" fillId="10" borderId="17" xfId="0" applyFont="1" applyFill="1" applyBorder="1" applyAlignment="1">
      <alignment horizontal="center"/>
    </xf>
    <xf numFmtId="0" fontId="10" fillId="10" borderId="18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13" fillId="10" borderId="0" xfId="0" applyFont="1" applyFill="1" applyBorder="1" applyAlignment="1">
      <alignment horizontal="center"/>
    </xf>
    <xf numFmtId="0" fontId="0" fillId="2" borderId="0" xfId="0" applyFill="1"/>
    <xf numFmtId="0" fontId="2" fillId="0" borderId="0" xfId="0" applyFont="1"/>
    <xf numFmtId="0" fontId="17" fillId="0" borderId="24" xfId="2" applyAlignment="1"/>
    <xf numFmtId="0" fontId="16" fillId="0" borderId="0" xfId="0" applyFont="1" applyBorder="1" applyAlignment="1"/>
    <xf numFmtId="14" fontId="18" fillId="0" borderId="0" xfId="0" applyNumberFormat="1" applyFont="1" applyAlignment="1"/>
    <xf numFmtId="0" fontId="18" fillId="0" borderId="0" xfId="0" applyFont="1" applyAlignment="1"/>
    <xf numFmtId="165" fontId="18" fillId="0" borderId="0" xfId="0" applyNumberFormat="1" applyFont="1" applyAlignment="1"/>
    <xf numFmtId="0" fontId="18" fillId="0" borderId="0" xfId="0" applyNumberFormat="1" applyFont="1" applyAlignment="1"/>
    <xf numFmtId="9" fontId="18" fillId="0" borderId="0" xfId="1" applyNumberFormat="1" applyFont="1" applyAlignment="1"/>
    <xf numFmtId="165" fontId="18" fillId="0" borderId="0" xfId="1" applyNumberFormat="1" applyFont="1" applyAlignment="1"/>
    <xf numFmtId="165" fontId="0" fillId="0" borderId="0" xfId="0" applyNumberFormat="1" applyAlignment="1"/>
    <xf numFmtId="0" fontId="18" fillId="7" borderId="25" xfId="0" applyFont="1" applyFill="1" applyBorder="1" applyAlignment="1"/>
    <xf numFmtId="0" fontId="18" fillId="0" borderId="25" xfId="0" applyFont="1" applyBorder="1" applyAlignment="1"/>
    <xf numFmtId="0" fontId="18" fillId="7" borderId="22" xfId="0" applyFont="1" applyFill="1" applyBorder="1" applyAlignment="1"/>
    <xf numFmtId="0" fontId="18" fillId="0" borderId="22" xfId="0" applyFont="1" applyBorder="1" applyAlignment="1"/>
    <xf numFmtId="0" fontId="16" fillId="0" borderId="0" xfId="0" applyFont="1" applyFill="1" applyBorder="1" applyAlignment="1"/>
    <xf numFmtId="0" fontId="16" fillId="18" borderId="0" xfId="0" applyFont="1" applyFill="1" applyBorder="1" applyAlignment="1"/>
  </cellXfs>
  <cellStyles count="3">
    <cellStyle name="Heading 1" xfId="2" builtinId="16"/>
    <cellStyle name="Normal" xfId="0" builtinId="0"/>
    <cellStyle name="Percent" xfId="1" builtinId="5"/>
  </cellStyles>
  <dxfs count="30">
    <dxf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all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Salary Average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Sheet &amp;  formula'!$C$22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'Salary Sheet &amp;  formula'!$D$22:$J$22</c:f>
              <c:numCache>
                <c:formatCode>General</c:formatCode>
                <c:ptCount val="7"/>
                <c:pt idx="0">
                  <c:v>10000</c:v>
                </c:pt>
                <c:pt idx="1">
                  <c:v>5000</c:v>
                </c:pt>
                <c:pt idx="2">
                  <c:v>700.00000000000011</c:v>
                </c:pt>
                <c:pt idx="3">
                  <c:v>1500</c:v>
                </c:pt>
                <c:pt idx="4">
                  <c:v>7200</c:v>
                </c:pt>
                <c:pt idx="5">
                  <c:v>1000</c:v>
                </c:pt>
                <c:pt idx="6">
                  <c:v>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2-49D3-8D78-09AA051138A8}"/>
            </c:ext>
          </c:extLst>
        </c:ser>
        <c:ser>
          <c:idx val="1"/>
          <c:order val="1"/>
          <c:tx>
            <c:strRef>
              <c:f>'Salary Sheet &amp;  formula'!$C$23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'Salary Sheet &amp;  formula'!$D$23:$J$23</c:f>
              <c:numCache>
                <c:formatCode>General</c:formatCode>
                <c:ptCount val="7"/>
                <c:pt idx="0">
                  <c:v>80000</c:v>
                </c:pt>
                <c:pt idx="1">
                  <c:v>40000</c:v>
                </c:pt>
                <c:pt idx="2">
                  <c:v>5600.0000000000009</c:v>
                </c:pt>
                <c:pt idx="3">
                  <c:v>12000</c:v>
                </c:pt>
                <c:pt idx="4">
                  <c:v>57600</c:v>
                </c:pt>
                <c:pt idx="5">
                  <c:v>8000</c:v>
                </c:pt>
                <c:pt idx="6">
                  <c:v>49600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2-49D3-8D78-09AA051138A8}"/>
            </c:ext>
          </c:extLst>
        </c:ser>
        <c:ser>
          <c:idx val="2"/>
          <c:order val="2"/>
          <c:tx>
            <c:strRef>
              <c:f>'Salary Sheet &amp;  formula'!$C$24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'Salary Sheet &amp;  formula'!$D$24:$J$24</c:f>
              <c:numCache>
                <c:formatCode>General</c:formatCode>
                <c:ptCount val="7"/>
                <c:pt idx="0">
                  <c:v>42666.666666666664</c:v>
                </c:pt>
                <c:pt idx="1">
                  <c:v>21333.333333333332</c:v>
                </c:pt>
                <c:pt idx="2">
                  <c:v>2986.6666666666665</c:v>
                </c:pt>
                <c:pt idx="3">
                  <c:v>6400</c:v>
                </c:pt>
                <c:pt idx="4">
                  <c:v>30720</c:v>
                </c:pt>
                <c:pt idx="5">
                  <c:v>4266.666666666667</c:v>
                </c:pt>
                <c:pt idx="6">
                  <c:v>26453.333333333332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A2-49D3-8D78-09AA051138A8}"/>
            </c:ext>
          </c:extLst>
        </c:ser>
        <c:ser>
          <c:idx val="3"/>
          <c:order val="3"/>
          <c:tx>
            <c:strRef>
              <c:f>'Salary Sheet &amp;  formula'!$C$25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'Salary Sheet &amp;  formula'!$D$25:$J$25</c:f>
              <c:numCache>
                <c:formatCode>General</c:formatCode>
                <c:ptCount val="7"/>
                <c:pt idx="0">
                  <c:v>640000</c:v>
                </c:pt>
                <c:pt idx="1">
                  <c:v>320000</c:v>
                </c:pt>
                <c:pt idx="2">
                  <c:v>44800</c:v>
                </c:pt>
                <c:pt idx="3">
                  <c:v>96000</c:v>
                </c:pt>
                <c:pt idx="4">
                  <c:v>460800</c:v>
                </c:pt>
                <c:pt idx="5">
                  <c:v>64000</c:v>
                </c:pt>
                <c:pt idx="6">
                  <c:v>396800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A2-49D3-8D78-09AA051138A8}"/>
            </c:ext>
          </c:extLst>
        </c:ser>
        <c:ser>
          <c:idx val="4"/>
          <c:order val="4"/>
          <c:tx>
            <c:strRef>
              <c:f>'Salary Sheet &amp;  formula'!$C$26</c:f>
              <c:strCache>
                <c:ptCount val="1"/>
                <c:pt idx="0">
                  <c:v>Counta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'Salary Sheet &amp;  formula'!$D$26:$J$26</c:f>
              <c:numCache>
                <c:formatCode>General</c:formatCode>
                <c:ptCount val="7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A2-49D3-8D78-09AA051138A8}"/>
            </c:ext>
          </c:extLst>
        </c:ser>
        <c:ser>
          <c:idx val="5"/>
          <c:order val="5"/>
          <c:tx>
            <c:strRef>
              <c:f>'Salary Sheet &amp;  formula'!$C$27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'Salary Sheet &amp;  formula'!$D$27:$J$27</c:f>
              <c:numCache>
                <c:formatCode>General</c:formatCode>
                <c:ptCount val="7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A2-49D3-8D78-09AA051138A8}"/>
            </c:ext>
          </c:extLst>
        </c:ser>
        <c:ser>
          <c:idx val="6"/>
          <c:order val="6"/>
          <c:tx>
            <c:strRef>
              <c:f>'Salary Sheet &amp;  formula'!$C$28</c:f>
              <c:strCache>
                <c:ptCount val="1"/>
                <c:pt idx="0">
                  <c:v>blank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>
                        <a:lumMod val="80000"/>
                        <a:lumOff val="2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'Salary Sheet &amp;  formula'!$D$28:$J$28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A2-49D3-8D78-09AA051138A8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</c:dLbls>
        <c:gapWidth val="150"/>
        <c:axId val="395750944"/>
        <c:axId val="395748320"/>
      </c:barChart>
      <c:catAx>
        <c:axId val="39575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748320"/>
        <c:crosses val="autoZero"/>
        <c:auto val="1"/>
        <c:lblAlgn val="ctr"/>
        <c:lblOffset val="100"/>
        <c:noMultiLvlLbl val="0"/>
      </c:catAx>
      <c:valAx>
        <c:axId val="39574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75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[23 jan 2023.xlsx]chart!PivotTable2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chart!$A$4:$A$19</c:f>
              <c:strCache>
                <c:ptCount val="15"/>
                <c:pt idx="0">
                  <c:v>Hasan</c:v>
                </c:pt>
                <c:pt idx="1">
                  <c:v>Md Najmul Islam</c:v>
                </c:pt>
                <c:pt idx="2">
                  <c:v>MD. AMINUL HOQUE</c:v>
                </c:pt>
                <c:pt idx="3">
                  <c:v>MD. Nasif Shahriar</c:v>
                </c:pt>
                <c:pt idx="4">
                  <c:v>Md. Rabiul Islam</c:v>
                </c:pt>
                <c:pt idx="5">
                  <c:v>MD. RAFIQUL ISLAM RAZU</c:v>
                </c:pt>
                <c:pt idx="6">
                  <c:v>MD. RAJU AHMED</c:v>
                </c:pt>
                <c:pt idx="7">
                  <c:v>MD. SANAULLA</c:v>
                </c:pt>
                <c:pt idx="8">
                  <c:v>Md. Towhidul Alam</c:v>
                </c:pt>
                <c:pt idx="9">
                  <c:v>Md.Kutub Uddin</c:v>
                </c:pt>
                <c:pt idx="10">
                  <c:v>Mostofa Aminur Rashid</c:v>
                </c:pt>
                <c:pt idx="11">
                  <c:v>NAYAMUL LSLAM</c:v>
                </c:pt>
                <c:pt idx="12">
                  <c:v>Nusrat Jahan</c:v>
                </c:pt>
                <c:pt idx="13">
                  <c:v>Shabab Ahmed</c:v>
                </c:pt>
                <c:pt idx="14">
                  <c:v>Shamima Nasrin</c:v>
                </c:pt>
              </c:strCache>
            </c:strRef>
          </c:cat>
          <c:val>
            <c:numRef>
              <c:f>chart!$B$4:$B$19</c:f>
              <c:numCache>
                <c:formatCode>General</c:formatCode>
                <c:ptCount val="15"/>
                <c:pt idx="0">
                  <c:v>60000</c:v>
                </c:pt>
                <c:pt idx="1">
                  <c:v>30000</c:v>
                </c:pt>
                <c:pt idx="2">
                  <c:v>80000</c:v>
                </c:pt>
                <c:pt idx="3">
                  <c:v>50000</c:v>
                </c:pt>
                <c:pt idx="4">
                  <c:v>20000</c:v>
                </c:pt>
                <c:pt idx="5">
                  <c:v>40000</c:v>
                </c:pt>
                <c:pt idx="6">
                  <c:v>20000</c:v>
                </c:pt>
                <c:pt idx="7">
                  <c:v>10000</c:v>
                </c:pt>
                <c:pt idx="8">
                  <c:v>70000</c:v>
                </c:pt>
                <c:pt idx="9">
                  <c:v>50000</c:v>
                </c:pt>
                <c:pt idx="10">
                  <c:v>40000</c:v>
                </c:pt>
                <c:pt idx="11">
                  <c:v>70000</c:v>
                </c:pt>
                <c:pt idx="12">
                  <c:v>30000</c:v>
                </c:pt>
                <c:pt idx="13">
                  <c:v>10000</c:v>
                </c:pt>
                <c:pt idx="1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F-4024-A725-BA977091E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509440"/>
        <c:axId val="436510424"/>
      </c:barChart>
      <c:catAx>
        <c:axId val="43650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510424"/>
        <c:crosses val="autoZero"/>
        <c:auto val="1"/>
        <c:lblAlgn val="ctr"/>
        <c:lblOffset val="100"/>
        <c:noMultiLvlLbl val="0"/>
      </c:catAx>
      <c:valAx>
        <c:axId val="43651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50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4</xdr:row>
      <xdr:rowOff>0</xdr:rowOff>
    </xdr:from>
    <xdr:to>
      <xdr:col>0</xdr:col>
      <xdr:colOff>2276476</xdr:colOff>
      <xdr:row>13</xdr:row>
      <xdr:rowOff>14286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2</xdr:row>
      <xdr:rowOff>0</xdr:rowOff>
    </xdr:from>
    <xdr:to>
      <xdr:col>16</xdr:col>
      <xdr:colOff>0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EE-CCSL-59\Class%20Practise\Ms%20Excel\W01-V02-Select%20and%20Navig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Orders"/>
      <sheetName val="Sales 2016"/>
      <sheetName val="Account Managers"/>
      <sheetName val="if"/>
    </sheetNames>
    <sheetDataSet>
      <sheetData sheetId="0"/>
      <sheetData sheetId="1"/>
      <sheetData sheetId="2">
        <row r="5">
          <cell r="A5" t="str">
            <v>5071-1</v>
          </cell>
          <cell r="B5">
            <v>41399</v>
          </cell>
          <cell r="C5" t="str">
            <v>Christopher Schild</v>
          </cell>
          <cell r="D5" t="str">
            <v>4A Lyons St,Strathfield</v>
          </cell>
          <cell r="E5" t="str">
            <v>Sydney</v>
          </cell>
          <cell r="F5" t="str">
            <v>NSW</v>
          </cell>
          <cell r="G5" t="str">
            <v>Corporate</v>
          </cell>
          <cell r="H5" t="str">
            <v>Tina Carlton</v>
          </cell>
          <cell r="I5" t="str">
            <v>Medium</v>
          </cell>
          <cell r="J5" t="str">
            <v>Laser Neon Mac Format Diskettes, 10/Pack</v>
          </cell>
          <cell r="K5" t="str">
            <v>Technology</v>
          </cell>
          <cell r="L5" t="str">
            <v>Small Pack</v>
          </cell>
          <cell r="M5" t="str">
            <v>Regular Air</v>
          </cell>
          <cell r="N5">
            <v>41400</v>
          </cell>
          <cell r="O5">
            <v>1.87</v>
          </cell>
          <cell r="P5">
            <v>8.1199999999999992</v>
          </cell>
          <cell r="Q5">
            <v>41</v>
          </cell>
          <cell r="R5">
            <v>332.91999999999996</v>
          </cell>
          <cell r="S5">
            <v>0.06</v>
          </cell>
          <cell r="T5">
            <v>19.975199999999997</v>
          </cell>
          <cell r="U5">
            <v>332.85999999999996</v>
          </cell>
          <cell r="V5">
            <v>2.83</v>
          </cell>
          <cell r="W5">
            <v>335.68999999999994</v>
          </cell>
        </row>
        <row r="6">
          <cell r="A6" t="str">
            <v>5071-2</v>
          </cell>
          <cell r="B6">
            <v>41399</v>
          </cell>
          <cell r="C6" t="str">
            <v>Christopher Schild</v>
          </cell>
          <cell r="D6" t="str">
            <v>4A Lyons St,Strathfield</v>
          </cell>
          <cell r="E6" t="str">
            <v>Sydney</v>
          </cell>
          <cell r="F6" t="str">
            <v>NSW</v>
          </cell>
          <cell r="G6" t="str">
            <v>Corporate</v>
          </cell>
          <cell r="H6" t="str">
            <v>Tina Carlton</v>
          </cell>
          <cell r="I6" t="str">
            <v>Medium</v>
          </cell>
          <cell r="J6" t="str">
            <v>Steady Liquid Accent Highlighters</v>
          </cell>
          <cell r="K6" t="str">
            <v>Office Supplies</v>
          </cell>
          <cell r="L6" t="str">
            <v>Wrap Bag</v>
          </cell>
          <cell r="M6" t="str">
            <v>Regular Air</v>
          </cell>
          <cell r="N6">
            <v>41400</v>
          </cell>
          <cell r="O6">
            <v>3.47</v>
          </cell>
          <cell r="P6">
            <v>6.68</v>
          </cell>
          <cell r="Q6">
            <v>2</v>
          </cell>
          <cell r="R6">
            <v>13.36</v>
          </cell>
          <cell r="S6">
            <v>0.01</v>
          </cell>
          <cell r="T6">
            <v>0.1336</v>
          </cell>
          <cell r="U6">
            <v>13.35</v>
          </cell>
          <cell r="V6">
            <v>1.5</v>
          </cell>
          <cell r="W6">
            <v>14.85</v>
          </cell>
        </row>
        <row r="7">
          <cell r="A7" t="str">
            <v>5145-1</v>
          </cell>
          <cell r="B7">
            <v>41454</v>
          </cell>
          <cell r="C7" t="str">
            <v>Cyma Kinney</v>
          </cell>
          <cell r="D7" t="str">
            <v>Sydney Fish Market, Bank Street, Sydney</v>
          </cell>
          <cell r="E7" t="str">
            <v>Sydney</v>
          </cell>
          <cell r="F7" t="str">
            <v>NSW</v>
          </cell>
          <cell r="G7" t="str">
            <v>Small Business</v>
          </cell>
          <cell r="H7" t="str">
            <v>Phoebe Gour</v>
          </cell>
          <cell r="I7" t="str">
            <v>Low</v>
          </cell>
          <cell r="J7" t="str">
            <v>Alto Memo Cubes</v>
          </cell>
          <cell r="K7" t="str">
            <v>Office Supplies</v>
          </cell>
          <cell r="L7" t="str">
            <v>Wrap Bag</v>
          </cell>
          <cell r="M7" t="str">
            <v>Express Air</v>
          </cell>
          <cell r="N7">
            <v>41459</v>
          </cell>
          <cell r="O7">
            <v>3.32</v>
          </cell>
          <cell r="P7">
            <v>5.18</v>
          </cell>
          <cell r="Q7">
            <v>1</v>
          </cell>
          <cell r="R7">
            <v>5.18</v>
          </cell>
          <cell r="S7">
            <v>0.02</v>
          </cell>
          <cell r="T7">
            <v>0.1036</v>
          </cell>
          <cell r="U7">
            <v>5.16</v>
          </cell>
          <cell r="V7">
            <v>2.04</v>
          </cell>
          <cell r="W7">
            <v>7.2</v>
          </cell>
        </row>
        <row r="8">
          <cell r="A8" t="str">
            <v>5145-2</v>
          </cell>
          <cell r="B8">
            <v>41454</v>
          </cell>
          <cell r="C8" t="str">
            <v>Cyma Kinney</v>
          </cell>
          <cell r="D8" t="str">
            <v>Sydney Fish Market, Bank Street, Sydney</v>
          </cell>
          <cell r="E8" t="str">
            <v>Sydney</v>
          </cell>
          <cell r="F8" t="str">
            <v>NSW</v>
          </cell>
          <cell r="G8" t="str">
            <v>Small Business</v>
          </cell>
          <cell r="H8" t="str">
            <v>Phoebe Gour</v>
          </cell>
          <cell r="I8" t="str">
            <v>Low</v>
          </cell>
          <cell r="J8" t="str">
            <v>Artisan Hi-Liter Smear-Safe Highlighters</v>
          </cell>
          <cell r="K8" t="str">
            <v>Office Supplies</v>
          </cell>
          <cell r="L8" t="str">
            <v>Wrap Bag</v>
          </cell>
          <cell r="M8" t="str">
            <v>Regular Air</v>
          </cell>
          <cell r="N8">
            <v>41458</v>
          </cell>
          <cell r="O8">
            <v>2.98</v>
          </cell>
          <cell r="P8">
            <v>5.84</v>
          </cell>
          <cell r="Q8">
            <v>4</v>
          </cell>
          <cell r="R8">
            <v>23.36</v>
          </cell>
          <cell r="S8">
            <v>0.09</v>
          </cell>
          <cell r="T8">
            <v>2.1023999999999998</v>
          </cell>
          <cell r="U8">
            <v>23.27</v>
          </cell>
          <cell r="V8">
            <v>0.83</v>
          </cell>
          <cell r="W8">
            <v>24.099999999999998</v>
          </cell>
        </row>
        <row r="9">
          <cell r="A9" t="str">
            <v>5160-1</v>
          </cell>
          <cell r="B9">
            <v>41460</v>
          </cell>
          <cell r="C9" t="str">
            <v>Berenike Kampe</v>
          </cell>
          <cell r="D9" t="str">
            <v>180 High Street,Windsor</v>
          </cell>
          <cell r="E9" t="str">
            <v>Melbourne</v>
          </cell>
          <cell r="F9" t="str">
            <v>VIC</v>
          </cell>
          <cell r="G9" t="str">
            <v>Corporate</v>
          </cell>
          <cell r="H9" t="str">
            <v>Connor Betts</v>
          </cell>
          <cell r="I9" t="str">
            <v>Not Specified</v>
          </cell>
          <cell r="J9" t="str">
            <v>1726 Digital Answering Machine</v>
          </cell>
          <cell r="K9" t="str">
            <v>Technology</v>
          </cell>
          <cell r="L9" t="str">
            <v>Medium Box</v>
          </cell>
          <cell r="M9" t="str">
            <v>Regular Air</v>
          </cell>
          <cell r="N9">
            <v>41462</v>
          </cell>
          <cell r="O9">
            <v>8.82</v>
          </cell>
          <cell r="P9">
            <v>20.99</v>
          </cell>
          <cell r="Q9">
            <v>41</v>
          </cell>
          <cell r="R9">
            <v>860.58999999999992</v>
          </cell>
          <cell r="S9">
            <v>0.02</v>
          </cell>
          <cell r="T9">
            <v>17.2118</v>
          </cell>
          <cell r="U9">
            <v>860.56999999999994</v>
          </cell>
          <cell r="V9">
            <v>4.8099999999999996</v>
          </cell>
          <cell r="W9">
            <v>865.37999999999988</v>
          </cell>
        </row>
        <row r="10">
          <cell r="A10" t="str">
            <v>5160-2</v>
          </cell>
          <cell r="B10">
            <v>41460</v>
          </cell>
          <cell r="C10" t="str">
            <v>Berenike Kampe</v>
          </cell>
          <cell r="D10" t="str">
            <v>180 High Street,Windsor</v>
          </cell>
          <cell r="E10" t="str">
            <v>Melbourne</v>
          </cell>
          <cell r="F10" t="str">
            <v>VIC</v>
          </cell>
          <cell r="G10" t="str">
            <v>Corporate</v>
          </cell>
          <cell r="H10" t="str">
            <v>Connor Betts</v>
          </cell>
          <cell r="I10" t="str">
            <v>Not Specified</v>
          </cell>
          <cell r="J10" t="str">
            <v>3Max Organizer Strips</v>
          </cell>
          <cell r="K10" t="str">
            <v>Office Supplies</v>
          </cell>
          <cell r="L10" t="str">
            <v>Small Box</v>
          </cell>
          <cell r="M10" t="str">
            <v>Express Air</v>
          </cell>
          <cell r="N10">
            <v>41462</v>
          </cell>
          <cell r="O10">
            <v>3.4</v>
          </cell>
          <cell r="P10">
            <v>5.4</v>
          </cell>
          <cell r="Q10">
            <v>26</v>
          </cell>
          <cell r="R10">
            <v>140.4</v>
          </cell>
          <cell r="S10">
            <v>0.05</v>
          </cell>
          <cell r="T10">
            <v>7.0200000000000005</v>
          </cell>
          <cell r="U10">
            <v>140.35</v>
          </cell>
          <cell r="V10">
            <v>7.78</v>
          </cell>
          <cell r="W10">
            <v>148.13</v>
          </cell>
        </row>
        <row r="11">
          <cell r="A11" t="str">
            <v>5168-1</v>
          </cell>
          <cell r="B11">
            <v>41470</v>
          </cell>
          <cell r="C11" t="str">
            <v>Christy Brittain</v>
          </cell>
          <cell r="D11" t="str">
            <v>Shop 1, 186-190 Church Street,Parramatta;46a Macleay Street,Potts Point</v>
          </cell>
          <cell r="E11" t="str">
            <v>Sydney</v>
          </cell>
          <cell r="F11" t="str">
            <v>NSW</v>
          </cell>
          <cell r="G11" t="str">
            <v>Consumer</v>
          </cell>
          <cell r="H11" t="str">
            <v>Mihael Khan</v>
          </cell>
          <cell r="I11" t="str">
            <v>Critical</v>
          </cell>
          <cell r="J11" t="str">
            <v>Smiths Pen Style Liquid Stix; Assorted (yellow, pink, green, blue, orange), 5/Pack</v>
          </cell>
          <cell r="K11" t="str">
            <v>Office Supplies</v>
          </cell>
          <cell r="L11" t="str">
            <v>Wrap Bag</v>
          </cell>
          <cell r="M11" t="str">
            <v>Regular Air</v>
          </cell>
          <cell r="N11">
            <v>41471</v>
          </cell>
          <cell r="O11">
            <v>3.88</v>
          </cell>
          <cell r="P11">
            <v>6.47</v>
          </cell>
          <cell r="Q11">
            <v>20</v>
          </cell>
          <cell r="R11">
            <v>129.4</v>
          </cell>
          <cell r="S11">
            <v>0.02</v>
          </cell>
          <cell r="T11">
            <v>2.5880000000000001</v>
          </cell>
          <cell r="U11">
            <v>129.38</v>
          </cell>
          <cell r="V11">
            <v>1.22</v>
          </cell>
          <cell r="W11">
            <v>130.6</v>
          </cell>
        </row>
        <row r="12">
          <cell r="A12" t="str">
            <v>5168-2</v>
          </cell>
          <cell r="B12">
            <v>41470</v>
          </cell>
          <cell r="C12" t="str">
            <v>Christy Brittain</v>
          </cell>
          <cell r="D12" t="str">
            <v>Shop 1, 186-190 Church Street,Parramatta;46a Macleay Street,Potts Point</v>
          </cell>
          <cell r="E12" t="str">
            <v>Sydney</v>
          </cell>
          <cell r="F12" t="str">
            <v>NSW</v>
          </cell>
          <cell r="G12" t="str">
            <v>Consumer</v>
          </cell>
          <cell r="H12" t="str">
            <v>Mihael Khan</v>
          </cell>
          <cell r="I12" t="str">
            <v>Critical</v>
          </cell>
          <cell r="J12" t="str">
            <v>Steady Liquid Accent Tank-Style Highlighters</v>
          </cell>
          <cell r="K12" t="str">
            <v>Office Supplies</v>
          </cell>
          <cell r="L12" t="str">
            <v>Wrap Bag</v>
          </cell>
          <cell r="M12" t="str">
            <v>Regular Air</v>
          </cell>
          <cell r="N12">
            <v>41472</v>
          </cell>
          <cell r="O12">
            <v>1.31</v>
          </cell>
          <cell r="P12">
            <v>2.84</v>
          </cell>
          <cell r="Q12">
            <v>39</v>
          </cell>
          <cell r="R12">
            <v>110.75999999999999</v>
          </cell>
          <cell r="S12">
            <v>7.0000000000000007E-2</v>
          </cell>
          <cell r="T12">
            <v>7.7532000000000005</v>
          </cell>
          <cell r="U12">
            <v>110.69</v>
          </cell>
          <cell r="V12">
            <v>0.93</v>
          </cell>
          <cell r="W12">
            <v>111.62</v>
          </cell>
        </row>
        <row r="13">
          <cell r="A13" t="str">
            <v>5195-1</v>
          </cell>
          <cell r="B13">
            <v>41486</v>
          </cell>
          <cell r="C13" t="str">
            <v>Alex Grayson</v>
          </cell>
          <cell r="D13" t="str">
            <v>644 George St,Sydney</v>
          </cell>
          <cell r="E13" t="str">
            <v>Sydney</v>
          </cell>
          <cell r="F13" t="str">
            <v>NSW</v>
          </cell>
          <cell r="G13" t="str">
            <v>Consumer</v>
          </cell>
          <cell r="H13" t="str">
            <v>Radhya Staples</v>
          </cell>
          <cell r="I13" t="str">
            <v>Medium</v>
          </cell>
          <cell r="J13" t="str">
            <v>Artisan Durable Binders</v>
          </cell>
          <cell r="K13" t="str">
            <v>Office Supplies</v>
          </cell>
          <cell r="L13" t="str">
            <v>Small Box</v>
          </cell>
          <cell r="M13" t="str">
            <v>Regular Air</v>
          </cell>
          <cell r="N13">
            <v>41487</v>
          </cell>
          <cell r="O13">
            <v>1.84</v>
          </cell>
          <cell r="P13">
            <v>2.88</v>
          </cell>
          <cell r="Q13">
            <v>11</v>
          </cell>
          <cell r="R13">
            <v>31.68</v>
          </cell>
          <cell r="S13">
            <v>0.09</v>
          </cell>
          <cell r="T13">
            <v>2.8512</v>
          </cell>
          <cell r="U13">
            <v>31.59</v>
          </cell>
          <cell r="V13">
            <v>1.49</v>
          </cell>
          <cell r="W13">
            <v>33.08</v>
          </cell>
        </row>
        <row r="14">
          <cell r="A14" t="str">
            <v>5195-2</v>
          </cell>
          <cell r="B14">
            <v>41486</v>
          </cell>
          <cell r="C14" t="str">
            <v>Alex Grayson</v>
          </cell>
          <cell r="D14" t="str">
            <v>644 George St,Sydney</v>
          </cell>
          <cell r="E14" t="str">
            <v>Sydney</v>
          </cell>
          <cell r="F14" t="str">
            <v>NSW</v>
          </cell>
          <cell r="G14" t="str">
            <v>Consumer</v>
          </cell>
          <cell r="H14" t="str">
            <v>Radhya Staples</v>
          </cell>
          <cell r="I14" t="str">
            <v>Medium</v>
          </cell>
          <cell r="J14" t="str">
            <v>Beekin 105-Key Black Keyboard</v>
          </cell>
          <cell r="K14" t="str">
            <v>Technology</v>
          </cell>
          <cell r="L14" t="str">
            <v>Small Box</v>
          </cell>
          <cell r="M14" t="str">
            <v>Regular Air</v>
          </cell>
          <cell r="N14">
            <v>41488</v>
          </cell>
          <cell r="O14">
            <v>6.39</v>
          </cell>
          <cell r="P14">
            <v>19.98</v>
          </cell>
          <cell r="Q14">
            <v>43</v>
          </cell>
          <cell r="R14">
            <v>859.14</v>
          </cell>
          <cell r="S14">
            <v>0.1</v>
          </cell>
          <cell r="T14">
            <v>85.914000000000001</v>
          </cell>
          <cell r="U14">
            <v>859.04</v>
          </cell>
          <cell r="V14">
            <v>4</v>
          </cell>
          <cell r="W14">
            <v>863.04</v>
          </cell>
        </row>
        <row r="15">
          <cell r="A15" t="str">
            <v>5268-1</v>
          </cell>
          <cell r="B15">
            <v>41558</v>
          </cell>
          <cell r="C15" t="str">
            <v>Stephanie Ulpright</v>
          </cell>
          <cell r="D15" t="str">
            <v>541 Church St ,Richmond</v>
          </cell>
          <cell r="E15" t="str">
            <v>Melbourne</v>
          </cell>
          <cell r="F15" t="str">
            <v>VIC</v>
          </cell>
          <cell r="G15" t="str">
            <v>Consumer</v>
          </cell>
          <cell r="H15" t="str">
            <v>Yvette Biti</v>
          </cell>
          <cell r="I15" t="str">
            <v>Not Specified</v>
          </cell>
          <cell r="J15" t="str">
            <v>Artisan Binder Labels</v>
          </cell>
          <cell r="K15" t="str">
            <v>Office Supplies</v>
          </cell>
          <cell r="L15" t="str">
            <v>Small Box</v>
          </cell>
          <cell r="M15" t="str">
            <v>Regular Air</v>
          </cell>
          <cell r="N15">
            <v>41560</v>
          </cell>
          <cell r="O15">
            <v>2.4500000000000002</v>
          </cell>
          <cell r="P15">
            <v>3.89</v>
          </cell>
          <cell r="Q15">
            <v>2</v>
          </cell>
          <cell r="R15">
            <v>7.78</v>
          </cell>
          <cell r="S15">
            <v>7.0000000000000007E-2</v>
          </cell>
          <cell r="T15">
            <v>0.54460000000000008</v>
          </cell>
          <cell r="U15">
            <v>7.71</v>
          </cell>
          <cell r="V15">
            <v>7.01</v>
          </cell>
          <cell r="W15">
            <v>14.719999999999999</v>
          </cell>
        </row>
        <row r="16">
          <cell r="A16" t="str">
            <v>5268-2</v>
          </cell>
          <cell r="B16">
            <v>41558</v>
          </cell>
          <cell r="C16" t="str">
            <v>Stephanie Ulpright</v>
          </cell>
          <cell r="D16" t="str">
            <v>541 Church St ,Richmond</v>
          </cell>
          <cell r="E16" t="str">
            <v>Melbourne</v>
          </cell>
          <cell r="F16" t="str">
            <v>VIC</v>
          </cell>
          <cell r="G16" t="str">
            <v>Consumer</v>
          </cell>
          <cell r="H16" t="str">
            <v>Yvette Biti</v>
          </cell>
          <cell r="I16" t="str">
            <v>Not Specified</v>
          </cell>
          <cell r="J16" t="str">
            <v>Economy Rollaway Files</v>
          </cell>
          <cell r="K16" t="str">
            <v>Office Supplies</v>
          </cell>
          <cell r="L16" t="str">
            <v>Small Box</v>
          </cell>
          <cell r="M16" t="str">
            <v>Regular Air</v>
          </cell>
          <cell r="N16">
            <v>41559</v>
          </cell>
          <cell r="O16">
            <v>67.73</v>
          </cell>
          <cell r="P16">
            <v>165.2</v>
          </cell>
          <cell r="Q16">
            <v>6</v>
          </cell>
          <cell r="R16">
            <v>991.19999999999993</v>
          </cell>
          <cell r="S16">
            <v>0.09</v>
          </cell>
          <cell r="T16">
            <v>89.207999999999984</v>
          </cell>
          <cell r="U16">
            <v>991.1099999999999</v>
          </cell>
          <cell r="V16">
            <v>19.989999999999998</v>
          </cell>
          <cell r="W16">
            <v>1011.0999999999999</v>
          </cell>
        </row>
        <row r="17">
          <cell r="A17" t="str">
            <v>5274-1</v>
          </cell>
          <cell r="B17">
            <v>41560</v>
          </cell>
          <cell r="C17" t="str">
            <v>Sylvia Foulston</v>
          </cell>
          <cell r="D17" t="str">
            <v>152 Bunnerong Road,Eastgardens</v>
          </cell>
          <cell r="E17" t="str">
            <v>Sydney</v>
          </cell>
          <cell r="F17" t="str">
            <v>NSW</v>
          </cell>
          <cell r="G17" t="str">
            <v>Corporate</v>
          </cell>
          <cell r="H17" t="str">
            <v>Tina Carlton</v>
          </cell>
          <cell r="I17" t="str">
            <v>Critical</v>
          </cell>
          <cell r="J17" t="str">
            <v>300 Series Non-Flip</v>
          </cell>
          <cell r="K17" t="str">
            <v>Technology</v>
          </cell>
          <cell r="L17" t="str">
            <v>Small Box</v>
          </cell>
          <cell r="M17" t="str">
            <v>Regular Air</v>
          </cell>
          <cell r="N17">
            <v>41561</v>
          </cell>
          <cell r="O17">
            <v>62.4</v>
          </cell>
          <cell r="P17">
            <v>155.99</v>
          </cell>
          <cell r="Q17">
            <v>48</v>
          </cell>
          <cell r="R17">
            <v>7487.52</v>
          </cell>
          <cell r="S17">
            <v>0.04</v>
          </cell>
          <cell r="T17">
            <v>299.50080000000003</v>
          </cell>
          <cell r="U17">
            <v>7487.4800000000005</v>
          </cell>
          <cell r="V17">
            <v>8.08</v>
          </cell>
          <cell r="W17">
            <v>7495.56</v>
          </cell>
        </row>
        <row r="18">
          <cell r="A18" t="str">
            <v>5274-2</v>
          </cell>
          <cell r="B18">
            <v>41560</v>
          </cell>
          <cell r="C18" t="str">
            <v>Sylvia Foulston</v>
          </cell>
          <cell r="D18" t="str">
            <v>152 Bunnerong Road,Eastgardens</v>
          </cell>
          <cell r="E18" t="str">
            <v>Sydney</v>
          </cell>
          <cell r="F18" t="str">
            <v>NSW</v>
          </cell>
          <cell r="G18" t="str">
            <v>Corporate</v>
          </cell>
          <cell r="H18" t="str">
            <v>Tina Carlton</v>
          </cell>
          <cell r="I18" t="str">
            <v>Critical</v>
          </cell>
          <cell r="J18" t="str">
            <v>3Max Organizer Strips</v>
          </cell>
          <cell r="K18" t="str">
            <v>Office Supplies</v>
          </cell>
          <cell r="L18" t="str">
            <v>Small Box</v>
          </cell>
          <cell r="M18" t="str">
            <v>Regular Air</v>
          </cell>
          <cell r="N18">
            <v>41560</v>
          </cell>
          <cell r="O18">
            <v>3.4</v>
          </cell>
          <cell r="P18">
            <v>5.4</v>
          </cell>
          <cell r="Q18">
            <v>8</v>
          </cell>
          <cell r="R18">
            <v>43.2</v>
          </cell>
          <cell r="S18">
            <v>0.08</v>
          </cell>
          <cell r="T18">
            <v>3.4560000000000004</v>
          </cell>
          <cell r="U18">
            <v>43.120000000000005</v>
          </cell>
          <cell r="V18">
            <v>7.78</v>
          </cell>
          <cell r="W18">
            <v>50.900000000000006</v>
          </cell>
        </row>
        <row r="19">
          <cell r="A19" t="str">
            <v>5335-1</v>
          </cell>
          <cell r="B19">
            <v>41619</v>
          </cell>
          <cell r="C19" t="str">
            <v>Patrick Jones</v>
          </cell>
          <cell r="D19" t="str">
            <v>221 Barkly St,St Kilda</v>
          </cell>
          <cell r="E19" t="str">
            <v>Melbourne</v>
          </cell>
          <cell r="F19" t="str">
            <v>VIC</v>
          </cell>
          <cell r="G19" t="str">
            <v>Home Office</v>
          </cell>
          <cell r="H19" t="str">
            <v>Yvette Biti</v>
          </cell>
          <cell r="I19" t="str">
            <v>Low</v>
          </cell>
          <cell r="J19" t="str">
            <v>Artisan Printable Repositionable Plastic Tabs</v>
          </cell>
          <cell r="K19" t="str">
            <v>Office Supplies</v>
          </cell>
          <cell r="L19" t="str">
            <v>Small Box</v>
          </cell>
          <cell r="M19" t="str">
            <v>Regular Air</v>
          </cell>
          <cell r="N19">
            <v>41621</v>
          </cell>
          <cell r="O19">
            <v>5.33</v>
          </cell>
          <cell r="P19">
            <v>8.6</v>
          </cell>
          <cell r="Q19">
            <v>6</v>
          </cell>
          <cell r="R19">
            <v>51.599999999999994</v>
          </cell>
          <cell r="S19">
            <v>0.04</v>
          </cell>
          <cell r="T19">
            <v>2.0639999999999996</v>
          </cell>
          <cell r="U19">
            <v>51.559999999999995</v>
          </cell>
          <cell r="V19">
            <v>6.19</v>
          </cell>
          <cell r="W19">
            <v>57.749999999999993</v>
          </cell>
        </row>
        <row r="20">
          <cell r="A20" t="str">
            <v>5335-2</v>
          </cell>
          <cell r="B20">
            <v>41619</v>
          </cell>
          <cell r="C20" t="str">
            <v>Patrick Jones</v>
          </cell>
          <cell r="D20" t="str">
            <v>221 Barkly St,St Kilda</v>
          </cell>
          <cell r="E20" t="str">
            <v>Melbourne</v>
          </cell>
          <cell r="F20" t="str">
            <v>VIC</v>
          </cell>
          <cell r="G20" t="str">
            <v>Home Office</v>
          </cell>
          <cell r="H20" t="str">
            <v>Yvette Biti</v>
          </cell>
          <cell r="I20" t="str">
            <v>Low</v>
          </cell>
          <cell r="J20" t="str">
            <v>OIC Colored Binder Clips, Assorted Sizes</v>
          </cell>
          <cell r="K20" t="str">
            <v>Office Supplies</v>
          </cell>
          <cell r="L20" t="str">
            <v>Wrap Bag</v>
          </cell>
          <cell r="M20" t="str">
            <v>Regular Air</v>
          </cell>
          <cell r="N20">
            <v>41623</v>
          </cell>
          <cell r="O20">
            <v>2.29</v>
          </cell>
          <cell r="P20">
            <v>3.58</v>
          </cell>
          <cell r="Q20">
            <v>30</v>
          </cell>
          <cell r="R20">
            <v>107.4</v>
          </cell>
          <cell r="S20">
            <v>0.01</v>
          </cell>
          <cell r="T20">
            <v>1.0740000000000001</v>
          </cell>
          <cell r="U20">
            <v>107.39</v>
          </cell>
          <cell r="V20">
            <v>1.63</v>
          </cell>
          <cell r="W20">
            <v>109.02</v>
          </cell>
        </row>
        <row r="21">
          <cell r="A21" t="str">
            <v>5358-1</v>
          </cell>
          <cell r="B21">
            <v>41643</v>
          </cell>
          <cell r="C21" t="str">
            <v>Saphhira Shifley</v>
          </cell>
          <cell r="D21" t="str">
            <v>Westfield Miranda, 600 Kingsway,Miranda</v>
          </cell>
          <cell r="E21" t="str">
            <v>Sydney</v>
          </cell>
          <cell r="F21" t="str">
            <v>NSW</v>
          </cell>
          <cell r="G21" t="str">
            <v>Consumer</v>
          </cell>
          <cell r="H21" t="str">
            <v>Preston Senome</v>
          </cell>
          <cell r="I21" t="str">
            <v>Critical</v>
          </cell>
          <cell r="J21" t="str">
            <v>Artisan Heavy-Duty EZD  Binder With Locking Rings</v>
          </cell>
          <cell r="K21" t="str">
            <v>Office Supplies</v>
          </cell>
          <cell r="L21" t="str">
            <v>Small Box</v>
          </cell>
          <cell r="M21" t="str">
            <v>Regular Air</v>
          </cell>
          <cell r="N21">
            <v>41645</v>
          </cell>
          <cell r="O21">
            <v>3.52</v>
          </cell>
          <cell r="P21">
            <v>5.58</v>
          </cell>
          <cell r="Q21">
            <v>49</v>
          </cell>
          <cell r="R21">
            <v>273.42</v>
          </cell>
          <cell r="S21">
            <v>0.02</v>
          </cell>
          <cell r="T21">
            <v>5.4684000000000008</v>
          </cell>
          <cell r="U21">
            <v>273.40000000000003</v>
          </cell>
          <cell r="V21">
            <v>2.99</v>
          </cell>
          <cell r="W21">
            <v>276.39000000000004</v>
          </cell>
        </row>
        <row r="22">
          <cell r="A22" t="str">
            <v>5358-2</v>
          </cell>
          <cell r="B22">
            <v>41643</v>
          </cell>
          <cell r="C22" t="str">
            <v>Saphhira Shifley</v>
          </cell>
          <cell r="D22" t="str">
            <v>Westfield Miranda, 600 Kingsway,Miranda</v>
          </cell>
          <cell r="E22" t="str">
            <v>Sydney</v>
          </cell>
          <cell r="F22" t="str">
            <v>NSW</v>
          </cell>
          <cell r="G22" t="str">
            <v>Consumer</v>
          </cell>
          <cell r="H22" t="str">
            <v>Preston Senome</v>
          </cell>
          <cell r="I22" t="str">
            <v>Critical</v>
          </cell>
          <cell r="J22" t="str">
            <v>Desktop 3-Pocket Hot File</v>
          </cell>
          <cell r="K22" t="str">
            <v>Office Supplies</v>
          </cell>
          <cell r="L22" t="str">
            <v>Small Box</v>
          </cell>
          <cell r="M22" t="str">
            <v>Regular Air</v>
          </cell>
          <cell r="N22">
            <v>41644</v>
          </cell>
          <cell r="O22">
            <v>22.18</v>
          </cell>
          <cell r="P22">
            <v>54.1</v>
          </cell>
          <cell r="Q22">
            <v>42</v>
          </cell>
          <cell r="R22">
            <v>2272.2000000000003</v>
          </cell>
          <cell r="S22">
            <v>0.02</v>
          </cell>
          <cell r="T22">
            <v>45.44400000000001</v>
          </cell>
          <cell r="U22">
            <v>2272.1800000000003</v>
          </cell>
          <cell r="V22">
            <v>19.989999999999998</v>
          </cell>
          <cell r="W22">
            <v>2292.17</v>
          </cell>
        </row>
        <row r="23">
          <cell r="A23" t="str">
            <v>5367-1</v>
          </cell>
          <cell r="B23">
            <v>41649</v>
          </cell>
          <cell r="C23" t="str">
            <v>Anne Pryor</v>
          </cell>
          <cell r="D23" t="str">
            <v>1-2/299 Sussex St,Sydney</v>
          </cell>
          <cell r="E23" t="str">
            <v>Sydney</v>
          </cell>
          <cell r="F23" t="str">
            <v>NSW</v>
          </cell>
          <cell r="G23" t="str">
            <v>Home Office</v>
          </cell>
          <cell r="H23" t="str">
            <v>Aanya Zhang</v>
          </cell>
          <cell r="I23" t="str">
            <v>Medium</v>
          </cell>
          <cell r="J23" t="str">
            <v>3Max Organizer Strips</v>
          </cell>
          <cell r="K23" t="str">
            <v>Office Supplies</v>
          </cell>
          <cell r="L23" t="str">
            <v>Small Box</v>
          </cell>
          <cell r="M23" t="str">
            <v>Express Air</v>
          </cell>
          <cell r="N23">
            <v>41649</v>
          </cell>
          <cell r="O23">
            <v>3.4</v>
          </cell>
          <cell r="P23">
            <v>5.4</v>
          </cell>
          <cell r="Q23">
            <v>9</v>
          </cell>
          <cell r="R23">
            <v>48.6</v>
          </cell>
          <cell r="S23">
            <v>0.09</v>
          </cell>
          <cell r="T23">
            <v>4.3739999999999997</v>
          </cell>
          <cell r="U23">
            <v>48.51</v>
          </cell>
          <cell r="V23">
            <v>7.78</v>
          </cell>
          <cell r="W23">
            <v>56.29</v>
          </cell>
        </row>
        <row r="24">
          <cell r="A24" t="str">
            <v>5367-2</v>
          </cell>
          <cell r="B24">
            <v>41649</v>
          </cell>
          <cell r="C24" t="str">
            <v>Anne Pryor</v>
          </cell>
          <cell r="D24" t="str">
            <v>1-2/299 Sussex St,Sydney</v>
          </cell>
          <cell r="E24" t="str">
            <v>Sydney</v>
          </cell>
          <cell r="F24" t="str">
            <v>NSW</v>
          </cell>
          <cell r="G24" t="str">
            <v>Home Office</v>
          </cell>
          <cell r="H24" t="str">
            <v>Aanya Zhang</v>
          </cell>
          <cell r="I24" t="str">
            <v>Medium</v>
          </cell>
          <cell r="J24" t="str">
            <v>Office Shears by Apex</v>
          </cell>
          <cell r="K24" t="str">
            <v>Office Supplies</v>
          </cell>
          <cell r="L24" t="str">
            <v>Small Pack</v>
          </cell>
          <cell r="M24" t="str">
            <v>Regular Air</v>
          </cell>
          <cell r="N24">
            <v>41650</v>
          </cell>
          <cell r="O24">
            <v>0.94</v>
          </cell>
          <cell r="P24">
            <v>2.08</v>
          </cell>
          <cell r="Q24">
            <v>43</v>
          </cell>
          <cell r="R24">
            <v>89.44</v>
          </cell>
          <cell r="S24">
            <v>0.05</v>
          </cell>
          <cell r="T24">
            <v>4.4720000000000004</v>
          </cell>
          <cell r="U24">
            <v>89.39</v>
          </cell>
          <cell r="V24">
            <v>2.56</v>
          </cell>
          <cell r="W24">
            <v>91.95</v>
          </cell>
        </row>
        <row r="25">
          <cell r="A25" t="str">
            <v>5402-1</v>
          </cell>
          <cell r="B25">
            <v>41677</v>
          </cell>
          <cell r="C25" t="str">
            <v>Logan Haushalter</v>
          </cell>
          <cell r="D25" t="str">
            <v>222 Barkly St,St Kilda</v>
          </cell>
          <cell r="E25" t="str">
            <v>Melbourne</v>
          </cell>
          <cell r="F25" t="str">
            <v>VIC</v>
          </cell>
          <cell r="G25" t="str">
            <v>Corporate</v>
          </cell>
          <cell r="H25" t="str">
            <v>Yvette Biti</v>
          </cell>
          <cell r="I25" t="str">
            <v>Low</v>
          </cell>
          <cell r="J25" t="str">
            <v>HFX LaserJet 3310 Copier</v>
          </cell>
          <cell r="K25" t="str">
            <v>Technology</v>
          </cell>
          <cell r="L25" t="str">
            <v>Large Box</v>
          </cell>
          <cell r="M25" t="str">
            <v>Regular Air</v>
          </cell>
          <cell r="N25">
            <v>41686</v>
          </cell>
          <cell r="O25">
            <v>377.99</v>
          </cell>
          <cell r="P25">
            <v>599.99</v>
          </cell>
          <cell r="Q25">
            <v>48</v>
          </cell>
          <cell r="R25">
            <v>28799.52</v>
          </cell>
          <cell r="S25">
            <v>0.08</v>
          </cell>
          <cell r="T25">
            <v>2303.9616000000001</v>
          </cell>
          <cell r="U25">
            <v>28799.439999999999</v>
          </cell>
          <cell r="V25">
            <v>24.49</v>
          </cell>
          <cell r="W25">
            <v>28823.93</v>
          </cell>
        </row>
        <row r="26">
          <cell r="A26" t="str">
            <v>5402-2</v>
          </cell>
          <cell r="B26">
            <v>41677</v>
          </cell>
          <cell r="C26" t="str">
            <v>Logan Haushalter</v>
          </cell>
          <cell r="D26" t="str">
            <v>222 Barkly St,St Kilda</v>
          </cell>
          <cell r="E26" t="str">
            <v>Melbourne</v>
          </cell>
          <cell r="F26" t="str">
            <v>VIC</v>
          </cell>
          <cell r="G26" t="str">
            <v>Corporate</v>
          </cell>
          <cell r="H26" t="str">
            <v>Yvette Biti</v>
          </cell>
          <cell r="I26" t="str">
            <v>Low</v>
          </cell>
          <cell r="J26" t="str">
            <v>Unpadded Memo Slips</v>
          </cell>
          <cell r="K26" t="str">
            <v>Office Supplies</v>
          </cell>
          <cell r="L26" t="str">
            <v>Wrap Bag</v>
          </cell>
          <cell r="M26" t="str">
            <v>Express Air</v>
          </cell>
          <cell r="N26">
            <v>41682</v>
          </cell>
          <cell r="O26">
            <v>2.59</v>
          </cell>
          <cell r="P26">
            <v>3.98</v>
          </cell>
          <cell r="Q26">
            <v>11</v>
          </cell>
          <cell r="R26">
            <v>43.78</v>
          </cell>
          <cell r="S26">
            <v>0.1</v>
          </cell>
          <cell r="T26">
            <v>4.3780000000000001</v>
          </cell>
          <cell r="U26">
            <v>43.68</v>
          </cell>
          <cell r="V26">
            <v>2.97</v>
          </cell>
          <cell r="W26">
            <v>46.65</v>
          </cell>
        </row>
        <row r="27">
          <cell r="A27" t="str">
            <v>5479-1</v>
          </cell>
          <cell r="B27">
            <v>41765</v>
          </cell>
          <cell r="C27" t="str">
            <v>Tracy Blumstein</v>
          </cell>
          <cell r="D27" t="str">
            <v>Hoyts Entertainment Quarter 122 Lang Road,Moore Park</v>
          </cell>
          <cell r="E27" t="str">
            <v>Sydney</v>
          </cell>
          <cell r="F27" t="str">
            <v>NSW</v>
          </cell>
          <cell r="G27" t="str">
            <v>Home Office</v>
          </cell>
          <cell r="H27" t="str">
            <v>Tina Carlton</v>
          </cell>
          <cell r="I27" t="str">
            <v>Not Specified</v>
          </cell>
          <cell r="J27" t="str">
            <v>Artisan Poly Binder Pockets</v>
          </cell>
          <cell r="K27" t="str">
            <v>Office Supplies</v>
          </cell>
          <cell r="L27" t="str">
            <v>Small Box</v>
          </cell>
          <cell r="M27" t="str">
            <v>Regular Air</v>
          </cell>
          <cell r="N27">
            <v>41767</v>
          </cell>
          <cell r="O27">
            <v>2.2599999999999998</v>
          </cell>
          <cell r="P27">
            <v>3.58</v>
          </cell>
          <cell r="Q27">
            <v>25</v>
          </cell>
          <cell r="R27">
            <v>89.5</v>
          </cell>
          <cell r="S27">
            <v>0</v>
          </cell>
          <cell r="T27">
            <v>0</v>
          </cell>
          <cell r="U27">
            <v>89.5</v>
          </cell>
          <cell r="V27">
            <v>5.47</v>
          </cell>
          <cell r="W27">
            <v>94.97</v>
          </cell>
        </row>
        <row r="28">
          <cell r="A28" t="str">
            <v>5479-2</v>
          </cell>
          <cell r="B28">
            <v>41765</v>
          </cell>
          <cell r="C28" t="str">
            <v>Tracy Blumstein</v>
          </cell>
          <cell r="D28" t="str">
            <v>Hoyts Entertainment Quarter 122 Lang Road,Moore Park</v>
          </cell>
          <cell r="E28" t="str">
            <v>Sydney</v>
          </cell>
          <cell r="F28" t="str">
            <v>NSW</v>
          </cell>
          <cell r="G28" t="str">
            <v>Home Office</v>
          </cell>
          <cell r="H28" t="str">
            <v>Tina Carlton</v>
          </cell>
          <cell r="I28" t="str">
            <v>Not Specified</v>
          </cell>
          <cell r="J28" t="str">
            <v>Assorted Color Push Pins</v>
          </cell>
          <cell r="K28" t="str">
            <v>Office Supplies</v>
          </cell>
          <cell r="L28" t="str">
            <v>Wrap Bag</v>
          </cell>
          <cell r="M28" t="str">
            <v>Regular Air</v>
          </cell>
          <cell r="N28">
            <v>41767</v>
          </cell>
          <cell r="O28">
            <v>0.87</v>
          </cell>
          <cell r="P28">
            <v>1.81</v>
          </cell>
          <cell r="Q28">
            <v>45</v>
          </cell>
          <cell r="R28">
            <v>81.45</v>
          </cell>
          <cell r="S28">
            <v>0.08</v>
          </cell>
          <cell r="T28">
            <v>6.516</v>
          </cell>
          <cell r="U28">
            <v>81.37</v>
          </cell>
          <cell r="V28">
            <v>0.75</v>
          </cell>
          <cell r="W28">
            <v>82.12</v>
          </cell>
        </row>
        <row r="29">
          <cell r="A29" t="str">
            <v>5539-1</v>
          </cell>
          <cell r="B29">
            <v>41819</v>
          </cell>
          <cell r="C29" t="str">
            <v>Daniel Byrd</v>
          </cell>
          <cell r="D29" t="str">
            <v>127 Liverpool St,Sydney</v>
          </cell>
          <cell r="E29" t="str">
            <v>Sydney</v>
          </cell>
          <cell r="F29" t="str">
            <v>NSW</v>
          </cell>
          <cell r="G29" t="str">
            <v>Home Office</v>
          </cell>
          <cell r="H29" t="str">
            <v>Samantha Chairs</v>
          </cell>
          <cell r="I29" t="str">
            <v>Not Specified</v>
          </cell>
          <cell r="J29" t="str">
            <v>Angle-D Binders with Locking Rings, Label Holders</v>
          </cell>
          <cell r="K29" t="str">
            <v>Office Supplies</v>
          </cell>
          <cell r="L29" t="str">
            <v>Small Box</v>
          </cell>
          <cell r="M29" t="str">
            <v>Regular Air</v>
          </cell>
          <cell r="N29">
            <v>41820</v>
          </cell>
          <cell r="O29">
            <v>4.53</v>
          </cell>
          <cell r="P29">
            <v>7.3</v>
          </cell>
          <cell r="Q29">
            <v>50</v>
          </cell>
          <cell r="R29">
            <v>365</v>
          </cell>
          <cell r="S29">
            <v>0.02</v>
          </cell>
          <cell r="T29">
            <v>7.3</v>
          </cell>
          <cell r="U29">
            <v>364.98</v>
          </cell>
          <cell r="V29">
            <v>7.72</v>
          </cell>
          <cell r="W29">
            <v>372.70000000000005</v>
          </cell>
        </row>
        <row r="30">
          <cell r="A30" t="str">
            <v>5539-2</v>
          </cell>
          <cell r="B30">
            <v>41819</v>
          </cell>
          <cell r="C30" t="str">
            <v>Daniel Byrd</v>
          </cell>
          <cell r="D30" t="str">
            <v>127 Liverpool St,Sydney</v>
          </cell>
          <cell r="E30" t="str">
            <v>Sydney</v>
          </cell>
          <cell r="F30" t="str">
            <v>NSW</v>
          </cell>
          <cell r="G30" t="str">
            <v>Home Office</v>
          </cell>
          <cell r="H30" t="str">
            <v>Samantha Chairs</v>
          </cell>
          <cell r="I30" t="str">
            <v>Not Specified</v>
          </cell>
          <cell r="J30" t="str">
            <v>Smiths Paper Clips</v>
          </cell>
          <cell r="K30" t="str">
            <v>Office Supplies</v>
          </cell>
          <cell r="L30" t="str">
            <v>Wrap Bag</v>
          </cell>
          <cell r="M30" t="str">
            <v>Regular Air</v>
          </cell>
          <cell r="N30">
            <v>41820</v>
          </cell>
          <cell r="O30">
            <v>1.53</v>
          </cell>
          <cell r="P30">
            <v>2.4700000000000002</v>
          </cell>
          <cell r="Q30">
            <v>43</v>
          </cell>
          <cell r="R30">
            <v>106.21000000000001</v>
          </cell>
          <cell r="S30">
            <v>0.02</v>
          </cell>
          <cell r="T30">
            <v>2.1242000000000001</v>
          </cell>
          <cell r="U30">
            <v>106.19000000000001</v>
          </cell>
          <cell r="V30">
            <v>1.02</v>
          </cell>
          <cell r="W30">
            <v>107.21000000000001</v>
          </cell>
        </row>
        <row r="31">
          <cell r="A31" t="str">
            <v>5558-1</v>
          </cell>
          <cell r="B31">
            <v>41838</v>
          </cell>
          <cell r="C31" t="str">
            <v>Julia Dunbar</v>
          </cell>
          <cell r="D31" t="str">
            <v>Qantas Domestic Terminal,Mascot</v>
          </cell>
          <cell r="E31" t="str">
            <v>Sydney</v>
          </cell>
          <cell r="F31" t="str">
            <v>NSW</v>
          </cell>
          <cell r="G31" t="str">
            <v>Consumer</v>
          </cell>
          <cell r="H31" t="str">
            <v>Phoebe Gour</v>
          </cell>
          <cell r="I31" t="str">
            <v>Low</v>
          </cell>
          <cell r="J31" t="str">
            <v>Colored Push Pins</v>
          </cell>
          <cell r="K31" t="str">
            <v>Office Supplies</v>
          </cell>
          <cell r="L31" t="str">
            <v>Wrap Bag</v>
          </cell>
          <cell r="M31" t="str">
            <v>Regular Air</v>
          </cell>
          <cell r="N31">
            <v>41840</v>
          </cell>
          <cell r="O31">
            <v>0.92</v>
          </cell>
          <cell r="P31">
            <v>1.81</v>
          </cell>
          <cell r="Q31">
            <v>8</v>
          </cell>
          <cell r="R31">
            <v>14.48</v>
          </cell>
          <cell r="S31">
            <v>0.05</v>
          </cell>
          <cell r="T31">
            <v>0.72400000000000009</v>
          </cell>
          <cell r="U31">
            <v>14.43</v>
          </cell>
          <cell r="V31">
            <v>1.56</v>
          </cell>
          <cell r="W31">
            <v>15.99</v>
          </cell>
        </row>
        <row r="32">
          <cell r="A32" t="str">
            <v>5558-2</v>
          </cell>
          <cell r="B32">
            <v>41838</v>
          </cell>
          <cell r="C32" t="str">
            <v>Julia Dunbar</v>
          </cell>
          <cell r="D32" t="str">
            <v>Qantas Domestic Terminal,Mascot</v>
          </cell>
          <cell r="E32" t="str">
            <v>Sydney</v>
          </cell>
          <cell r="F32" t="str">
            <v>NSW</v>
          </cell>
          <cell r="G32" t="str">
            <v>Consumer</v>
          </cell>
          <cell r="H32" t="str">
            <v>Phoebe Gour</v>
          </cell>
          <cell r="I32" t="str">
            <v>Low</v>
          </cell>
          <cell r="J32" t="str">
            <v>Steady Colorific Eraseable Coloring Pencils, 12 Count</v>
          </cell>
          <cell r="K32" t="str">
            <v>Office Supplies</v>
          </cell>
          <cell r="L32" t="str">
            <v>Wrap Bag</v>
          </cell>
          <cell r="M32" t="str">
            <v>Regular Air</v>
          </cell>
          <cell r="N32">
            <v>41845</v>
          </cell>
          <cell r="O32">
            <v>1.9</v>
          </cell>
          <cell r="P32">
            <v>3.28</v>
          </cell>
          <cell r="Q32">
            <v>41</v>
          </cell>
          <cell r="R32">
            <v>134.47999999999999</v>
          </cell>
          <cell r="S32">
            <v>0.05</v>
          </cell>
          <cell r="T32">
            <v>6.7240000000000002</v>
          </cell>
          <cell r="U32">
            <v>134.42999999999998</v>
          </cell>
          <cell r="V32">
            <v>1.95</v>
          </cell>
          <cell r="W32">
            <v>136.37999999999997</v>
          </cell>
        </row>
        <row r="33">
          <cell r="A33" t="str">
            <v>5566-1</v>
          </cell>
          <cell r="B33">
            <v>41846</v>
          </cell>
          <cell r="C33" t="str">
            <v>Victoria Wilson</v>
          </cell>
          <cell r="D33" t="str">
            <v>1/160 Anzac Parade,Kensington</v>
          </cell>
          <cell r="E33" t="str">
            <v>Sydney</v>
          </cell>
          <cell r="F33" t="str">
            <v>NSW</v>
          </cell>
          <cell r="G33" t="str">
            <v>Home Office</v>
          </cell>
          <cell r="H33" t="str">
            <v>Natasha Song</v>
          </cell>
          <cell r="I33" t="str">
            <v>Low</v>
          </cell>
          <cell r="J33" t="str">
            <v>HFX LaserJet 3310 Copier</v>
          </cell>
          <cell r="K33" t="str">
            <v>Technology</v>
          </cell>
          <cell r="L33" t="str">
            <v>Large Box</v>
          </cell>
          <cell r="M33" t="str">
            <v>Regular Air</v>
          </cell>
          <cell r="N33">
            <v>41855</v>
          </cell>
          <cell r="O33">
            <v>377.99</v>
          </cell>
          <cell r="P33">
            <v>599.99</v>
          </cell>
          <cell r="Q33">
            <v>25</v>
          </cell>
          <cell r="R33">
            <v>14999.75</v>
          </cell>
          <cell r="S33">
            <v>7.0000000000000007E-2</v>
          </cell>
          <cell r="T33">
            <v>1049.9825000000001</v>
          </cell>
          <cell r="U33">
            <v>14999.68</v>
          </cell>
          <cell r="V33">
            <v>24.49</v>
          </cell>
          <cell r="W33">
            <v>15024.17</v>
          </cell>
        </row>
        <row r="34">
          <cell r="A34" t="str">
            <v>5566-2</v>
          </cell>
          <cell r="B34">
            <v>41846</v>
          </cell>
          <cell r="C34" t="str">
            <v>Victoria Wilson</v>
          </cell>
          <cell r="D34" t="str">
            <v>1/160 Anzac Parade,Kensington</v>
          </cell>
          <cell r="E34" t="str">
            <v>Sydney</v>
          </cell>
          <cell r="F34" t="str">
            <v>NSW</v>
          </cell>
          <cell r="G34" t="str">
            <v>Home Office</v>
          </cell>
          <cell r="H34" t="str">
            <v>Natasha Song</v>
          </cell>
          <cell r="I34" t="str">
            <v>Low</v>
          </cell>
          <cell r="J34" t="str">
            <v>Smiths Metal Binder Clips</v>
          </cell>
          <cell r="K34" t="str">
            <v>Office Supplies</v>
          </cell>
          <cell r="L34" t="str">
            <v>Wrap Bag</v>
          </cell>
          <cell r="M34" t="str">
            <v>Regular Air</v>
          </cell>
          <cell r="N34">
            <v>41853</v>
          </cell>
          <cell r="O34">
            <v>1.6</v>
          </cell>
          <cell r="P34">
            <v>2.62</v>
          </cell>
          <cell r="Q34">
            <v>10</v>
          </cell>
          <cell r="R34">
            <v>26.200000000000003</v>
          </cell>
          <cell r="S34">
            <v>0.08</v>
          </cell>
          <cell r="T34">
            <v>2.0960000000000001</v>
          </cell>
          <cell r="U34">
            <v>26.120000000000005</v>
          </cell>
          <cell r="V34">
            <v>0.8</v>
          </cell>
          <cell r="W34">
            <v>26.920000000000005</v>
          </cell>
        </row>
        <row r="35">
          <cell r="A35" t="str">
            <v>5599-1</v>
          </cell>
          <cell r="B35">
            <v>41879</v>
          </cell>
          <cell r="C35" t="str">
            <v>Ruben Ausman</v>
          </cell>
          <cell r="D35" t="str">
            <v>Crown Complex,Southbank</v>
          </cell>
          <cell r="E35" t="str">
            <v>Melbourne</v>
          </cell>
          <cell r="F35" t="str">
            <v>VIC</v>
          </cell>
          <cell r="G35" t="str">
            <v>Corporate</v>
          </cell>
          <cell r="H35" t="str">
            <v>Yvette Biti</v>
          </cell>
          <cell r="I35" t="str">
            <v>High</v>
          </cell>
          <cell r="J35" t="str">
            <v>Cando PC940 Copier</v>
          </cell>
          <cell r="K35" t="str">
            <v>Technology</v>
          </cell>
          <cell r="L35" t="str">
            <v>Jumbo Drum</v>
          </cell>
          <cell r="M35" t="str">
            <v>Delivery Truck</v>
          </cell>
          <cell r="N35">
            <v>41879</v>
          </cell>
          <cell r="O35">
            <v>278.99</v>
          </cell>
          <cell r="P35">
            <v>449.99</v>
          </cell>
          <cell r="Q35">
            <v>15</v>
          </cell>
          <cell r="R35">
            <v>6749.85</v>
          </cell>
          <cell r="S35">
            <v>0.04</v>
          </cell>
          <cell r="T35">
            <v>269.99400000000003</v>
          </cell>
          <cell r="U35">
            <v>6749.81</v>
          </cell>
          <cell r="V35">
            <v>49</v>
          </cell>
          <cell r="W35">
            <v>6798.81</v>
          </cell>
        </row>
        <row r="36">
          <cell r="A36" t="str">
            <v>5599-2</v>
          </cell>
          <cell r="B36">
            <v>41879</v>
          </cell>
          <cell r="C36" t="str">
            <v>Ruben Ausman</v>
          </cell>
          <cell r="D36" t="str">
            <v>Crown Complex,Southbank</v>
          </cell>
          <cell r="E36" t="str">
            <v>Melbourne</v>
          </cell>
          <cell r="F36" t="str">
            <v>VIC</v>
          </cell>
          <cell r="G36" t="str">
            <v>Corporate</v>
          </cell>
          <cell r="H36" t="str">
            <v>Yvette Biti</v>
          </cell>
          <cell r="I36" t="str">
            <v>High</v>
          </cell>
          <cell r="J36" t="str">
            <v>EcoTones Memo Sheets</v>
          </cell>
          <cell r="K36" t="str">
            <v>Office Supplies</v>
          </cell>
          <cell r="L36" t="str">
            <v>Wrap Bag</v>
          </cell>
          <cell r="M36" t="str">
            <v>Regular Air</v>
          </cell>
          <cell r="N36">
            <v>41880</v>
          </cell>
          <cell r="O36">
            <v>2.52</v>
          </cell>
          <cell r="P36">
            <v>4</v>
          </cell>
          <cell r="Q36">
            <v>14</v>
          </cell>
          <cell r="R36">
            <v>56</v>
          </cell>
          <cell r="S36">
            <v>0.06</v>
          </cell>
          <cell r="T36">
            <v>3.36</v>
          </cell>
          <cell r="U36">
            <v>55.94</v>
          </cell>
          <cell r="V36">
            <v>1.3</v>
          </cell>
          <cell r="W36">
            <v>57.239999999999995</v>
          </cell>
        </row>
        <row r="37">
          <cell r="A37" t="str">
            <v>5609-1</v>
          </cell>
          <cell r="B37">
            <v>41889</v>
          </cell>
          <cell r="C37" t="str">
            <v>Eugene Moren</v>
          </cell>
          <cell r="D37" t="str">
            <v>85-113 Dunning Ave,Rosebery</v>
          </cell>
          <cell r="E37" t="str">
            <v>Sydney</v>
          </cell>
          <cell r="F37" t="str">
            <v>NSW</v>
          </cell>
          <cell r="G37" t="str">
            <v>Home Office</v>
          </cell>
          <cell r="H37" t="str">
            <v>Mihael Khan</v>
          </cell>
          <cell r="I37" t="str">
            <v>Not Specified</v>
          </cell>
          <cell r="J37" t="str">
            <v>Smiths General Use 3-Ring Binders</v>
          </cell>
          <cell r="K37" t="str">
            <v>Office Supplies</v>
          </cell>
          <cell r="L37" t="str">
            <v>Small Box</v>
          </cell>
          <cell r="M37" t="str">
            <v>Regular Air</v>
          </cell>
          <cell r="N37">
            <v>41889</v>
          </cell>
          <cell r="O37">
            <v>1.18</v>
          </cell>
          <cell r="P37">
            <v>1.88</v>
          </cell>
          <cell r="Q37">
            <v>47</v>
          </cell>
          <cell r="R37">
            <v>88.36</v>
          </cell>
          <cell r="S37">
            <v>0.06</v>
          </cell>
          <cell r="T37">
            <v>5.3015999999999996</v>
          </cell>
          <cell r="U37">
            <v>88.3</v>
          </cell>
          <cell r="V37">
            <v>1.49</v>
          </cell>
          <cell r="W37">
            <v>89.789999999999992</v>
          </cell>
        </row>
        <row r="38">
          <cell r="A38" t="str">
            <v>5609-2</v>
          </cell>
          <cell r="B38">
            <v>41889</v>
          </cell>
          <cell r="C38" t="str">
            <v>Eugene Moren</v>
          </cell>
          <cell r="D38" t="str">
            <v>85-113 Dunning Ave,Rosebery</v>
          </cell>
          <cell r="E38" t="str">
            <v>Sydney</v>
          </cell>
          <cell r="F38" t="str">
            <v>NSW</v>
          </cell>
          <cell r="G38" t="str">
            <v>Home Office</v>
          </cell>
          <cell r="H38" t="str">
            <v>Mihael Khan</v>
          </cell>
          <cell r="I38" t="str">
            <v>Not Specified</v>
          </cell>
          <cell r="J38" t="str">
            <v>Steady Liquid Accent Tank-Style Highlighters</v>
          </cell>
          <cell r="K38" t="str">
            <v>Office Supplies</v>
          </cell>
          <cell r="L38" t="str">
            <v>Wrap Bag</v>
          </cell>
          <cell r="M38" t="str">
            <v>Regular Air</v>
          </cell>
          <cell r="N38">
            <v>41891</v>
          </cell>
          <cell r="O38">
            <v>1.31</v>
          </cell>
          <cell r="P38">
            <v>2.84</v>
          </cell>
          <cell r="Q38">
            <v>39</v>
          </cell>
          <cell r="R38">
            <v>110.75999999999999</v>
          </cell>
          <cell r="S38">
            <v>0.08</v>
          </cell>
          <cell r="T38">
            <v>8.8607999999999993</v>
          </cell>
          <cell r="U38">
            <v>110.67999999999999</v>
          </cell>
          <cell r="V38">
            <v>0.93</v>
          </cell>
          <cell r="W38">
            <v>111.61</v>
          </cell>
        </row>
        <row r="39">
          <cell r="A39" t="str">
            <v>5621-1</v>
          </cell>
          <cell r="B39">
            <v>41903</v>
          </cell>
          <cell r="C39" t="str">
            <v>George Ashbrook</v>
          </cell>
          <cell r="D39" t="str">
            <v>506 Swan Street,Richmond</v>
          </cell>
          <cell r="E39" t="str">
            <v>Melbourne</v>
          </cell>
          <cell r="F39" t="str">
            <v>VIC</v>
          </cell>
          <cell r="G39" t="str">
            <v>Consumer</v>
          </cell>
          <cell r="H39" t="str">
            <v>Connor Betts</v>
          </cell>
          <cell r="I39" t="str">
            <v>Medium</v>
          </cell>
          <cell r="J39" t="str">
            <v>600 Series Non-Flip</v>
          </cell>
          <cell r="K39" t="str">
            <v>Technology</v>
          </cell>
          <cell r="L39" t="str">
            <v>Small Box</v>
          </cell>
          <cell r="M39" t="str">
            <v>Regular Air</v>
          </cell>
          <cell r="N39">
            <v>41905</v>
          </cell>
          <cell r="O39">
            <v>19.78</v>
          </cell>
          <cell r="P39">
            <v>45.99</v>
          </cell>
          <cell r="Q39">
            <v>23</v>
          </cell>
          <cell r="R39">
            <v>1057.77</v>
          </cell>
          <cell r="S39">
            <v>0.1</v>
          </cell>
          <cell r="T39">
            <v>105.777</v>
          </cell>
          <cell r="U39">
            <v>1057.67</v>
          </cell>
          <cell r="V39">
            <v>4.99</v>
          </cell>
          <cell r="W39">
            <v>1062.6600000000001</v>
          </cell>
        </row>
        <row r="40">
          <cell r="A40" t="str">
            <v>5621-2</v>
          </cell>
          <cell r="B40">
            <v>41903</v>
          </cell>
          <cell r="C40" t="str">
            <v>George Ashbrook</v>
          </cell>
          <cell r="D40" t="str">
            <v>506 Swan Street,Richmond</v>
          </cell>
          <cell r="E40" t="str">
            <v>Melbourne</v>
          </cell>
          <cell r="F40" t="str">
            <v>VIC</v>
          </cell>
          <cell r="G40" t="str">
            <v>Consumer</v>
          </cell>
          <cell r="H40" t="str">
            <v>Connor Betts</v>
          </cell>
          <cell r="I40" t="str">
            <v>Medium</v>
          </cell>
          <cell r="J40" t="str">
            <v>Binder Clips by OIC</v>
          </cell>
          <cell r="K40" t="str">
            <v>Office Supplies</v>
          </cell>
          <cell r="L40" t="str">
            <v>Wrap Bag</v>
          </cell>
          <cell r="M40" t="str">
            <v>Regular Air</v>
          </cell>
          <cell r="N40">
            <v>41904</v>
          </cell>
          <cell r="O40">
            <v>0.93</v>
          </cell>
          <cell r="P40">
            <v>1.48</v>
          </cell>
          <cell r="Q40">
            <v>33</v>
          </cell>
          <cell r="R40">
            <v>48.839999999999996</v>
          </cell>
          <cell r="S40">
            <v>0.06</v>
          </cell>
          <cell r="T40">
            <v>2.9303999999999997</v>
          </cell>
          <cell r="U40">
            <v>48.779999999999994</v>
          </cell>
          <cell r="V40">
            <v>0.7</v>
          </cell>
          <cell r="W40">
            <v>49.48</v>
          </cell>
        </row>
        <row r="41">
          <cell r="A41" t="str">
            <v>5655-1</v>
          </cell>
          <cell r="B41">
            <v>41929</v>
          </cell>
          <cell r="C41" t="str">
            <v>Sam Craven</v>
          </cell>
          <cell r="D41" t="str">
            <v>8 Rankins Lane ,Melbourne</v>
          </cell>
          <cell r="E41" t="str">
            <v>Melbourne</v>
          </cell>
          <cell r="F41" t="str">
            <v>VIC</v>
          </cell>
          <cell r="G41" t="str">
            <v>Home Office</v>
          </cell>
          <cell r="H41" t="str">
            <v>Connor Betts</v>
          </cell>
          <cell r="I41" t="str">
            <v>Medium</v>
          </cell>
          <cell r="J41" t="str">
            <v>Apex Straight Scissors</v>
          </cell>
          <cell r="K41" t="str">
            <v>Office Supplies</v>
          </cell>
          <cell r="L41" t="str">
            <v>Small Pack</v>
          </cell>
          <cell r="M41" t="str">
            <v>Regular Air</v>
          </cell>
          <cell r="N41">
            <v>41929</v>
          </cell>
          <cell r="O41">
            <v>5.19</v>
          </cell>
          <cell r="P41">
            <v>12.98</v>
          </cell>
          <cell r="Q41">
            <v>11</v>
          </cell>
          <cell r="R41">
            <v>142.78</v>
          </cell>
          <cell r="S41">
            <v>0.08</v>
          </cell>
          <cell r="T41">
            <v>11.4224</v>
          </cell>
          <cell r="U41">
            <v>142.69999999999999</v>
          </cell>
          <cell r="V41">
            <v>3.14</v>
          </cell>
          <cell r="W41">
            <v>145.83999999999997</v>
          </cell>
        </row>
        <row r="42">
          <cell r="A42" t="str">
            <v>5655-2</v>
          </cell>
          <cell r="B42">
            <v>41929</v>
          </cell>
          <cell r="C42" t="str">
            <v>Sam Craven</v>
          </cell>
          <cell r="D42" t="str">
            <v>8 Rankins Lane ,Melbourne</v>
          </cell>
          <cell r="E42" t="str">
            <v>Melbourne</v>
          </cell>
          <cell r="F42" t="str">
            <v>VIC</v>
          </cell>
          <cell r="G42" t="str">
            <v>Home Office</v>
          </cell>
          <cell r="H42" t="str">
            <v>Connor Betts</v>
          </cell>
          <cell r="I42" t="str">
            <v>Medium</v>
          </cell>
          <cell r="J42" t="str">
            <v>EcoTones Memo Sheets</v>
          </cell>
          <cell r="K42" t="str">
            <v>Office Supplies</v>
          </cell>
          <cell r="L42" t="str">
            <v>Wrap Bag</v>
          </cell>
          <cell r="M42" t="str">
            <v>Regular Air</v>
          </cell>
          <cell r="N42">
            <v>41931</v>
          </cell>
          <cell r="O42">
            <v>2.52</v>
          </cell>
          <cell r="P42">
            <v>4</v>
          </cell>
          <cell r="Q42">
            <v>19</v>
          </cell>
          <cell r="R42">
            <v>76</v>
          </cell>
          <cell r="S42">
            <v>0.01</v>
          </cell>
          <cell r="T42">
            <v>0.76</v>
          </cell>
          <cell r="U42">
            <v>75.989999999999995</v>
          </cell>
          <cell r="V42">
            <v>1.3</v>
          </cell>
          <cell r="W42">
            <v>77.289999999999992</v>
          </cell>
        </row>
        <row r="43">
          <cell r="A43" t="str">
            <v>5724-1</v>
          </cell>
          <cell r="B43">
            <v>42000</v>
          </cell>
          <cell r="C43" t="str">
            <v>Todd Boyes</v>
          </cell>
          <cell r="D43" t="str">
            <v>Westfield Miranda, 600 Kingsway,Miranda</v>
          </cell>
          <cell r="E43" t="str">
            <v>Sydney</v>
          </cell>
          <cell r="F43" t="str">
            <v>NSW</v>
          </cell>
          <cell r="G43" t="str">
            <v>Small Business</v>
          </cell>
          <cell r="H43" t="str">
            <v>Preston Senome</v>
          </cell>
          <cell r="I43" t="str">
            <v>High</v>
          </cell>
          <cell r="J43" t="str">
            <v>Multi-Use Personal File Cart and Caster Set, Three Stacking Bins</v>
          </cell>
          <cell r="K43" t="str">
            <v>Office Supplies</v>
          </cell>
          <cell r="L43" t="str">
            <v>Small Box</v>
          </cell>
          <cell r="M43" t="str">
            <v>Regular Air</v>
          </cell>
          <cell r="N43">
            <v>42000</v>
          </cell>
          <cell r="O43">
            <v>14.95</v>
          </cell>
          <cell r="P43">
            <v>34.76</v>
          </cell>
          <cell r="Q43">
            <v>10</v>
          </cell>
          <cell r="R43">
            <v>347.59999999999997</v>
          </cell>
          <cell r="S43">
            <v>0.03</v>
          </cell>
          <cell r="T43">
            <v>10.427999999999999</v>
          </cell>
          <cell r="U43">
            <v>347.57</v>
          </cell>
          <cell r="V43">
            <v>8.2200000000000006</v>
          </cell>
          <cell r="W43">
            <v>355.79</v>
          </cell>
        </row>
        <row r="44">
          <cell r="A44" t="str">
            <v>5724-2</v>
          </cell>
          <cell r="B44">
            <v>42000</v>
          </cell>
          <cell r="C44" t="str">
            <v>Todd Boyes</v>
          </cell>
          <cell r="D44" t="str">
            <v>Westfield Miranda, 600 Kingsway,Miranda</v>
          </cell>
          <cell r="E44" t="str">
            <v>Sydney</v>
          </cell>
          <cell r="F44" t="str">
            <v>NSW</v>
          </cell>
          <cell r="G44" t="str">
            <v>Small Business</v>
          </cell>
          <cell r="H44" t="str">
            <v>Preston Senome</v>
          </cell>
          <cell r="I44" t="str">
            <v>High</v>
          </cell>
          <cell r="J44" t="str">
            <v>Smiths Bulldog Clip</v>
          </cell>
          <cell r="K44" t="str">
            <v>Office Supplies</v>
          </cell>
          <cell r="L44" t="str">
            <v>Wrap Bag</v>
          </cell>
          <cell r="M44" t="str">
            <v>Regular Air</v>
          </cell>
          <cell r="N44">
            <v>42002</v>
          </cell>
          <cell r="O44">
            <v>2.31</v>
          </cell>
          <cell r="P44">
            <v>3.78</v>
          </cell>
          <cell r="Q44">
            <v>41</v>
          </cell>
          <cell r="R44">
            <v>154.97999999999999</v>
          </cell>
          <cell r="S44">
            <v>0.02</v>
          </cell>
          <cell r="T44">
            <v>3.0995999999999997</v>
          </cell>
          <cell r="U44">
            <v>154.95999999999998</v>
          </cell>
          <cell r="V44">
            <v>0.71</v>
          </cell>
          <cell r="W44">
            <v>155.66999999999999</v>
          </cell>
        </row>
        <row r="45">
          <cell r="A45" t="str">
            <v>5762-1</v>
          </cell>
          <cell r="B45">
            <v>42024</v>
          </cell>
          <cell r="C45" t="str">
            <v>Saphhira Shifley</v>
          </cell>
          <cell r="D45" t="str">
            <v>Westfield Miranda, 600 Kingsway,Miranda</v>
          </cell>
          <cell r="E45" t="str">
            <v>Sydney</v>
          </cell>
          <cell r="F45" t="str">
            <v>NSW</v>
          </cell>
          <cell r="G45" t="str">
            <v>Consumer</v>
          </cell>
          <cell r="H45" t="str">
            <v>Preston Senome</v>
          </cell>
          <cell r="I45" t="str">
            <v>Not Specified</v>
          </cell>
          <cell r="J45" t="str">
            <v>Artisan Hi-Liter EverBold Pen Style Fluorescent Highlighters, 4/Pack</v>
          </cell>
          <cell r="K45" t="str">
            <v>Office Supplies</v>
          </cell>
          <cell r="L45" t="str">
            <v>Wrap Bag</v>
          </cell>
          <cell r="M45" t="str">
            <v>Regular Air</v>
          </cell>
          <cell r="N45">
            <v>42025</v>
          </cell>
          <cell r="O45">
            <v>4.4800000000000004</v>
          </cell>
          <cell r="P45">
            <v>8.14</v>
          </cell>
          <cell r="Q45">
            <v>23</v>
          </cell>
          <cell r="R45">
            <v>187.22000000000003</v>
          </cell>
          <cell r="S45">
            <v>7.0000000000000007E-2</v>
          </cell>
          <cell r="T45">
            <v>13.105400000000003</v>
          </cell>
          <cell r="U45">
            <v>187.15000000000003</v>
          </cell>
          <cell r="V45">
            <v>3.12</v>
          </cell>
          <cell r="W45">
            <v>190.27000000000004</v>
          </cell>
        </row>
        <row r="46">
          <cell r="A46" t="str">
            <v>5762-2</v>
          </cell>
          <cell r="B46">
            <v>42024</v>
          </cell>
          <cell r="C46" t="str">
            <v>Saphhira Shifley</v>
          </cell>
          <cell r="D46" t="str">
            <v>Westfield Miranda, 600 Kingsway,Miranda</v>
          </cell>
          <cell r="E46" t="str">
            <v>Sydney</v>
          </cell>
          <cell r="F46" t="str">
            <v>NSW</v>
          </cell>
          <cell r="G46" t="str">
            <v>Consumer</v>
          </cell>
          <cell r="H46" t="str">
            <v>Preston Senome</v>
          </cell>
          <cell r="I46" t="str">
            <v>Not Specified</v>
          </cell>
          <cell r="J46" t="str">
            <v>Smiths General Use 3-Ring Binders</v>
          </cell>
          <cell r="K46" t="str">
            <v>Office Supplies</v>
          </cell>
          <cell r="L46" t="str">
            <v>Small Box</v>
          </cell>
          <cell r="M46" t="str">
            <v>Regular Air</v>
          </cell>
          <cell r="N46">
            <v>42025</v>
          </cell>
          <cell r="O46">
            <v>1.18</v>
          </cell>
          <cell r="P46">
            <v>1.88</v>
          </cell>
          <cell r="Q46">
            <v>33</v>
          </cell>
          <cell r="R46">
            <v>62.04</v>
          </cell>
          <cell r="S46">
            <v>0.05</v>
          </cell>
          <cell r="T46">
            <v>3.1020000000000003</v>
          </cell>
          <cell r="U46">
            <v>61.99</v>
          </cell>
          <cell r="V46">
            <v>1.49</v>
          </cell>
          <cell r="W46">
            <v>63.480000000000004</v>
          </cell>
        </row>
        <row r="47">
          <cell r="A47" t="str">
            <v>5768-1</v>
          </cell>
          <cell r="B47">
            <v>42026</v>
          </cell>
          <cell r="C47" t="str">
            <v>Bill Donatelli</v>
          </cell>
          <cell r="D47" t="str">
            <v>359 Crown Street,Surry Hills</v>
          </cell>
          <cell r="E47" t="str">
            <v>Sydney</v>
          </cell>
          <cell r="F47" t="str">
            <v>NSW</v>
          </cell>
          <cell r="G47" t="str">
            <v>Corporate</v>
          </cell>
          <cell r="H47" t="str">
            <v>Phoebe Gour</v>
          </cell>
          <cell r="I47" t="str">
            <v>Critical</v>
          </cell>
          <cell r="J47" t="str">
            <v>1726 Digital Answering Machine</v>
          </cell>
          <cell r="K47" t="str">
            <v>Technology</v>
          </cell>
          <cell r="L47" t="str">
            <v>Medium Box</v>
          </cell>
          <cell r="M47" t="str">
            <v>Regular Air</v>
          </cell>
          <cell r="N47">
            <v>42027</v>
          </cell>
          <cell r="O47">
            <v>8.82</v>
          </cell>
          <cell r="P47">
            <v>20.99</v>
          </cell>
          <cell r="Q47">
            <v>3</v>
          </cell>
          <cell r="R47">
            <v>62.97</v>
          </cell>
          <cell r="S47">
            <v>0.01</v>
          </cell>
          <cell r="T47">
            <v>0.62970000000000004</v>
          </cell>
          <cell r="U47">
            <v>62.96</v>
          </cell>
          <cell r="V47">
            <v>4.8099999999999996</v>
          </cell>
          <cell r="W47">
            <v>67.77</v>
          </cell>
        </row>
        <row r="48">
          <cell r="A48" t="str">
            <v>5768-2</v>
          </cell>
          <cell r="B48">
            <v>42026</v>
          </cell>
          <cell r="C48" t="str">
            <v>Bill Donatelli</v>
          </cell>
          <cell r="D48" t="str">
            <v>359 Crown Street,Surry Hills</v>
          </cell>
          <cell r="E48" t="str">
            <v>Sydney</v>
          </cell>
          <cell r="F48" t="str">
            <v>NSW</v>
          </cell>
          <cell r="G48" t="str">
            <v>Corporate</v>
          </cell>
          <cell r="H48" t="str">
            <v>Phoebe Gour</v>
          </cell>
          <cell r="I48" t="str">
            <v>Critical</v>
          </cell>
          <cell r="J48" t="str">
            <v>Artisan Flip-Chart Easel Binder, Black</v>
          </cell>
          <cell r="K48" t="str">
            <v>Office Supplies</v>
          </cell>
          <cell r="L48" t="str">
            <v>Small Box</v>
          </cell>
          <cell r="M48" t="str">
            <v>Express Air</v>
          </cell>
          <cell r="N48">
            <v>42026</v>
          </cell>
          <cell r="O48">
            <v>13.88</v>
          </cell>
          <cell r="P48">
            <v>22.38</v>
          </cell>
          <cell r="Q48">
            <v>42</v>
          </cell>
          <cell r="R48">
            <v>939.95999999999992</v>
          </cell>
          <cell r="S48">
            <v>7.0000000000000007E-2</v>
          </cell>
          <cell r="T48">
            <v>65.797200000000004</v>
          </cell>
          <cell r="U48">
            <v>939.88999999999987</v>
          </cell>
          <cell r="V48">
            <v>15.1</v>
          </cell>
          <cell r="W48">
            <v>954.9899999999999</v>
          </cell>
        </row>
        <row r="49">
          <cell r="A49" t="str">
            <v>5768-2</v>
          </cell>
          <cell r="B49">
            <v>42026</v>
          </cell>
          <cell r="C49" t="str">
            <v>Bill Donatelli</v>
          </cell>
          <cell r="D49" t="str">
            <v>359 Crown Street,Surry Hills</v>
          </cell>
          <cell r="E49" t="str">
            <v>Sydney</v>
          </cell>
          <cell r="F49" t="str">
            <v>NSW</v>
          </cell>
          <cell r="G49" t="str">
            <v>Corporate</v>
          </cell>
          <cell r="H49" t="str">
            <v>Phoebe Gour</v>
          </cell>
          <cell r="I49" t="str">
            <v>Critical</v>
          </cell>
          <cell r="J49" t="str">
            <v>Beekin 105-Key Black Keyboard</v>
          </cell>
          <cell r="K49" t="str">
            <v>Technology</v>
          </cell>
          <cell r="L49" t="str">
            <v>Small Box</v>
          </cell>
          <cell r="M49" t="str">
            <v>Regular Air</v>
          </cell>
          <cell r="N49">
            <v>42028</v>
          </cell>
          <cell r="O49">
            <v>6.39</v>
          </cell>
          <cell r="P49">
            <v>19.98</v>
          </cell>
          <cell r="Q49">
            <v>45</v>
          </cell>
          <cell r="R49">
            <v>899.1</v>
          </cell>
          <cell r="S49">
            <v>0.06</v>
          </cell>
          <cell r="T49">
            <v>53.945999999999998</v>
          </cell>
          <cell r="U49">
            <v>899.04000000000008</v>
          </cell>
          <cell r="V49">
            <v>4</v>
          </cell>
          <cell r="W49">
            <v>903.04000000000008</v>
          </cell>
        </row>
        <row r="50">
          <cell r="A50" t="str">
            <v>5804-1</v>
          </cell>
          <cell r="B50">
            <v>42053</v>
          </cell>
          <cell r="C50" t="str">
            <v>Sandra Glassco</v>
          </cell>
          <cell r="D50" t="str">
            <v>224A Gertrude St,Fitzroy</v>
          </cell>
          <cell r="E50" t="str">
            <v>Melbourne</v>
          </cell>
          <cell r="F50" t="str">
            <v>VIC</v>
          </cell>
          <cell r="G50" t="str">
            <v>Home Office</v>
          </cell>
          <cell r="H50" t="str">
            <v>Connor Betts</v>
          </cell>
          <cell r="I50" t="str">
            <v>High</v>
          </cell>
          <cell r="J50" t="str">
            <v>Artisan Durable Poly Binders</v>
          </cell>
          <cell r="K50" t="str">
            <v>Office Supplies</v>
          </cell>
          <cell r="L50" t="str">
            <v>Small Box</v>
          </cell>
          <cell r="M50" t="str">
            <v>Regular Air</v>
          </cell>
          <cell r="N50">
            <v>42056</v>
          </cell>
          <cell r="O50">
            <v>3.37</v>
          </cell>
          <cell r="P50">
            <v>5.53</v>
          </cell>
          <cell r="Q50">
            <v>12</v>
          </cell>
          <cell r="R50">
            <v>66.36</v>
          </cell>
          <cell r="S50">
            <v>0.06</v>
          </cell>
          <cell r="T50">
            <v>3.9815999999999998</v>
          </cell>
          <cell r="U50">
            <v>66.3</v>
          </cell>
          <cell r="V50">
            <v>6.98</v>
          </cell>
          <cell r="W50">
            <v>73.28</v>
          </cell>
        </row>
        <row r="51">
          <cell r="A51" t="str">
            <v>5804-2</v>
          </cell>
          <cell r="B51">
            <v>42053</v>
          </cell>
          <cell r="C51" t="str">
            <v>Sandra Glassco</v>
          </cell>
          <cell r="D51" t="str">
            <v>224A Gertrude St,Fitzroy</v>
          </cell>
          <cell r="E51" t="str">
            <v>Melbourne</v>
          </cell>
          <cell r="F51" t="str">
            <v>VIC</v>
          </cell>
          <cell r="G51" t="str">
            <v>Home Office</v>
          </cell>
          <cell r="H51" t="str">
            <v>Connor Betts</v>
          </cell>
          <cell r="I51" t="str">
            <v>High</v>
          </cell>
          <cell r="J51" t="str">
            <v>Artisan Hi-Liter Pen Style Six-Color Fluorescent Set</v>
          </cell>
          <cell r="K51" t="str">
            <v>Office Supplies</v>
          </cell>
          <cell r="L51" t="str">
            <v>Wrap Bag</v>
          </cell>
          <cell r="M51" t="str">
            <v>Regular Air</v>
          </cell>
          <cell r="N51">
            <v>42054</v>
          </cell>
          <cell r="O51">
            <v>2.16</v>
          </cell>
          <cell r="P51">
            <v>3.85</v>
          </cell>
          <cell r="Q51">
            <v>12</v>
          </cell>
          <cell r="R51">
            <v>46.2</v>
          </cell>
          <cell r="S51">
            <v>0.1</v>
          </cell>
          <cell r="T51">
            <v>4.62</v>
          </cell>
          <cell r="U51">
            <v>46.1</v>
          </cell>
          <cell r="V51">
            <v>0.7</v>
          </cell>
          <cell r="W51">
            <v>46.800000000000004</v>
          </cell>
        </row>
        <row r="52">
          <cell r="A52" t="str">
            <v>5869-1</v>
          </cell>
          <cell r="B52">
            <v>42119</v>
          </cell>
          <cell r="C52" t="str">
            <v>Peter McVee</v>
          </cell>
          <cell r="D52" t="str">
            <v>8 Rankins Lane ,Melbourne</v>
          </cell>
          <cell r="E52" t="str">
            <v>Melbourne</v>
          </cell>
          <cell r="F52" t="str">
            <v>VIC</v>
          </cell>
          <cell r="G52" t="str">
            <v>Small Business</v>
          </cell>
          <cell r="H52" t="str">
            <v>Connor Betts</v>
          </cell>
          <cell r="I52" t="str">
            <v>Critical</v>
          </cell>
          <cell r="J52" t="str">
            <v>Bagged Rubber Bands</v>
          </cell>
          <cell r="K52" t="str">
            <v>Office Supplies</v>
          </cell>
          <cell r="L52" t="str">
            <v>Wrap Bag</v>
          </cell>
          <cell r="M52" t="str">
            <v>Regular Air</v>
          </cell>
          <cell r="N52">
            <v>42120</v>
          </cell>
          <cell r="O52">
            <v>0.24</v>
          </cell>
          <cell r="P52">
            <v>1.26</v>
          </cell>
          <cell r="Q52">
            <v>35</v>
          </cell>
          <cell r="R52">
            <v>44.1</v>
          </cell>
          <cell r="S52">
            <v>0.1</v>
          </cell>
          <cell r="T52">
            <v>4.41</v>
          </cell>
          <cell r="U52">
            <v>44</v>
          </cell>
          <cell r="V52">
            <v>0.7</v>
          </cell>
          <cell r="W52">
            <v>44.7</v>
          </cell>
        </row>
        <row r="53">
          <cell r="A53" t="str">
            <v>5869-2</v>
          </cell>
          <cell r="B53">
            <v>42119</v>
          </cell>
          <cell r="C53" t="str">
            <v>Peter McVee</v>
          </cell>
          <cell r="D53" t="str">
            <v>8 Rankins Lane ,Melbourne</v>
          </cell>
          <cell r="E53" t="str">
            <v>Melbourne</v>
          </cell>
          <cell r="F53" t="str">
            <v>VIC</v>
          </cell>
          <cell r="G53" t="str">
            <v>Small Business</v>
          </cell>
          <cell r="H53" t="str">
            <v>Connor Betts</v>
          </cell>
          <cell r="I53" t="str">
            <v>Critical</v>
          </cell>
          <cell r="J53" t="str">
            <v>DrawIt Pizazz Watercolor Pencils, 10-Color Set with Brush</v>
          </cell>
          <cell r="K53" t="str">
            <v>Office Supplies</v>
          </cell>
          <cell r="L53" t="str">
            <v>Wrap Bag</v>
          </cell>
          <cell r="M53" t="str">
            <v>Regular Air</v>
          </cell>
          <cell r="N53">
            <v>42121</v>
          </cell>
          <cell r="O53">
            <v>2.39</v>
          </cell>
          <cell r="P53">
            <v>4.26</v>
          </cell>
          <cell r="Q53">
            <v>8</v>
          </cell>
          <cell r="R53">
            <v>34.08</v>
          </cell>
          <cell r="S53">
            <v>0.1</v>
          </cell>
          <cell r="T53">
            <v>3.4079999999999999</v>
          </cell>
          <cell r="U53">
            <v>33.979999999999997</v>
          </cell>
          <cell r="V53">
            <v>1.2</v>
          </cell>
          <cell r="W53">
            <v>35.18</v>
          </cell>
        </row>
        <row r="54">
          <cell r="A54" t="str">
            <v>5887-1</v>
          </cell>
          <cell r="B54">
            <v>42135</v>
          </cell>
          <cell r="C54" t="str">
            <v>Bill Stewart</v>
          </cell>
          <cell r="D54" t="str">
            <v>188 Pitt Street,Sydney</v>
          </cell>
          <cell r="E54" t="str">
            <v>Sydney</v>
          </cell>
          <cell r="F54" t="str">
            <v>NSW</v>
          </cell>
          <cell r="G54" t="str">
            <v>Corporate</v>
          </cell>
          <cell r="H54" t="str">
            <v>Tina Carlton</v>
          </cell>
          <cell r="I54" t="str">
            <v>Medium</v>
          </cell>
          <cell r="J54" t="str">
            <v>Apex Box Cutter Scissors</v>
          </cell>
          <cell r="K54" t="str">
            <v>Office Supplies</v>
          </cell>
          <cell r="L54" t="str">
            <v>Small Pack</v>
          </cell>
          <cell r="M54" t="str">
            <v>Regular Air</v>
          </cell>
          <cell r="N54">
            <v>42137</v>
          </cell>
          <cell r="O54">
            <v>4.1900000000000004</v>
          </cell>
          <cell r="P54">
            <v>10.23</v>
          </cell>
          <cell r="Q54">
            <v>46</v>
          </cell>
          <cell r="R54">
            <v>470.58000000000004</v>
          </cell>
          <cell r="S54">
            <v>0.05</v>
          </cell>
          <cell r="T54">
            <v>23.529000000000003</v>
          </cell>
          <cell r="U54">
            <v>470.53000000000003</v>
          </cell>
          <cell r="V54">
            <v>4.68</v>
          </cell>
          <cell r="W54">
            <v>475.21000000000004</v>
          </cell>
        </row>
        <row r="55">
          <cell r="A55" t="str">
            <v>5887-2</v>
          </cell>
          <cell r="B55">
            <v>42135</v>
          </cell>
          <cell r="C55" t="str">
            <v>Bill Stewart</v>
          </cell>
          <cell r="D55" t="str">
            <v>188 Pitt Street,Sydney</v>
          </cell>
          <cell r="E55" t="str">
            <v>Sydney</v>
          </cell>
          <cell r="F55" t="str">
            <v>NSW</v>
          </cell>
          <cell r="G55" t="str">
            <v>Corporate</v>
          </cell>
          <cell r="H55" t="str">
            <v>Tina Carlton</v>
          </cell>
          <cell r="I55" t="str">
            <v>Medium</v>
          </cell>
          <cell r="J55" t="str">
            <v>Artisan Hanging File Binders</v>
          </cell>
          <cell r="K55" t="str">
            <v>Office Supplies</v>
          </cell>
          <cell r="L55" t="str">
            <v>Small Box</v>
          </cell>
          <cell r="M55" t="str">
            <v>Regular Air</v>
          </cell>
          <cell r="N55">
            <v>42137</v>
          </cell>
          <cell r="O55">
            <v>3.65</v>
          </cell>
          <cell r="P55">
            <v>5.98</v>
          </cell>
          <cell r="Q55">
            <v>4</v>
          </cell>
          <cell r="R55">
            <v>23.92</v>
          </cell>
          <cell r="S55">
            <v>7.0000000000000007E-2</v>
          </cell>
          <cell r="T55">
            <v>1.6744000000000003</v>
          </cell>
          <cell r="U55">
            <v>23.85</v>
          </cell>
          <cell r="V55">
            <v>1.49</v>
          </cell>
          <cell r="W55">
            <v>25.34</v>
          </cell>
        </row>
        <row r="56">
          <cell r="A56" t="str">
            <v>5943-1</v>
          </cell>
          <cell r="B56">
            <v>42180</v>
          </cell>
          <cell r="C56" t="str">
            <v>Denise Monton</v>
          </cell>
          <cell r="D56" t="str">
            <v>2/797 Botany Rd,Rosebery</v>
          </cell>
          <cell r="E56" t="str">
            <v>Sydney</v>
          </cell>
          <cell r="F56" t="str">
            <v>NSW</v>
          </cell>
          <cell r="G56" t="str">
            <v>Home Office</v>
          </cell>
          <cell r="H56" t="str">
            <v>Samantha Chairs</v>
          </cell>
          <cell r="I56" t="str">
            <v>Medium</v>
          </cell>
          <cell r="J56" t="str">
            <v>12 Colored Short Pencils</v>
          </cell>
          <cell r="K56" t="str">
            <v>Office Supplies</v>
          </cell>
          <cell r="L56" t="str">
            <v>Wrap Bag</v>
          </cell>
          <cell r="M56" t="str">
            <v>Regular Air</v>
          </cell>
          <cell r="N56">
            <v>42180</v>
          </cell>
          <cell r="O56">
            <v>1.0900000000000001</v>
          </cell>
          <cell r="P56">
            <v>2.6</v>
          </cell>
          <cell r="Q56">
            <v>26</v>
          </cell>
          <cell r="R56">
            <v>67.600000000000009</v>
          </cell>
          <cell r="S56">
            <v>0.08</v>
          </cell>
          <cell r="T56">
            <v>5.4080000000000004</v>
          </cell>
          <cell r="U56">
            <v>67.52000000000001</v>
          </cell>
          <cell r="V56">
            <v>2.4</v>
          </cell>
          <cell r="W56">
            <v>69.920000000000016</v>
          </cell>
        </row>
        <row r="57">
          <cell r="A57" t="str">
            <v>5943-2</v>
          </cell>
          <cell r="B57">
            <v>42180</v>
          </cell>
          <cell r="C57" t="str">
            <v>Denise Monton</v>
          </cell>
          <cell r="D57" t="str">
            <v>2/797 Botany Rd,Rosebery</v>
          </cell>
          <cell r="E57" t="str">
            <v>Sydney</v>
          </cell>
          <cell r="F57" t="str">
            <v>NSW</v>
          </cell>
          <cell r="G57" t="str">
            <v>Home Office</v>
          </cell>
          <cell r="H57" t="str">
            <v>Samantha Chairs</v>
          </cell>
          <cell r="I57" t="str">
            <v>Medium</v>
          </cell>
          <cell r="J57" t="str">
            <v>TechSavi Cordless Navigator Duo</v>
          </cell>
          <cell r="K57" t="str">
            <v>Technology</v>
          </cell>
          <cell r="L57" t="str">
            <v>Small Box</v>
          </cell>
          <cell r="M57" t="str">
            <v>Regular Air</v>
          </cell>
          <cell r="N57">
            <v>42182</v>
          </cell>
          <cell r="O57">
            <v>42.11</v>
          </cell>
          <cell r="P57">
            <v>80.98</v>
          </cell>
          <cell r="Q57">
            <v>34</v>
          </cell>
          <cell r="R57">
            <v>2753.32</v>
          </cell>
          <cell r="S57">
            <v>0.02</v>
          </cell>
          <cell r="T57">
            <v>55.066400000000002</v>
          </cell>
          <cell r="U57">
            <v>2753.3</v>
          </cell>
          <cell r="V57">
            <v>7.18</v>
          </cell>
          <cell r="W57">
            <v>2760.48</v>
          </cell>
        </row>
        <row r="58">
          <cell r="A58" t="str">
            <v>5990-1</v>
          </cell>
          <cell r="B58">
            <v>42210</v>
          </cell>
          <cell r="C58" t="str">
            <v>Annie Thurman</v>
          </cell>
          <cell r="D58" t="str">
            <v>499-501 Lygon Street,Carlton North</v>
          </cell>
          <cell r="E58" t="str">
            <v>Melbourne</v>
          </cell>
          <cell r="F58" t="str">
            <v>VIC</v>
          </cell>
          <cell r="G58" t="str">
            <v>Home Office</v>
          </cell>
          <cell r="H58" t="str">
            <v>Yvette Biti</v>
          </cell>
          <cell r="I58" t="str">
            <v>High</v>
          </cell>
          <cell r="J58" t="str">
            <v>Adams "While You Were Out" Message Pads</v>
          </cell>
          <cell r="K58" t="str">
            <v>Office Supplies</v>
          </cell>
          <cell r="L58" t="str">
            <v>Wrap Bag</v>
          </cell>
          <cell r="M58" t="str">
            <v>Express Air</v>
          </cell>
          <cell r="N58">
            <v>42211</v>
          </cell>
          <cell r="O58">
            <v>1.88</v>
          </cell>
          <cell r="P58">
            <v>3.14</v>
          </cell>
          <cell r="Q58">
            <v>43</v>
          </cell>
          <cell r="R58">
            <v>135.02000000000001</v>
          </cell>
          <cell r="S58">
            <v>7.0000000000000007E-2</v>
          </cell>
          <cell r="T58">
            <v>9.4514000000000014</v>
          </cell>
          <cell r="U58">
            <v>134.95000000000002</v>
          </cell>
          <cell r="V58">
            <v>1.1399999999999999</v>
          </cell>
          <cell r="W58">
            <v>136.09</v>
          </cell>
        </row>
        <row r="59">
          <cell r="A59" t="str">
            <v>5990-2</v>
          </cell>
          <cell r="B59">
            <v>42210</v>
          </cell>
          <cell r="C59" t="str">
            <v>Annie Thurman</v>
          </cell>
          <cell r="D59" t="str">
            <v>499-501 Lygon Street,Carlton North</v>
          </cell>
          <cell r="E59" t="str">
            <v>Melbourne</v>
          </cell>
          <cell r="F59" t="str">
            <v>VIC</v>
          </cell>
          <cell r="G59" t="str">
            <v>Home Office</v>
          </cell>
          <cell r="H59" t="str">
            <v>Yvette Biti</v>
          </cell>
          <cell r="I59" t="str">
            <v>High</v>
          </cell>
          <cell r="J59" t="str">
            <v>Barrel Sharpener</v>
          </cell>
          <cell r="K59" t="str">
            <v>Office Supplies</v>
          </cell>
          <cell r="L59" t="str">
            <v>Small Pack</v>
          </cell>
          <cell r="M59" t="str">
            <v>Regular Air</v>
          </cell>
          <cell r="N59">
            <v>42212</v>
          </cell>
          <cell r="O59">
            <v>1.46</v>
          </cell>
          <cell r="P59">
            <v>3.57</v>
          </cell>
          <cell r="Q59">
            <v>19</v>
          </cell>
          <cell r="R59">
            <v>67.83</v>
          </cell>
          <cell r="S59">
            <v>0.08</v>
          </cell>
          <cell r="T59">
            <v>5.4264000000000001</v>
          </cell>
          <cell r="U59">
            <v>67.75</v>
          </cell>
          <cell r="V59">
            <v>4.17</v>
          </cell>
          <cell r="W59">
            <v>71.92</v>
          </cell>
        </row>
        <row r="60">
          <cell r="A60" t="str">
            <v>5997-1</v>
          </cell>
          <cell r="B60">
            <v>42212</v>
          </cell>
          <cell r="C60" t="str">
            <v>Michael Oakman</v>
          </cell>
          <cell r="D60" t="str">
            <v>8 Rankins Lane ,Melbourne</v>
          </cell>
          <cell r="E60" t="str">
            <v>Melbourne</v>
          </cell>
          <cell r="F60" t="str">
            <v>VIC</v>
          </cell>
          <cell r="G60" t="str">
            <v>Small Business</v>
          </cell>
          <cell r="H60" t="str">
            <v>Connor Betts</v>
          </cell>
          <cell r="I60" t="str">
            <v>Low</v>
          </cell>
          <cell r="J60" t="str">
            <v>Binder Clips by OIC</v>
          </cell>
          <cell r="K60" t="str">
            <v>Office Supplies</v>
          </cell>
          <cell r="L60" t="str">
            <v>Wrap Bag</v>
          </cell>
          <cell r="M60" t="str">
            <v>Express Air</v>
          </cell>
          <cell r="N60">
            <v>42216</v>
          </cell>
          <cell r="O60">
            <v>0.93</v>
          </cell>
          <cell r="P60">
            <v>1.48</v>
          </cell>
          <cell r="Q60">
            <v>37</v>
          </cell>
          <cell r="R60">
            <v>54.76</v>
          </cell>
          <cell r="S60">
            <v>0.04</v>
          </cell>
          <cell r="T60">
            <v>2.1903999999999999</v>
          </cell>
          <cell r="U60">
            <v>54.72</v>
          </cell>
          <cell r="V60">
            <v>0.7</v>
          </cell>
          <cell r="W60">
            <v>55.42</v>
          </cell>
        </row>
        <row r="61">
          <cell r="A61" t="str">
            <v>5997-2</v>
          </cell>
          <cell r="B61">
            <v>42212</v>
          </cell>
          <cell r="C61" t="str">
            <v>Michael Oakman</v>
          </cell>
          <cell r="D61" t="str">
            <v>8 Rankins Lane ,Melbourne</v>
          </cell>
          <cell r="E61" t="str">
            <v>Melbourne</v>
          </cell>
          <cell r="F61" t="str">
            <v>VIC</v>
          </cell>
          <cell r="G61" t="str">
            <v>Small Business</v>
          </cell>
          <cell r="H61" t="str">
            <v>Connor Betts</v>
          </cell>
          <cell r="I61" t="str">
            <v>Low</v>
          </cell>
          <cell r="J61" t="str">
            <v>PastelOcean Color Pencil Set</v>
          </cell>
          <cell r="K61" t="str">
            <v>Office Supplies</v>
          </cell>
          <cell r="L61" t="str">
            <v>Wrap Bag</v>
          </cell>
          <cell r="M61" t="str">
            <v>Regular Air</v>
          </cell>
          <cell r="N61">
            <v>42217</v>
          </cell>
          <cell r="O61">
            <v>11.11</v>
          </cell>
          <cell r="P61">
            <v>19.84</v>
          </cell>
          <cell r="Q61">
            <v>28</v>
          </cell>
          <cell r="R61">
            <v>555.52</v>
          </cell>
          <cell r="S61">
            <v>0.08</v>
          </cell>
          <cell r="T61">
            <v>44.441600000000001</v>
          </cell>
          <cell r="U61">
            <v>555.43999999999994</v>
          </cell>
          <cell r="V61">
            <v>4.0999999999999996</v>
          </cell>
          <cell r="W61">
            <v>559.54</v>
          </cell>
        </row>
        <row r="62">
          <cell r="A62" t="str">
            <v>6014-1</v>
          </cell>
          <cell r="B62">
            <v>42226</v>
          </cell>
          <cell r="C62" t="str">
            <v>Nora Price</v>
          </cell>
          <cell r="D62" t="str">
            <v>7 Khartoum Rd,Macquarie Park</v>
          </cell>
          <cell r="E62" t="str">
            <v>Sydney</v>
          </cell>
          <cell r="F62" t="str">
            <v>NSW</v>
          </cell>
          <cell r="G62" t="str">
            <v>Small Business</v>
          </cell>
          <cell r="H62" t="str">
            <v>Preston Senome</v>
          </cell>
          <cell r="I62" t="str">
            <v>Not Specified</v>
          </cell>
          <cell r="J62" t="str">
            <v>Alto 3-Hole Punch</v>
          </cell>
          <cell r="K62" t="str">
            <v>Office Supplies</v>
          </cell>
          <cell r="L62" t="str">
            <v>Small Box</v>
          </cell>
          <cell r="M62" t="str">
            <v>Regular Air</v>
          </cell>
          <cell r="N62">
            <v>42227</v>
          </cell>
          <cell r="O62">
            <v>2.76</v>
          </cell>
          <cell r="P62">
            <v>4.38</v>
          </cell>
          <cell r="Q62">
            <v>24</v>
          </cell>
          <cell r="R62">
            <v>105.12</v>
          </cell>
          <cell r="S62">
            <v>0.02</v>
          </cell>
          <cell r="T62">
            <v>2.1024000000000003</v>
          </cell>
          <cell r="U62">
            <v>105.10000000000001</v>
          </cell>
          <cell r="V62">
            <v>6.21</v>
          </cell>
          <cell r="W62">
            <v>111.31</v>
          </cell>
        </row>
        <row r="63">
          <cell r="A63" t="str">
            <v>6014-2</v>
          </cell>
          <cell r="B63">
            <v>42226</v>
          </cell>
          <cell r="C63" t="str">
            <v>Nora Price</v>
          </cell>
          <cell r="D63" t="str">
            <v>7 Khartoum Rd,Macquarie Park</v>
          </cell>
          <cell r="E63" t="str">
            <v>Sydney</v>
          </cell>
          <cell r="F63" t="str">
            <v>NSW</v>
          </cell>
          <cell r="G63" t="str">
            <v>Small Business</v>
          </cell>
          <cell r="H63" t="str">
            <v>Preston Senome</v>
          </cell>
          <cell r="I63" t="str">
            <v>Not Specified</v>
          </cell>
          <cell r="J63" t="str">
            <v>Apex Forged Steel Scissors with Black Enamel Handles</v>
          </cell>
          <cell r="K63" t="str">
            <v>Office Supplies</v>
          </cell>
          <cell r="L63" t="str">
            <v>Small Pack</v>
          </cell>
          <cell r="M63" t="str">
            <v>Regular Air</v>
          </cell>
          <cell r="N63">
            <v>42229</v>
          </cell>
          <cell r="O63">
            <v>4.0999999999999996</v>
          </cell>
          <cell r="P63">
            <v>9.31</v>
          </cell>
          <cell r="Q63">
            <v>30</v>
          </cell>
          <cell r="R63">
            <v>279.3</v>
          </cell>
          <cell r="S63">
            <v>0.03</v>
          </cell>
          <cell r="T63">
            <v>8.3789999999999996</v>
          </cell>
          <cell r="U63">
            <v>279.27000000000004</v>
          </cell>
          <cell r="V63">
            <v>3.98</v>
          </cell>
          <cell r="W63">
            <v>283.25000000000006</v>
          </cell>
        </row>
        <row r="64">
          <cell r="A64" t="str">
            <v>6091-1</v>
          </cell>
          <cell r="B64">
            <v>42292</v>
          </cell>
          <cell r="C64" t="str">
            <v>Lisa DeCherney</v>
          </cell>
          <cell r="D64" t="str">
            <v>324A King St,Newtown</v>
          </cell>
          <cell r="E64" t="str">
            <v>Sydney</v>
          </cell>
          <cell r="F64" t="str">
            <v>NSW</v>
          </cell>
          <cell r="G64" t="str">
            <v>Consumer</v>
          </cell>
          <cell r="H64" t="str">
            <v>Mihael Khan</v>
          </cell>
          <cell r="I64" t="str">
            <v>Low</v>
          </cell>
          <cell r="J64" t="str">
            <v>Smiths Paper Clips</v>
          </cell>
          <cell r="K64" t="str">
            <v>Office Supplies</v>
          </cell>
          <cell r="L64" t="str">
            <v>Wrap Bag</v>
          </cell>
          <cell r="M64" t="str">
            <v>Express Air</v>
          </cell>
          <cell r="N64">
            <v>42292</v>
          </cell>
          <cell r="O64">
            <v>1.53</v>
          </cell>
          <cell r="P64">
            <v>2.4700000000000002</v>
          </cell>
          <cell r="Q64">
            <v>45</v>
          </cell>
          <cell r="R64">
            <v>111.15</v>
          </cell>
          <cell r="S64">
            <v>7.0000000000000007E-2</v>
          </cell>
          <cell r="T64">
            <v>7.7805000000000009</v>
          </cell>
          <cell r="U64">
            <v>111.08000000000001</v>
          </cell>
          <cell r="V64">
            <v>1.02</v>
          </cell>
          <cell r="W64">
            <v>112.10000000000001</v>
          </cell>
        </row>
        <row r="65">
          <cell r="A65" t="str">
            <v>6091-2</v>
          </cell>
          <cell r="B65">
            <v>42292</v>
          </cell>
          <cell r="C65" t="str">
            <v>Lisa DeCherney</v>
          </cell>
          <cell r="D65" t="str">
            <v>324A King St,Newtown</v>
          </cell>
          <cell r="E65" t="str">
            <v>Sydney</v>
          </cell>
          <cell r="F65" t="str">
            <v>NSW</v>
          </cell>
          <cell r="G65" t="str">
            <v>Consumer</v>
          </cell>
          <cell r="H65" t="str">
            <v>Mihael Khan</v>
          </cell>
          <cell r="I65" t="str">
            <v>Low</v>
          </cell>
          <cell r="J65" t="str">
            <v>Wirebound Message Book, 4 per Page</v>
          </cell>
          <cell r="K65" t="str">
            <v>Office Supplies</v>
          </cell>
          <cell r="L65" t="str">
            <v>Wrap Bag</v>
          </cell>
          <cell r="M65" t="str">
            <v>Regular Air</v>
          </cell>
          <cell r="N65">
            <v>42296</v>
          </cell>
          <cell r="O65">
            <v>3.48</v>
          </cell>
          <cell r="P65">
            <v>5.43</v>
          </cell>
          <cell r="Q65">
            <v>11</v>
          </cell>
          <cell r="R65">
            <v>59.73</v>
          </cell>
          <cell r="S65">
            <v>0</v>
          </cell>
          <cell r="T65">
            <v>0</v>
          </cell>
          <cell r="U65">
            <v>59.73</v>
          </cell>
          <cell r="V65">
            <v>0.95</v>
          </cell>
          <cell r="W65">
            <v>60.68</v>
          </cell>
        </row>
        <row r="66">
          <cell r="A66" t="str">
            <v>6104-1</v>
          </cell>
          <cell r="B66">
            <v>42309</v>
          </cell>
          <cell r="C66" t="str">
            <v>Bobby Trafton</v>
          </cell>
          <cell r="D66" t="str">
            <v>85-113 Dunning Ave,Rosebery</v>
          </cell>
          <cell r="E66" t="str">
            <v>Sydney</v>
          </cell>
          <cell r="F66" t="str">
            <v>NSW</v>
          </cell>
          <cell r="G66" t="str">
            <v>Small Business</v>
          </cell>
          <cell r="H66" t="str">
            <v>Mihael Khan</v>
          </cell>
          <cell r="I66" t="str">
            <v>Low</v>
          </cell>
          <cell r="J66" t="str">
            <v>DrawIt Pizazz Watercolor Pencils, 10-Color Set with Brush</v>
          </cell>
          <cell r="K66" t="str">
            <v>Office Supplies</v>
          </cell>
          <cell r="L66" t="str">
            <v>Wrap Bag</v>
          </cell>
          <cell r="M66" t="str">
            <v>Regular Air</v>
          </cell>
          <cell r="N66">
            <v>42311</v>
          </cell>
          <cell r="O66">
            <v>2.39</v>
          </cell>
          <cell r="P66">
            <v>4.26</v>
          </cell>
          <cell r="Q66">
            <v>47</v>
          </cell>
          <cell r="R66">
            <v>200.22</v>
          </cell>
          <cell r="S66">
            <v>7.0000000000000007E-2</v>
          </cell>
          <cell r="T66">
            <v>14.015400000000001</v>
          </cell>
          <cell r="U66">
            <v>200.15</v>
          </cell>
          <cell r="V66">
            <v>1.2</v>
          </cell>
          <cell r="W66">
            <v>201.35</v>
          </cell>
        </row>
        <row r="67">
          <cell r="A67" t="str">
            <v>6104-2</v>
          </cell>
          <cell r="B67">
            <v>42309</v>
          </cell>
          <cell r="C67" t="str">
            <v>Bobby Trafton</v>
          </cell>
          <cell r="D67" t="str">
            <v>85-113 Dunning Ave,Rosebery</v>
          </cell>
          <cell r="E67" t="str">
            <v>Sydney</v>
          </cell>
          <cell r="F67" t="str">
            <v>NSW</v>
          </cell>
          <cell r="G67" t="str">
            <v>Small Business</v>
          </cell>
          <cell r="H67" t="str">
            <v>Mihael Khan</v>
          </cell>
          <cell r="I67" t="str">
            <v>Low</v>
          </cell>
          <cell r="J67" t="str">
            <v>Steady Colorific Colored Pencils, 12/Box</v>
          </cell>
          <cell r="K67" t="str">
            <v>Office Supplies</v>
          </cell>
          <cell r="L67" t="str">
            <v>Wrap Bag</v>
          </cell>
          <cell r="M67" t="str">
            <v>Regular Air</v>
          </cell>
          <cell r="N67">
            <v>42314</v>
          </cell>
          <cell r="O67">
            <v>1.3</v>
          </cell>
          <cell r="P67">
            <v>2.88</v>
          </cell>
          <cell r="Q67">
            <v>17</v>
          </cell>
          <cell r="R67">
            <v>48.96</v>
          </cell>
          <cell r="S67">
            <v>0.09</v>
          </cell>
          <cell r="T67">
            <v>4.4063999999999997</v>
          </cell>
          <cell r="U67">
            <v>48.87</v>
          </cell>
          <cell r="V67">
            <v>1.01</v>
          </cell>
          <cell r="W67">
            <v>49.879999999999995</v>
          </cell>
        </row>
        <row r="68">
          <cell r="A68" t="str">
            <v>6143-1</v>
          </cell>
          <cell r="B68">
            <v>42354</v>
          </cell>
          <cell r="C68" t="str">
            <v>Patrick OBrill</v>
          </cell>
          <cell r="D68" t="str">
            <v>53 Riley Street,Woolloomooloo</v>
          </cell>
          <cell r="E68" t="str">
            <v>Sydney</v>
          </cell>
          <cell r="F68" t="str">
            <v>NSW</v>
          </cell>
          <cell r="G68" t="str">
            <v>Home Office</v>
          </cell>
          <cell r="H68" t="str">
            <v>Tina Carlton</v>
          </cell>
          <cell r="I68" t="str">
            <v>Critical</v>
          </cell>
          <cell r="J68" t="str">
            <v>Beekin 105-Key Black Keyboard</v>
          </cell>
          <cell r="K68" t="str">
            <v>Technology</v>
          </cell>
          <cell r="L68" t="str">
            <v>Small Box</v>
          </cell>
          <cell r="M68" t="str">
            <v>Express Air</v>
          </cell>
          <cell r="N68">
            <v>42356</v>
          </cell>
          <cell r="O68">
            <v>6.39</v>
          </cell>
          <cell r="P68">
            <v>19.98</v>
          </cell>
          <cell r="Q68">
            <v>18</v>
          </cell>
          <cell r="R68">
            <v>359.64</v>
          </cell>
          <cell r="S68">
            <v>0.04</v>
          </cell>
          <cell r="T68">
            <v>14.3856</v>
          </cell>
          <cell r="U68">
            <v>359.59999999999997</v>
          </cell>
          <cell r="V68">
            <v>4</v>
          </cell>
          <cell r="W68">
            <v>363.59999999999997</v>
          </cell>
        </row>
        <row r="69">
          <cell r="A69" t="str">
            <v>6143-2</v>
          </cell>
          <cell r="B69">
            <v>42354</v>
          </cell>
          <cell r="C69" t="str">
            <v>Patrick OBrill</v>
          </cell>
          <cell r="D69" t="str">
            <v>53 Riley Street,Woolloomooloo</v>
          </cell>
          <cell r="E69" t="str">
            <v>Sydney</v>
          </cell>
          <cell r="F69" t="str">
            <v>NSW</v>
          </cell>
          <cell r="G69" t="str">
            <v>Home Office</v>
          </cell>
          <cell r="H69" t="str">
            <v>Tina Carlton</v>
          </cell>
          <cell r="I69" t="str">
            <v>Critical</v>
          </cell>
          <cell r="J69" t="str">
            <v>Multi-Use Personal File Cart and Caster Set, Three Stacking Bins</v>
          </cell>
          <cell r="K69" t="str">
            <v>Office Supplies</v>
          </cell>
          <cell r="L69" t="str">
            <v>Small Box</v>
          </cell>
          <cell r="M69" t="str">
            <v>Regular Air</v>
          </cell>
          <cell r="N69">
            <v>42356</v>
          </cell>
          <cell r="O69">
            <v>14.95</v>
          </cell>
          <cell r="P69">
            <v>34.76</v>
          </cell>
          <cell r="Q69">
            <v>46</v>
          </cell>
          <cell r="R69">
            <v>1598.9599999999998</v>
          </cell>
          <cell r="S69">
            <v>0.09</v>
          </cell>
          <cell r="T69">
            <v>143.90639999999999</v>
          </cell>
          <cell r="U69">
            <v>1598.87</v>
          </cell>
          <cell r="V69">
            <v>8.2200000000000006</v>
          </cell>
          <cell r="W69">
            <v>1607.09</v>
          </cell>
        </row>
        <row r="70">
          <cell r="A70" t="str">
            <v>6159-1</v>
          </cell>
          <cell r="B70">
            <v>42369</v>
          </cell>
          <cell r="C70" t="str">
            <v>Matt Collister</v>
          </cell>
          <cell r="D70" t="str">
            <v>99 Glebe Point Rd,Glebe</v>
          </cell>
          <cell r="E70" t="str">
            <v>Sydney</v>
          </cell>
          <cell r="F70" t="str">
            <v>NSW</v>
          </cell>
          <cell r="G70" t="str">
            <v>Home Office</v>
          </cell>
          <cell r="H70" t="str">
            <v>Natasha Song</v>
          </cell>
          <cell r="I70" t="str">
            <v>High</v>
          </cell>
          <cell r="J70" t="str">
            <v>Angle-D Binders with Locking Rings, Label Holders</v>
          </cell>
          <cell r="K70" t="str">
            <v>Office Supplies</v>
          </cell>
          <cell r="L70" t="str">
            <v>Small Box</v>
          </cell>
          <cell r="M70" t="str">
            <v>Regular Air</v>
          </cell>
          <cell r="N70">
            <v>42370</v>
          </cell>
          <cell r="O70">
            <v>4.53</v>
          </cell>
          <cell r="P70">
            <v>7.3</v>
          </cell>
          <cell r="Q70">
            <v>38</v>
          </cell>
          <cell r="R70">
            <v>277.39999999999998</v>
          </cell>
          <cell r="S70">
            <v>0.05</v>
          </cell>
          <cell r="T70">
            <v>13.87</v>
          </cell>
          <cell r="U70">
            <v>277.34999999999997</v>
          </cell>
          <cell r="V70">
            <v>7.72</v>
          </cell>
          <cell r="W70">
            <v>285.07</v>
          </cell>
        </row>
        <row r="71">
          <cell r="A71" t="str">
            <v>6159-2</v>
          </cell>
          <cell r="B71">
            <v>42369</v>
          </cell>
          <cell r="C71" t="str">
            <v>Matt Collister</v>
          </cell>
          <cell r="D71" t="str">
            <v>99 Glebe Point Rd,Glebe</v>
          </cell>
          <cell r="E71" t="str">
            <v>Sydney</v>
          </cell>
          <cell r="F71" t="str">
            <v>NSW</v>
          </cell>
          <cell r="G71" t="str">
            <v>Home Office</v>
          </cell>
          <cell r="H71" t="str">
            <v>Natasha Song</v>
          </cell>
          <cell r="I71" t="str">
            <v>Medium</v>
          </cell>
          <cell r="J71" t="str">
            <v>Artisan 487 Labels</v>
          </cell>
          <cell r="K71" t="str">
            <v>Office Supplies</v>
          </cell>
          <cell r="L71" t="str">
            <v>Small Box</v>
          </cell>
          <cell r="M71" t="str">
            <v>Regular Air</v>
          </cell>
          <cell r="N71">
            <v>42370</v>
          </cell>
          <cell r="O71">
            <v>2.29</v>
          </cell>
          <cell r="P71">
            <v>3.69</v>
          </cell>
          <cell r="Q71">
            <v>41</v>
          </cell>
          <cell r="R71">
            <v>151.29</v>
          </cell>
          <cell r="S71">
            <v>0.01</v>
          </cell>
          <cell r="T71">
            <v>1.5128999999999999</v>
          </cell>
          <cell r="U71">
            <v>151.28</v>
          </cell>
          <cell r="V71">
            <v>0.5</v>
          </cell>
          <cell r="W71">
            <v>151.78</v>
          </cell>
        </row>
        <row r="72">
          <cell r="A72" t="str">
            <v>6159-2</v>
          </cell>
          <cell r="B72">
            <v>42369</v>
          </cell>
          <cell r="C72" t="str">
            <v>Matt Collister</v>
          </cell>
          <cell r="D72" t="str">
            <v>99 Glebe Point Rd,Glebe</v>
          </cell>
          <cell r="E72" t="str">
            <v>Sydney</v>
          </cell>
          <cell r="F72" t="str">
            <v>NSW</v>
          </cell>
          <cell r="G72" t="str">
            <v>Home Office</v>
          </cell>
          <cell r="H72" t="str">
            <v>Natasha Song</v>
          </cell>
          <cell r="I72" t="str">
            <v>High</v>
          </cell>
          <cell r="J72" t="str">
            <v>DrawIt Colored Pencils</v>
          </cell>
          <cell r="K72" t="str">
            <v>Office Supplies</v>
          </cell>
          <cell r="L72" t="str">
            <v>Wrap Bag</v>
          </cell>
          <cell r="M72" t="str">
            <v>Express Air</v>
          </cell>
          <cell r="N72">
            <v>42370</v>
          </cell>
          <cell r="O72">
            <v>4.37</v>
          </cell>
          <cell r="P72">
            <v>9.11</v>
          </cell>
          <cell r="Q72">
            <v>21</v>
          </cell>
          <cell r="R72">
            <v>191.31</v>
          </cell>
          <cell r="S72">
            <v>0.03</v>
          </cell>
          <cell r="T72">
            <v>5.7393000000000001</v>
          </cell>
          <cell r="U72">
            <v>191.28</v>
          </cell>
          <cell r="V72">
            <v>2.25</v>
          </cell>
          <cell r="W72">
            <v>193.53</v>
          </cell>
        </row>
        <row r="73">
          <cell r="A73" t="str">
            <v>6197-1</v>
          </cell>
          <cell r="B73">
            <v>42412</v>
          </cell>
          <cell r="C73" t="str">
            <v>Alejandro Ballentine</v>
          </cell>
          <cell r="D73" t="str">
            <v>412 Brunswick St,Fitzroy</v>
          </cell>
          <cell r="E73" t="str">
            <v>Melbourne</v>
          </cell>
          <cell r="F73" t="str">
            <v>VIC</v>
          </cell>
          <cell r="G73" t="str">
            <v>Small Business</v>
          </cell>
          <cell r="H73" t="str">
            <v>Connor Betts</v>
          </cell>
          <cell r="I73" t="str">
            <v>Critical</v>
          </cell>
          <cell r="J73" t="str">
            <v>Lumi Crayons</v>
          </cell>
          <cell r="K73" t="str">
            <v>Office Supplies</v>
          </cell>
          <cell r="L73" t="str">
            <v>Wrap Bag</v>
          </cell>
          <cell r="M73" t="str">
            <v>Regular Air</v>
          </cell>
          <cell r="N73">
            <v>42413</v>
          </cell>
          <cell r="O73">
            <v>5.22</v>
          </cell>
          <cell r="P73">
            <v>9.85</v>
          </cell>
          <cell r="Q73">
            <v>48</v>
          </cell>
          <cell r="R73">
            <v>472.79999999999995</v>
          </cell>
          <cell r="S73">
            <v>0.09</v>
          </cell>
          <cell r="T73">
            <v>42.551999999999992</v>
          </cell>
          <cell r="U73">
            <v>472.71</v>
          </cell>
          <cell r="V73">
            <v>4.82</v>
          </cell>
          <cell r="W73">
            <v>477.53</v>
          </cell>
        </row>
        <row r="74">
          <cell r="A74" t="str">
            <v>6197-2</v>
          </cell>
          <cell r="B74">
            <v>42412</v>
          </cell>
          <cell r="C74" t="str">
            <v>Alejandro Ballentine</v>
          </cell>
          <cell r="D74" t="str">
            <v>412 Brunswick St,Fitzroy</v>
          </cell>
          <cell r="E74" t="str">
            <v>Melbourne</v>
          </cell>
          <cell r="F74" t="str">
            <v>VIC</v>
          </cell>
          <cell r="G74" t="str">
            <v>Small Business</v>
          </cell>
          <cell r="H74" t="str">
            <v>Connor Betts</v>
          </cell>
          <cell r="I74" t="str">
            <v>Critical</v>
          </cell>
          <cell r="J74" t="str">
            <v>Pizazz Colored Pencils</v>
          </cell>
          <cell r="K74" t="str">
            <v>Office Supplies</v>
          </cell>
          <cell r="L74" t="str">
            <v>Wrap Bag</v>
          </cell>
          <cell r="M74" t="str">
            <v>Regular Air</v>
          </cell>
          <cell r="N74">
            <v>42413</v>
          </cell>
          <cell r="O74">
            <v>1.76</v>
          </cell>
          <cell r="P74">
            <v>2.94</v>
          </cell>
          <cell r="Q74">
            <v>18</v>
          </cell>
          <cell r="R74">
            <v>52.92</v>
          </cell>
          <cell r="S74">
            <v>0.01</v>
          </cell>
          <cell r="T74">
            <v>0.5292</v>
          </cell>
          <cell r="U74">
            <v>52.910000000000004</v>
          </cell>
          <cell r="V74">
            <v>0.81</v>
          </cell>
          <cell r="W74">
            <v>53.720000000000006</v>
          </cell>
        </row>
        <row r="75">
          <cell r="A75" t="str">
            <v>6266-1</v>
          </cell>
          <cell r="B75">
            <v>42478</v>
          </cell>
          <cell r="C75" t="str">
            <v>Don Weiss</v>
          </cell>
          <cell r="D75" t="str">
            <v>79 Elliott St,Balmain</v>
          </cell>
          <cell r="E75" t="str">
            <v>Sydney</v>
          </cell>
          <cell r="F75" t="str">
            <v>NSW</v>
          </cell>
          <cell r="G75" t="str">
            <v>Corporate</v>
          </cell>
          <cell r="H75" t="str">
            <v>Aanya Zhang</v>
          </cell>
          <cell r="I75" t="str">
            <v>Medium</v>
          </cell>
          <cell r="J75" t="str">
            <v>3Max Polarizing Task Lamp with Clamp Arm, Light Gray</v>
          </cell>
          <cell r="K75" t="str">
            <v>Furniture</v>
          </cell>
          <cell r="L75" t="str">
            <v>Large Box</v>
          </cell>
          <cell r="M75" t="str">
            <v>Regular Air</v>
          </cell>
          <cell r="N75">
            <v>42479</v>
          </cell>
          <cell r="O75">
            <v>56.16</v>
          </cell>
          <cell r="P75">
            <v>136.97999999999999</v>
          </cell>
          <cell r="Q75">
            <v>14</v>
          </cell>
          <cell r="R75">
            <v>1917.7199999999998</v>
          </cell>
          <cell r="S75">
            <v>0</v>
          </cell>
          <cell r="T75">
            <v>0</v>
          </cell>
          <cell r="U75">
            <v>1917.7199999999998</v>
          </cell>
          <cell r="V75">
            <v>24.49</v>
          </cell>
          <cell r="W75">
            <v>1942.2099999999998</v>
          </cell>
        </row>
        <row r="76">
          <cell r="A76" t="str">
            <v>6266-2</v>
          </cell>
          <cell r="B76">
            <v>42478</v>
          </cell>
          <cell r="C76" t="str">
            <v>Don Weiss</v>
          </cell>
          <cell r="D76" t="str">
            <v>79 Elliott St,Balmain</v>
          </cell>
          <cell r="E76" t="str">
            <v>Sydney</v>
          </cell>
          <cell r="F76" t="str">
            <v>NSW</v>
          </cell>
          <cell r="G76" t="str">
            <v>Corporate</v>
          </cell>
          <cell r="H76" t="str">
            <v>Aanya Zhang</v>
          </cell>
          <cell r="I76" t="str">
            <v>Medium</v>
          </cell>
          <cell r="J76" t="str">
            <v>Binder Clips by OIC</v>
          </cell>
          <cell r="K76" t="str">
            <v>Office Supplies</v>
          </cell>
          <cell r="L76" t="str">
            <v>Wrap Bag</v>
          </cell>
          <cell r="M76" t="str">
            <v>Regular Air</v>
          </cell>
          <cell r="N76">
            <v>42480</v>
          </cell>
          <cell r="O76">
            <v>0.93</v>
          </cell>
          <cell r="P76">
            <v>1.48</v>
          </cell>
          <cell r="Q76">
            <v>3</v>
          </cell>
          <cell r="R76">
            <v>4.4399999999999995</v>
          </cell>
          <cell r="S76">
            <v>0.1</v>
          </cell>
          <cell r="T76">
            <v>0.44399999999999995</v>
          </cell>
          <cell r="U76">
            <v>4.34</v>
          </cell>
          <cell r="V76">
            <v>0.7</v>
          </cell>
          <cell r="W76">
            <v>5.04</v>
          </cell>
        </row>
        <row r="77">
          <cell r="A77" t="str">
            <v>6278-1</v>
          </cell>
          <cell r="B77">
            <v>42491</v>
          </cell>
          <cell r="C77" t="str">
            <v>Sally Knutson</v>
          </cell>
          <cell r="D77" t="str">
            <v>Shop 1, 186-190 Church Street,Parramatta;46a Macleay Street,Potts Point</v>
          </cell>
          <cell r="E77" t="str">
            <v>Sydney</v>
          </cell>
          <cell r="F77" t="str">
            <v>NSW</v>
          </cell>
          <cell r="G77" t="str">
            <v>Consumer</v>
          </cell>
          <cell r="H77" t="str">
            <v>Mihael Khan</v>
          </cell>
          <cell r="I77" t="str">
            <v>Not Specified</v>
          </cell>
          <cell r="J77" t="str">
            <v>Artisan Durable Binders</v>
          </cell>
          <cell r="K77" t="str">
            <v>Office Supplies</v>
          </cell>
          <cell r="L77" t="str">
            <v>Small Box</v>
          </cell>
          <cell r="M77" t="str">
            <v>Regular Air</v>
          </cell>
          <cell r="N77">
            <v>42493</v>
          </cell>
          <cell r="O77">
            <v>1.84</v>
          </cell>
          <cell r="P77">
            <v>2.88</v>
          </cell>
          <cell r="Q77">
            <v>45</v>
          </cell>
          <cell r="R77">
            <v>129.6</v>
          </cell>
          <cell r="S77">
            <v>0.02</v>
          </cell>
          <cell r="T77">
            <v>2.5920000000000001</v>
          </cell>
          <cell r="U77">
            <v>129.57999999999998</v>
          </cell>
          <cell r="V77">
            <v>1.49</v>
          </cell>
          <cell r="W77">
            <v>131.07</v>
          </cell>
        </row>
        <row r="78">
          <cell r="A78" t="str">
            <v>6278-2</v>
          </cell>
          <cell r="B78">
            <v>42491</v>
          </cell>
          <cell r="C78" t="str">
            <v>Sally Knutson</v>
          </cell>
          <cell r="D78" t="str">
            <v>Shop 1, 186-190 Church Street,Parramatta;46a Macleay Street,Potts Point</v>
          </cell>
          <cell r="E78" t="str">
            <v>Sydney</v>
          </cell>
          <cell r="F78" t="str">
            <v>NSW</v>
          </cell>
          <cell r="G78" t="str">
            <v>Consumer</v>
          </cell>
          <cell r="H78" t="str">
            <v>Mihael Khan</v>
          </cell>
          <cell r="I78" t="str">
            <v>Not Specified</v>
          </cell>
          <cell r="J78" t="str">
            <v>Beekin 6 Outlet Metallic Surge Strip</v>
          </cell>
          <cell r="K78" t="str">
            <v>Office Supplies</v>
          </cell>
          <cell r="L78" t="str">
            <v>Small Box</v>
          </cell>
          <cell r="M78" t="str">
            <v>Regular Air</v>
          </cell>
          <cell r="N78">
            <v>42492</v>
          </cell>
          <cell r="O78">
            <v>4.46</v>
          </cell>
          <cell r="P78">
            <v>10.89</v>
          </cell>
          <cell r="Q78">
            <v>39</v>
          </cell>
          <cell r="R78">
            <v>424.71000000000004</v>
          </cell>
          <cell r="S78">
            <v>0.06</v>
          </cell>
          <cell r="T78">
            <v>25.482600000000001</v>
          </cell>
          <cell r="U78">
            <v>424.65000000000003</v>
          </cell>
          <cell r="V78">
            <v>4.5</v>
          </cell>
          <cell r="W78">
            <v>429.15000000000003</v>
          </cell>
        </row>
        <row r="79">
          <cell r="A79" t="str">
            <v>6280-1</v>
          </cell>
          <cell r="B79">
            <v>42492</v>
          </cell>
          <cell r="C79" t="str">
            <v>Greg Hansen</v>
          </cell>
          <cell r="D79" t="str">
            <v>221 Barkly St,St Kilda</v>
          </cell>
          <cell r="E79" t="str">
            <v>Melbourne</v>
          </cell>
          <cell r="F79" t="str">
            <v>VIC</v>
          </cell>
          <cell r="G79" t="str">
            <v>Home Office</v>
          </cell>
          <cell r="H79" t="str">
            <v>Yvette Biti</v>
          </cell>
          <cell r="I79" t="str">
            <v>High</v>
          </cell>
          <cell r="J79" t="str">
            <v>Aluminum Document Frame</v>
          </cell>
          <cell r="K79" t="str">
            <v>Furniture</v>
          </cell>
          <cell r="L79" t="str">
            <v>Small Pack</v>
          </cell>
          <cell r="M79" t="str">
            <v>Regular Air</v>
          </cell>
          <cell r="N79">
            <v>42494</v>
          </cell>
          <cell r="O79">
            <v>5.5</v>
          </cell>
          <cell r="P79">
            <v>12.22</v>
          </cell>
          <cell r="Q79">
            <v>46</v>
          </cell>
          <cell r="R79">
            <v>562.12</v>
          </cell>
          <cell r="S79">
            <v>0.06</v>
          </cell>
          <cell r="T79">
            <v>33.727199999999996</v>
          </cell>
          <cell r="U79">
            <v>562.06000000000006</v>
          </cell>
          <cell r="V79">
            <v>2.85</v>
          </cell>
          <cell r="W79">
            <v>564.91000000000008</v>
          </cell>
        </row>
        <row r="80">
          <cell r="A80" t="str">
            <v>6280-2</v>
          </cell>
          <cell r="B80">
            <v>42492</v>
          </cell>
          <cell r="C80" t="str">
            <v>Greg Hansen</v>
          </cell>
          <cell r="D80" t="str">
            <v>221 Barkly St,St Kilda</v>
          </cell>
          <cell r="E80" t="str">
            <v>Melbourne</v>
          </cell>
          <cell r="F80" t="str">
            <v>VIC</v>
          </cell>
          <cell r="G80" t="str">
            <v>Home Office</v>
          </cell>
          <cell r="H80" t="str">
            <v>Yvette Biti</v>
          </cell>
          <cell r="I80" t="str">
            <v>High</v>
          </cell>
          <cell r="J80" t="str">
            <v>Artisan Poly Binder Pockets</v>
          </cell>
          <cell r="K80" t="str">
            <v>Office Supplies</v>
          </cell>
          <cell r="L80" t="str">
            <v>Small Box</v>
          </cell>
          <cell r="M80" t="str">
            <v>Regular Air</v>
          </cell>
          <cell r="N80">
            <v>42493</v>
          </cell>
          <cell r="O80">
            <v>2.2599999999999998</v>
          </cell>
          <cell r="P80">
            <v>3.58</v>
          </cell>
          <cell r="Q80">
            <v>8</v>
          </cell>
          <cell r="R80">
            <v>28.64</v>
          </cell>
          <cell r="S80">
            <v>0.09</v>
          </cell>
          <cell r="T80">
            <v>2.5775999999999999</v>
          </cell>
          <cell r="U80">
            <v>28.55</v>
          </cell>
          <cell r="V80">
            <v>5.47</v>
          </cell>
          <cell r="W80">
            <v>34.020000000000003</v>
          </cell>
        </row>
        <row r="81">
          <cell r="A81" t="str">
            <v>6324-1</v>
          </cell>
          <cell r="B81">
            <v>42535</v>
          </cell>
          <cell r="C81" t="str">
            <v>Vivek Grady</v>
          </cell>
          <cell r="D81" t="str">
            <v>99 Lygon Street,East Brunswick</v>
          </cell>
          <cell r="E81" t="str">
            <v>Melbourne</v>
          </cell>
          <cell r="F81" t="str">
            <v>VIC</v>
          </cell>
          <cell r="G81" t="str">
            <v>Home Office</v>
          </cell>
          <cell r="H81" t="str">
            <v>Connor Betts</v>
          </cell>
          <cell r="I81" t="str">
            <v>Low</v>
          </cell>
          <cell r="J81" t="str">
            <v>1726 Digital Answering Machine</v>
          </cell>
          <cell r="K81" t="str">
            <v>Technology</v>
          </cell>
          <cell r="L81" t="str">
            <v>Medium Box</v>
          </cell>
          <cell r="M81" t="str">
            <v>Regular Air</v>
          </cell>
          <cell r="N81">
            <v>42535</v>
          </cell>
          <cell r="O81">
            <v>8.82</v>
          </cell>
          <cell r="P81">
            <v>20.99</v>
          </cell>
          <cell r="Q81">
            <v>2</v>
          </cell>
          <cell r="R81">
            <v>41.98</v>
          </cell>
          <cell r="S81">
            <v>0.01</v>
          </cell>
          <cell r="T81">
            <v>0.41979999999999995</v>
          </cell>
          <cell r="U81">
            <v>41.97</v>
          </cell>
          <cell r="V81">
            <v>4.8099999999999996</v>
          </cell>
          <cell r="W81">
            <v>46.78</v>
          </cell>
        </row>
        <row r="82">
          <cell r="A82" t="str">
            <v>6325-1</v>
          </cell>
          <cell r="B82">
            <v>42535</v>
          </cell>
          <cell r="C82" t="str">
            <v>Edward Nazzal</v>
          </cell>
          <cell r="D82" t="str">
            <v>2a/285A Crown St,Surry Hills</v>
          </cell>
          <cell r="E82" t="str">
            <v>Sydney</v>
          </cell>
          <cell r="F82" t="str">
            <v>NSW</v>
          </cell>
          <cell r="G82" t="str">
            <v>Home Office</v>
          </cell>
          <cell r="H82" t="str">
            <v>Phoebe Gour</v>
          </cell>
          <cell r="I82" t="str">
            <v>High</v>
          </cell>
          <cell r="J82" t="str">
            <v>Adesso Programmable 142-Key Keyboard</v>
          </cell>
          <cell r="K82" t="str">
            <v>Technology</v>
          </cell>
          <cell r="L82" t="str">
            <v>Small Box</v>
          </cell>
          <cell r="M82" t="str">
            <v>Regular Air</v>
          </cell>
          <cell r="N82">
            <v>42537</v>
          </cell>
          <cell r="O82">
            <v>32.020000000000003</v>
          </cell>
          <cell r="P82">
            <v>152.47999999999999</v>
          </cell>
          <cell r="Q82">
            <v>37</v>
          </cell>
          <cell r="R82">
            <v>5641.7599999999993</v>
          </cell>
          <cell r="S82">
            <v>0.1</v>
          </cell>
          <cell r="T82">
            <v>564.17599999999993</v>
          </cell>
          <cell r="U82">
            <v>5641.6599999999989</v>
          </cell>
          <cell r="V82">
            <v>4</v>
          </cell>
          <cell r="W82">
            <v>5645.6599999999989</v>
          </cell>
        </row>
        <row r="83">
          <cell r="A83" t="str">
            <v>6325-2</v>
          </cell>
          <cell r="B83">
            <v>42535</v>
          </cell>
          <cell r="C83" t="str">
            <v>Edward Nazzal</v>
          </cell>
          <cell r="D83" t="str">
            <v>2a/285A Crown St,Surry Hills</v>
          </cell>
          <cell r="E83" t="str">
            <v>Sydney</v>
          </cell>
          <cell r="F83" t="str">
            <v>NSW</v>
          </cell>
          <cell r="G83" t="str">
            <v>Home Office</v>
          </cell>
          <cell r="H83" t="str">
            <v>Phoebe Gour</v>
          </cell>
          <cell r="I83" t="str">
            <v>High</v>
          </cell>
          <cell r="J83" t="str">
            <v>Laser DVD-RAM discs</v>
          </cell>
          <cell r="K83" t="str">
            <v>Technology</v>
          </cell>
          <cell r="L83" t="str">
            <v>Small Pack</v>
          </cell>
          <cell r="M83" t="str">
            <v>Regular Air</v>
          </cell>
          <cell r="N83">
            <v>42537</v>
          </cell>
          <cell r="O83">
            <v>20.18</v>
          </cell>
          <cell r="P83">
            <v>35.409999999999997</v>
          </cell>
          <cell r="Q83">
            <v>30</v>
          </cell>
          <cell r="R83">
            <v>1062.3</v>
          </cell>
          <cell r="S83">
            <v>0.08</v>
          </cell>
          <cell r="T83">
            <v>84.983999999999995</v>
          </cell>
          <cell r="U83">
            <v>1062.22</v>
          </cell>
          <cell r="V83">
            <v>1.99</v>
          </cell>
          <cell r="W83">
            <v>1064.21</v>
          </cell>
        </row>
        <row r="84">
          <cell r="A84" t="str">
            <v>6328-1</v>
          </cell>
          <cell r="B84">
            <v>42535</v>
          </cell>
          <cell r="C84" t="str">
            <v>Vivek Grady</v>
          </cell>
          <cell r="D84" t="str">
            <v>99 Lygon Street,East Brunswick</v>
          </cell>
          <cell r="E84" t="str">
            <v>Melbourne</v>
          </cell>
          <cell r="F84" t="str">
            <v>VIC</v>
          </cell>
          <cell r="G84" t="str">
            <v>Home Office</v>
          </cell>
          <cell r="H84" t="str">
            <v>Connor Betts</v>
          </cell>
          <cell r="I84" t="str">
            <v>Low</v>
          </cell>
          <cell r="J84" t="str">
            <v>OIC Thumb-Tacks</v>
          </cell>
          <cell r="K84" t="str">
            <v>Office Supplies</v>
          </cell>
          <cell r="L84" t="str">
            <v>Wrap Bag</v>
          </cell>
          <cell r="M84" t="str">
            <v>Regular Air</v>
          </cell>
          <cell r="N84">
            <v>42540</v>
          </cell>
          <cell r="O84">
            <v>0.71</v>
          </cell>
          <cell r="P84">
            <v>1.1399999999999999</v>
          </cell>
          <cell r="Q84">
            <v>31</v>
          </cell>
          <cell r="R84">
            <v>35.339999999999996</v>
          </cell>
          <cell r="S84">
            <v>7.0000000000000007E-2</v>
          </cell>
          <cell r="T84">
            <v>2.4737999999999998</v>
          </cell>
          <cell r="U84">
            <v>35.269999999999996</v>
          </cell>
          <cell r="V84">
            <v>0.7</v>
          </cell>
          <cell r="W84">
            <v>35.97</v>
          </cell>
        </row>
        <row r="85">
          <cell r="A85" t="str">
            <v>6336-1</v>
          </cell>
          <cell r="B85">
            <v>42541</v>
          </cell>
          <cell r="C85" t="str">
            <v>Harold Dahlen</v>
          </cell>
          <cell r="D85" t="str">
            <v>53-55 Liverpool St,Sydney</v>
          </cell>
          <cell r="E85" t="str">
            <v>Sydney</v>
          </cell>
          <cell r="F85" t="str">
            <v>NSW</v>
          </cell>
          <cell r="G85" t="str">
            <v>Consumer</v>
          </cell>
          <cell r="H85" t="str">
            <v>Tina Carlton</v>
          </cell>
          <cell r="I85" t="str">
            <v>Medium</v>
          </cell>
          <cell r="J85" t="str">
            <v>Pizazz Drawing Pencil Set</v>
          </cell>
          <cell r="K85" t="str">
            <v>Office Supplies</v>
          </cell>
          <cell r="L85" t="str">
            <v>Wrap Bag</v>
          </cell>
          <cell r="M85" t="str">
            <v>Express Air</v>
          </cell>
          <cell r="N85">
            <v>42541</v>
          </cell>
          <cell r="O85">
            <v>1.53</v>
          </cell>
          <cell r="P85">
            <v>2.78</v>
          </cell>
          <cell r="Q85">
            <v>47</v>
          </cell>
          <cell r="R85">
            <v>130.66</v>
          </cell>
          <cell r="S85">
            <v>0.1</v>
          </cell>
          <cell r="T85">
            <v>13.066000000000001</v>
          </cell>
          <cell r="U85">
            <v>130.56</v>
          </cell>
          <cell r="V85">
            <v>1.34</v>
          </cell>
          <cell r="W85">
            <v>131.9</v>
          </cell>
        </row>
        <row r="86">
          <cell r="A86" t="str">
            <v>6336-2</v>
          </cell>
          <cell r="B86">
            <v>42541</v>
          </cell>
          <cell r="C86" t="str">
            <v>Harold Dahlen</v>
          </cell>
          <cell r="D86" t="str">
            <v>53-55 Liverpool St,Sydney</v>
          </cell>
          <cell r="E86" t="str">
            <v>Sydney</v>
          </cell>
          <cell r="F86" t="str">
            <v>NSW</v>
          </cell>
          <cell r="G86" t="str">
            <v>Consumer</v>
          </cell>
          <cell r="H86" t="str">
            <v>Tina Carlton</v>
          </cell>
          <cell r="I86" t="str">
            <v>Medium</v>
          </cell>
          <cell r="J86" t="str">
            <v>Smiths Metal Binder Clips</v>
          </cell>
          <cell r="K86" t="str">
            <v>Office Supplies</v>
          </cell>
          <cell r="L86" t="str">
            <v>Wrap Bag</v>
          </cell>
          <cell r="M86" t="str">
            <v>Regular Air</v>
          </cell>
          <cell r="N86">
            <v>42544</v>
          </cell>
          <cell r="O86">
            <v>1.6</v>
          </cell>
          <cell r="P86">
            <v>2.62</v>
          </cell>
          <cell r="Q86">
            <v>30</v>
          </cell>
          <cell r="R86">
            <v>78.600000000000009</v>
          </cell>
          <cell r="S86">
            <v>0.05</v>
          </cell>
          <cell r="T86">
            <v>3.9300000000000006</v>
          </cell>
          <cell r="U86">
            <v>78.550000000000011</v>
          </cell>
          <cell r="V86">
            <v>0.8</v>
          </cell>
          <cell r="W86">
            <v>79.350000000000009</v>
          </cell>
        </row>
        <row r="87">
          <cell r="A87" t="str">
            <v>6384-1</v>
          </cell>
          <cell r="B87">
            <v>42606</v>
          </cell>
          <cell r="C87" t="str">
            <v>Jasper Cacioppo</v>
          </cell>
          <cell r="D87" t="str">
            <v>24 Addison Rd,Marrickville</v>
          </cell>
          <cell r="E87" t="str">
            <v>Sydney</v>
          </cell>
          <cell r="F87" t="str">
            <v>NSW</v>
          </cell>
          <cell r="G87" t="str">
            <v>Home Office</v>
          </cell>
          <cell r="H87" t="str">
            <v>Radhya Staples</v>
          </cell>
          <cell r="I87" t="str">
            <v>Low</v>
          </cell>
          <cell r="J87" t="str">
            <v>HFX LaserJet 3310 Copier</v>
          </cell>
          <cell r="K87" t="str">
            <v>Technology</v>
          </cell>
          <cell r="L87" t="str">
            <v>Large Box</v>
          </cell>
          <cell r="M87" t="str">
            <v>Regular Air</v>
          </cell>
          <cell r="N87">
            <v>42615</v>
          </cell>
          <cell r="O87">
            <v>377.99</v>
          </cell>
          <cell r="P87">
            <v>599.99</v>
          </cell>
          <cell r="Q87">
            <v>16</v>
          </cell>
          <cell r="R87">
            <v>9599.84</v>
          </cell>
          <cell r="S87">
            <v>0</v>
          </cell>
          <cell r="T87">
            <v>0</v>
          </cell>
          <cell r="U87">
            <v>9599.84</v>
          </cell>
          <cell r="V87">
            <v>24.49</v>
          </cell>
          <cell r="W87">
            <v>9624.33</v>
          </cell>
        </row>
        <row r="88">
          <cell r="A88" t="str">
            <v>6384-2</v>
          </cell>
          <cell r="B88">
            <v>42606</v>
          </cell>
          <cell r="C88" t="str">
            <v>Jasper Cacioppo</v>
          </cell>
          <cell r="D88" t="str">
            <v>24 Addison Rd,Marrickville</v>
          </cell>
          <cell r="E88" t="str">
            <v>Sydney</v>
          </cell>
          <cell r="F88" t="str">
            <v>NSW</v>
          </cell>
          <cell r="G88" t="str">
            <v>Home Office</v>
          </cell>
          <cell r="H88" t="str">
            <v>Radhya Staples</v>
          </cell>
          <cell r="I88" t="str">
            <v>Low</v>
          </cell>
          <cell r="J88" t="str">
            <v>PastelOcean Color Pencil Set</v>
          </cell>
          <cell r="K88" t="str">
            <v>Office Supplies</v>
          </cell>
          <cell r="L88" t="str">
            <v>Wrap Bag</v>
          </cell>
          <cell r="M88" t="str">
            <v>Regular Air</v>
          </cell>
          <cell r="N88">
            <v>42615</v>
          </cell>
          <cell r="O88">
            <v>11.11</v>
          </cell>
          <cell r="P88">
            <v>19.84</v>
          </cell>
          <cell r="Q88">
            <v>39</v>
          </cell>
          <cell r="R88">
            <v>773.76</v>
          </cell>
          <cell r="S88">
            <v>0.01</v>
          </cell>
          <cell r="T88">
            <v>7.7376000000000005</v>
          </cell>
          <cell r="U88">
            <v>773.75</v>
          </cell>
          <cell r="V88">
            <v>4.0999999999999996</v>
          </cell>
          <cell r="W88">
            <v>777.85</v>
          </cell>
        </row>
        <row r="89">
          <cell r="A89" t="str">
            <v>6403-1</v>
          </cell>
          <cell r="B89">
            <v>42631</v>
          </cell>
          <cell r="C89" t="str">
            <v>Nora Price</v>
          </cell>
          <cell r="D89" t="str">
            <v>7 Khartoum Rd,Macquarie Park</v>
          </cell>
          <cell r="E89" t="str">
            <v>Sydney</v>
          </cell>
          <cell r="F89" t="str">
            <v>NSW</v>
          </cell>
          <cell r="G89" t="str">
            <v>Small Business</v>
          </cell>
          <cell r="H89" t="str">
            <v>Preston Senome</v>
          </cell>
          <cell r="I89" t="str">
            <v>Medium</v>
          </cell>
          <cell r="J89" t="str">
            <v>Artisan Printable Repositionable Plastic Tabs</v>
          </cell>
          <cell r="K89" t="str">
            <v>Office Supplies</v>
          </cell>
          <cell r="L89" t="str">
            <v>Small Box</v>
          </cell>
          <cell r="M89" t="str">
            <v>Regular Air</v>
          </cell>
          <cell r="N89">
            <v>42633</v>
          </cell>
          <cell r="O89">
            <v>5.33</v>
          </cell>
          <cell r="P89">
            <v>8.6</v>
          </cell>
          <cell r="Q89">
            <v>2</v>
          </cell>
          <cell r="R89">
            <v>17.2</v>
          </cell>
          <cell r="S89">
            <v>0.03</v>
          </cell>
          <cell r="T89">
            <v>0.51600000000000001</v>
          </cell>
          <cell r="U89">
            <v>17.169999999999998</v>
          </cell>
          <cell r="V89">
            <v>6.19</v>
          </cell>
          <cell r="W89">
            <v>23.36</v>
          </cell>
        </row>
        <row r="90">
          <cell r="A90" t="str">
            <v>6403-2</v>
          </cell>
          <cell r="B90">
            <v>42631</v>
          </cell>
          <cell r="C90" t="str">
            <v>Nora Price</v>
          </cell>
          <cell r="D90" t="str">
            <v>7 Khartoum Rd,Macquarie Park</v>
          </cell>
          <cell r="E90" t="str">
            <v>Sydney</v>
          </cell>
          <cell r="F90" t="str">
            <v>NSW</v>
          </cell>
          <cell r="G90" t="str">
            <v>Small Business</v>
          </cell>
          <cell r="H90" t="str">
            <v>Preston Senome</v>
          </cell>
          <cell r="I90" t="str">
            <v>Medium</v>
          </cell>
          <cell r="J90" t="str">
            <v>Economy Rollaway Files</v>
          </cell>
          <cell r="K90" t="str">
            <v>Office Supplies</v>
          </cell>
          <cell r="L90" t="str">
            <v>Small Box</v>
          </cell>
          <cell r="M90" t="str">
            <v>Regular Air</v>
          </cell>
          <cell r="N90">
            <v>42632</v>
          </cell>
          <cell r="O90">
            <v>67.73</v>
          </cell>
          <cell r="P90">
            <v>165.2</v>
          </cell>
          <cell r="Q90">
            <v>10</v>
          </cell>
          <cell r="R90">
            <v>1652</v>
          </cell>
          <cell r="S90">
            <v>0.08</v>
          </cell>
          <cell r="T90">
            <v>132.16</v>
          </cell>
          <cell r="U90">
            <v>1651.92</v>
          </cell>
          <cell r="V90">
            <v>19.989999999999998</v>
          </cell>
          <cell r="W90">
            <v>1671.91</v>
          </cell>
        </row>
        <row r="91">
          <cell r="A91" t="str">
            <v>6417-1</v>
          </cell>
          <cell r="B91">
            <v>42639</v>
          </cell>
          <cell r="C91" t="str">
            <v>Christopher Martinez</v>
          </cell>
          <cell r="D91" t="str">
            <v>188 Pitt Street,Sydney</v>
          </cell>
          <cell r="E91" t="str">
            <v>Sydney</v>
          </cell>
          <cell r="F91" t="str">
            <v>NSW</v>
          </cell>
          <cell r="G91" t="str">
            <v>Small Business</v>
          </cell>
          <cell r="H91" t="str">
            <v>Tina Carlton</v>
          </cell>
          <cell r="I91" t="str">
            <v>Medium</v>
          </cell>
          <cell r="J91" t="str">
            <v>Artisan Flip-Chart Easel Binder, Black</v>
          </cell>
          <cell r="K91" t="str">
            <v>Office Supplies</v>
          </cell>
          <cell r="L91" t="str">
            <v>Small Box</v>
          </cell>
          <cell r="M91" t="str">
            <v>Regular Air</v>
          </cell>
          <cell r="N91">
            <v>42641</v>
          </cell>
          <cell r="O91">
            <v>13.88</v>
          </cell>
          <cell r="P91">
            <v>22.38</v>
          </cell>
          <cell r="Q91">
            <v>34</v>
          </cell>
          <cell r="R91">
            <v>760.92</v>
          </cell>
          <cell r="S91">
            <v>7.0000000000000007E-2</v>
          </cell>
          <cell r="T91">
            <v>53.264400000000002</v>
          </cell>
          <cell r="U91">
            <v>760.84999999999991</v>
          </cell>
          <cell r="V91">
            <v>15.1</v>
          </cell>
          <cell r="W91">
            <v>775.94999999999993</v>
          </cell>
        </row>
        <row r="92">
          <cell r="A92" t="str">
            <v>6417-2</v>
          </cell>
          <cell r="B92">
            <v>42639</v>
          </cell>
          <cell r="C92" t="str">
            <v>Christopher Martinez</v>
          </cell>
          <cell r="D92" t="str">
            <v>188 Pitt Street,Sydney</v>
          </cell>
          <cell r="E92" t="str">
            <v>Sydney</v>
          </cell>
          <cell r="F92" t="str">
            <v>NSW</v>
          </cell>
          <cell r="G92" t="str">
            <v>Small Business</v>
          </cell>
          <cell r="H92" t="str">
            <v>Tina Carlton</v>
          </cell>
          <cell r="I92" t="str">
            <v>Medium</v>
          </cell>
          <cell r="J92" t="str">
            <v>TechSavi Cordless Access Keyboard</v>
          </cell>
          <cell r="K92" t="str">
            <v>Technology</v>
          </cell>
          <cell r="L92" t="str">
            <v>Small Box</v>
          </cell>
          <cell r="M92" t="str">
            <v>Express Air</v>
          </cell>
          <cell r="N92">
            <v>42640</v>
          </cell>
          <cell r="O92">
            <v>14.7</v>
          </cell>
          <cell r="P92">
            <v>29.99</v>
          </cell>
          <cell r="Q92">
            <v>36</v>
          </cell>
          <cell r="R92">
            <v>1079.6399999999999</v>
          </cell>
          <cell r="S92">
            <v>0.03</v>
          </cell>
          <cell r="T92">
            <v>32.389199999999995</v>
          </cell>
          <cell r="U92">
            <v>1079.6099999999999</v>
          </cell>
          <cell r="V92">
            <v>5.5</v>
          </cell>
          <cell r="W92">
            <v>1085.1099999999999</v>
          </cell>
        </row>
        <row r="93">
          <cell r="A93" t="str">
            <v>6457-1</v>
          </cell>
          <cell r="B93">
            <v>42670</v>
          </cell>
          <cell r="C93" t="str">
            <v>Patrick Jones</v>
          </cell>
          <cell r="D93" t="str">
            <v>221 Barkly St,St Kilda</v>
          </cell>
          <cell r="E93" t="str">
            <v>Melbourne</v>
          </cell>
          <cell r="F93" t="str">
            <v>VIC</v>
          </cell>
          <cell r="G93" t="str">
            <v>Home Office</v>
          </cell>
          <cell r="H93" t="str">
            <v>Yvette Biti</v>
          </cell>
          <cell r="I93" t="str">
            <v>Medium</v>
          </cell>
          <cell r="J93" t="str">
            <v>UGen Ultra Cordless Optical Suite</v>
          </cell>
          <cell r="K93" t="str">
            <v>Technology</v>
          </cell>
          <cell r="L93" t="str">
            <v>Small Box</v>
          </cell>
          <cell r="M93" t="str">
            <v>Regular Air</v>
          </cell>
          <cell r="N93">
            <v>42671</v>
          </cell>
          <cell r="O93">
            <v>54.52</v>
          </cell>
          <cell r="P93">
            <v>100.97</v>
          </cell>
          <cell r="Q93">
            <v>29</v>
          </cell>
          <cell r="R93">
            <v>2928.13</v>
          </cell>
          <cell r="S93">
            <v>0.05</v>
          </cell>
          <cell r="T93">
            <v>146.40650000000002</v>
          </cell>
          <cell r="U93">
            <v>2928.08</v>
          </cell>
          <cell r="V93">
            <v>7.18</v>
          </cell>
          <cell r="W93">
            <v>2935.2599999999998</v>
          </cell>
        </row>
        <row r="94">
          <cell r="A94" t="str">
            <v>6457-2</v>
          </cell>
          <cell r="B94">
            <v>42670</v>
          </cell>
          <cell r="C94" t="str">
            <v>Patrick Jones</v>
          </cell>
          <cell r="D94" t="str">
            <v>221 Barkly St,St Kilda</v>
          </cell>
          <cell r="E94" t="str">
            <v>Melbourne</v>
          </cell>
          <cell r="F94" t="str">
            <v>VIC</v>
          </cell>
          <cell r="G94" t="str">
            <v>Home Office</v>
          </cell>
          <cell r="H94" t="str">
            <v>Yvette Biti</v>
          </cell>
          <cell r="I94" t="str">
            <v>Medium</v>
          </cell>
          <cell r="J94" t="str">
            <v>Unpadded Memo Slips</v>
          </cell>
          <cell r="K94" t="str">
            <v>Office Supplies</v>
          </cell>
          <cell r="L94" t="str">
            <v>Wrap Bag</v>
          </cell>
          <cell r="M94" t="str">
            <v>Regular Air</v>
          </cell>
          <cell r="N94">
            <v>42670</v>
          </cell>
          <cell r="O94">
            <v>2.59</v>
          </cell>
          <cell r="P94">
            <v>3.98</v>
          </cell>
          <cell r="Q94">
            <v>4</v>
          </cell>
          <cell r="R94">
            <v>15.92</v>
          </cell>
          <cell r="S94">
            <v>0.09</v>
          </cell>
          <cell r="T94">
            <v>1.4327999999999999</v>
          </cell>
          <cell r="U94">
            <v>15.83</v>
          </cell>
          <cell r="V94">
            <v>2.97</v>
          </cell>
          <cell r="W94">
            <v>18.8</v>
          </cell>
        </row>
        <row r="95">
          <cell r="A95" t="str">
            <v>6515-1</v>
          </cell>
          <cell r="B95">
            <v>42712</v>
          </cell>
          <cell r="C95" t="str">
            <v>Erica Hernandez</v>
          </cell>
          <cell r="D95" t="str">
            <v>12 Princess Hwy,Sylvania</v>
          </cell>
          <cell r="E95" t="str">
            <v>Sydney</v>
          </cell>
          <cell r="F95" t="str">
            <v>NSW</v>
          </cell>
          <cell r="G95" t="str">
            <v>Small Business</v>
          </cell>
          <cell r="H95" t="str">
            <v>Nicholas Fernandes</v>
          </cell>
          <cell r="I95" t="str">
            <v>Low</v>
          </cell>
          <cell r="J95" t="str">
            <v>Alto Parchment Paper, Assorted Colors</v>
          </cell>
          <cell r="K95" t="str">
            <v>Office Supplies</v>
          </cell>
          <cell r="L95" t="str">
            <v>Small Box</v>
          </cell>
          <cell r="M95" t="str">
            <v>Regular Air</v>
          </cell>
          <cell r="N95">
            <v>42719</v>
          </cell>
          <cell r="O95">
            <v>4.59</v>
          </cell>
          <cell r="P95">
            <v>7.28</v>
          </cell>
          <cell r="Q95">
            <v>18</v>
          </cell>
          <cell r="R95">
            <v>131.04</v>
          </cell>
          <cell r="S95">
            <v>0.09</v>
          </cell>
          <cell r="T95">
            <v>11.7936</v>
          </cell>
          <cell r="U95">
            <v>130.94999999999999</v>
          </cell>
          <cell r="V95">
            <v>11.15</v>
          </cell>
          <cell r="W95">
            <v>142.1</v>
          </cell>
        </row>
        <row r="96">
          <cell r="A96" t="str">
            <v>6515-2</v>
          </cell>
          <cell r="B96">
            <v>42712</v>
          </cell>
          <cell r="C96" t="str">
            <v>Erica Hernandez</v>
          </cell>
          <cell r="D96" t="str">
            <v>12 Princess Hwy,Sylvania</v>
          </cell>
          <cell r="E96" t="str">
            <v>Sydney</v>
          </cell>
          <cell r="F96" t="str">
            <v>NSW</v>
          </cell>
          <cell r="G96" t="str">
            <v>Small Business</v>
          </cell>
          <cell r="H96" t="str">
            <v>Nicholas Fernandes</v>
          </cell>
          <cell r="I96" t="str">
            <v>Low</v>
          </cell>
          <cell r="J96" t="str">
            <v>OIC Thumb-Tacks</v>
          </cell>
          <cell r="K96" t="str">
            <v>Office Supplies</v>
          </cell>
          <cell r="L96" t="str">
            <v>Wrap Bag</v>
          </cell>
          <cell r="M96" t="str">
            <v>Regular Air</v>
          </cell>
          <cell r="N96">
            <v>42716</v>
          </cell>
          <cell r="O96">
            <v>0.71</v>
          </cell>
          <cell r="P96">
            <v>1.1399999999999999</v>
          </cell>
          <cell r="Q96">
            <v>28</v>
          </cell>
          <cell r="R96">
            <v>31.919999999999998</v>
          </cell>
          <cell r="S96">
            <v>0.09</v>
          </cell>
          <cell r="T96">
            <v>2.8727999999999998</v>
          </cell>
          <cell r="U96">
            <v>31.83</v>
          </cell>
          <cell r="V96">
            <v>0.7</v>
          </cell>
          <cell r="W96">
            <v>32.53</v>
          </cell>
        </row>
        <row r="97">
          <cell r="A97" t="str">
            <v>5014-1</v>
          </cell>
          <cell r="B97">
            <v>41316</v>
          </cell>
          <cell r="C97" t="str">
            <v>Patrick Jones</v>
          </cell>
          <cell r="D97" t="str">
            <v>221 Barkly St,St Kilda</v>
          </cell>
          <cell r="E97" t="str">
            <v>Melbourne</v>
          </cell>
          <cell r="F97" t="str">
            <v>VIC</v>
          </cell>
          <cell r="G97" t="str">
            <v>Home Office</v>
          </cell>
          <cell r="H97" t="str">
            <v>Yvette Biti</v>
          </cell>
          <cell r="I97" t="str">
            <v>High</v>
          </cell>
          <cell r="J97" t="str">
            <v>Artisan Heavy-Duty EZD  Binder With Locking Rings</v>
          </cell>
          <cell r="K97" t="str">
            <v>Office Supplies</v>
          </cell>
          <cell r="L97" t="str">
            <v>Small Box</v>
          </cell>
          <cell r="M97" t="str">
            <v>Regular Air</v>
          </cell>
          <cell r="N97">
            <v>41317</v>
          </cell>
          <cell r="O97">
            <v>3.52</v>
          </cell>
          <cell r="P97">
            <v>5.58</v>
          </cell>
          <cell r="Q97">
            <v>29</v>
          </cell>
          <cell r="R97">
            <v>161.82</v>
          </cell>
          <cell r="S97">
            <v>0.03</v>
          </cell>
          <cell r="T97">
            <v>4.8545999999999996</v>
          </cell>
          <cell r="U97">
            <v>161.79</v>
          </cell>
          <cell r="V97">
            <v>2.99</v>
          </cell>
          <cell r="W97">
            <v>164.78</v>
          </cell>
        </row>
        <row r="98">
          <cell r="A98" t="str">
            <v>5016-1</v>
          </cell>
          <cell r="B98">
            <v>41316</v>
          </cell>
          <cell r="C98" t="str">
            <v>Alex Russell</v>
          </cell>
          <cell r="D98" t="str">
            <v>99 Lygon Street,East Brunswick</v>
          </cell>
          <cell r="E98" t="str">
            <v>Melbourne</v>
          </cell>
          <cell r="F98" t="str">
            <v>VIC</v>
          </cell>
          <cell r="G98" t="str">
            <v>Home Office</v>
          </cell>
          <cell r="H98" t="str">
            <v>Connor Betts</v>
          </cell>
          <cell r="I98" t="str">
            <v>High</v>
          </cell>
          <cell r="J98" t="str">
            <v>DrawIt Pizazz Watercolor Pencils, 10-Color Set with Brush</v>
          </cell>
          <cell r="K98" t="str">
            <v>Office Supplies</v>
          </cell>
          <cell r="L98" t="str">
            <v>Wrap Bag</v>
          </cell>
          <cell r="M98" t="str">
            <v>Regular Air</v>
          </cell>
          <cell r="N98">
            <v>41317</v>
          </cell>
          <cell r="O98">
            <v>2.39</v>
          </cell>
          <cell r="P98">
            <v>4.26</v>
          </cell>
          <cell r="Q98">
            <v>29</v>
          </cell>
          <cell r="R98">
            <v>123.53999999999999</v>
          </cell>
          <cell r="S98">
            <v>0.03</v>
          </cell>
          <cell r="T98">
            <v>3.7061999999999995</v>
          </cell>
          <cell r="U98">
            <v>123.50999999999999</v>
          </cell>
          <cell r="V98">
            <v>1.2</v>
          </cell>
          <cell r="W98">
            <v>124.71</v>
          </cell>
        </row>
        <row r="99">
          <cell r="A99" t="str">
            <v>5018-1</v>
          </cell>
          <cell r="B99">
            <v>41317</v>
          </cell>
          <cell r="C99" t="str">
            <v>Tamara Dahlen</v>
          </cell>
          <cell r="D99" t="str">
            <v>61 York St,Sydney</v>
          </cell>
          <cell r="E99" t="str">
            <v>Sydney</v>
          </cell>
          <cell r="F99" t="str">
            <v>NSW</v>
          </cell>
          <cell r="G99" t="str">
            <v>Corporate</v>
          </cell>
          <cell r="H99" t="str">
            <v>Leighton Forrest</v>
          </cell>
          <cell r="I99" t="str">
            <v>Critical</v>
          </cell>
          <cell r="J99" t="str">
            <v>Message Book, One Form per Page</v>
          </cell>
          <cell r="K99" t="str">
            <v>Office Supplies</v>
          </cell>
          <cell r="L99" t="str">
            <v>Wrap Bag</v>
          </cell>
          <cell r="M99" t="str">
            <v>Express Air</v>
          </cell>
          <cell r="N99">
            <v>41319</v>
          </cell>
          <cell r="O99">
            <v>2.41</v>
          </cell>
          <cell r="P99">
            <v>3.71</v>
          </cell>
          <cell r="Q99">
            <v>42</v>
          </cell>
          <cell r="R99">
            <v>155.82</v>
          </cell>
          <cell r="S99">
            <v>7.0000000000000007E-2</v>
          </cell>
          <cell r="T99">
            <v>10.907400000000001</v>
          </cell>
          <cell r="U99">
            <v>155.75</v>
          </cell>
          <cell r="V99">
            <v>1.93</v>
          </cell>
          <cell r="W99">
            <v>157.68</v>
          </cell>
        </row>
        <row r="100">
          <cell r="A100" t="str">
            <v>5019-1</v>
          </cell>
          <cell r="B100">
            <v>41318</v>
          </cell>
          <cell r="C100" t="str">
            <v>Susan Vittorini</v>
          </cell>
          <cell r="D100" t="str">
            <v>3 Carrington Road ,Box Hill</v>
          </cell>
          <cell r="E100" t="str">
            <v>Melbourne</v>
          </cell>
          <cell r="F100" t="str">
            <v>VIC</v>
          </cell>
          <cell r="G100" t="str">
            <v>Home Office</v>
          </cell>
          <cell r="H100" t="str">
            <v>Yvette Biti</v>
          </cell>
          <cell r="I100" t="str">
            <v>High</v>
          </cell>
          <cell r="J100" t="str">
            <v>Cando S750 Color Inkjet Printer</v>
          </cell>
          <cell r="K100" t="str">
            <v>Technology</v>
          </cell>
          <cell r="L100" t="str">
            <v>Jumbo Drum</v>
          </cell>
          <cell r="M100" t="str">
            <v>Delivery Truck</v>
          </cell>
          <cell r="N100">
            <v>41320</v>
          </cell>
          <cell r="O100">
            <v>75</v>
          </cell>
          <cell r="P100">
            <v>120.97</v>
          </cell>
          <cell r="Q100">
            <v>6</v>
          </cell>
          <cell r="R100">
            <v>725.81999999999994</v>
          </cell>
          <cell r="S100">
            <v>0.08</v>
          </cell>
          <cell r="T100">
            <v>58.065599999999996</v>
          </cell>
          <cell r="U100">
            <v>725.7399999999999</v>
          </cell>
          <cell r="V100">
            <v>26.3</v>
          </cell>
          <cell r="W100">
            <v>752.03999999999985</v>
          </cell>
        </row>
        <row r="101">
          <cell r="A101" t="str">
            <v>5020-1</v>
          </cell>
          <cell r="B101">
            <v>41319</v>
          </cell>
          <cell r="C101" t="str">
            <v>Muhammed Yedwab</v>
          </cell>
          <cell r="D101" t="str">
            <v>18 Whistler St,Sydney</v>
          </cell>
          <cell r="E101" t="str">
            <v>Sydney</v>
          </cell>
          <cell r="F101" t="str">
            <v>NSW</v>
          </cell>
          <cell r="G101" t="str">
            <v>Consumer</v>
          </cell>
          <cell r="H101" t="str">
            <v>Nicholas Fernandes</v>
          </cell>
          <cell r="I101" t="str">
            <v>Critical</v>
          </cell>
          <cell r="J101" t="str">
            <v>Steady EarthWrite Recycled Pencils, Medium Soft, #2</v>
          </cell>
          <cell r="K101" t="str">
            <v>Office Supplies</v>
          </cell>
          <cell r="L101" t="str">
            <v>Wrap Bag</v>
          </cell>
          <cell r="M101" t="str">
            <v>Regular Air</v>
          </cell>
          <cell r="N101">
            <v>41320</v>
          </cell>
          <cell r="O101">
            <v>0.9</v>
          </cell>
          <cell r="P101">
            <v>2.1</v>
          </cell>
          <cell r="Q101">
            <v>17</v>
          </cell>
          <cell r="R101">
            <v>35.700000000000003</v>
          </cell>
          <cell r="S101">
            <v>0.03</v>
          </cell>
          <cell r="T101">
            <v>1.071</v>
          </cell>
          <cell r="U101">
            <v>35.67</v>
          </cell>
          <cell r="V101">
            <v>0.7</v>
          </cell>
          <cell r="W101">
            <v>36.370000000000005</v>
          </cell>
        </row>
        <row r="102">
          <cell r="A102" t="str">
            <v>5022-1</v>
          </cell>
          <cell r="B102">
            <v>41320</v>
          </cell>
          <cell r="C102" t="str">
            <v>Jasper Cacioppo</v>
          </cell>
          <cell r="D102" t="str">
            <v>24 Addison Rd,Marrickville</v>
          </cell>
          <cell r="E102" t="str">
            <v>Sydney</v>
          </cell>
          <cell r="F102" t="str">
            <v>NSW</v>
          </cell>
          <cell r="G102" t="str">
            <v>Home Office</v>
          </cell>
          <cell r="H102" t="str">
            <v>Radhya Staples</v>
          </cell>
          <cell r="I102" t="str">
            <v>Medium</v>
          </cell>
          <cell r="J102" t="str">
            <v>Artisan Reinforcements for Hole-Punch Pages</v>
          </cell>
          <cell r="K102" t="str">
            <v>Office Supplies</v>
          </cell>
          <cell r="L102" t="str">
            <v>Small Box</v>
          </cell>
          <cell r="M102" t="str">
            <v>Regular Air</v>
          </cell>
          <cell r="N102">
            <v>41321</v>
          </cell>
          <cell r="O102">
            <v>1.19</v>
          </cell>
          <cell r="P102">
            <v>1.98</v>
          </cell>
          <cell r="Q102">
            <v>3</v>
          </cell>
          <cell r="R102">
            <v>5.9399999999999995</v>
          </cell>
          <cell r="S102">
            <v>0.05</v>
          </cell>
          <cell r="T102">
            <v>0.29699999999999999</v>
          </cell>
          <cell r="U102">
            <v>5.89</v>
          </cell>
          <cell r="V102">
            <v>4.7699999999999996</v>
          </cell>
          <cell r="W102">
            <v>10.66</v>
          </cell>
        </row>
        <row r="103">
          <cell r="A103" t="str">
            <v>5023-1</v>
          </cell>
          <cell r="B103">
            <v>41322</v>
          </cell>
          <cell r="C103" t="str">
            <v>Olvera Toch</v>
          </cell>
          <cell r="D103" t="str">
            <v>3 Carrington Road ,Box Hill</v>
          </cell>
          <cell r="E103" t="str">
            <v>Melbourne</v>
          </cell>
          <cell r="F103" t="str">
            <v>VIC</v>
          </cell>
          <cell r="G103" t="str">
            <v>Home Office</v>
          </cell>
          <cell r="H103" t="str">
            <v>Yvette Biti</v>
          </cell>
          <cell r="I103" t="str">
            <v>Low</v>
          </cell>
          <cell r="J103" t="str">
            <v>12 Colored Short Pencils</v>
          </cell>
          <cell r="K103" t="str">
            <v>Office Supplies</v>
          </cell>
          <cell r="L103" t="str">
            <v>Wrap Bag</v>
          </cell>
          <cell r="M103" t="str">
            <v>Regular Air</v>
          </cell>
          <cell r="N103">
            <v>41327</v>
          </cell>
          <cell r="O103">
            <v>1.0900000000000001</v>
          </cell>
          <cell r="P103">
            <v>2.6</v>
          </cell>
          <cell r="Q103">
            <v>47</v>
          </cell>
          <cell r="R103">
            <v>122.2</v>
          </cell>
          <cell r="S103">
            <v>0.1</v>
          </cell>
          <cell r="T103">
            <v>12.22</v>
          </cell>
          <cell r="U103">
            <v>122.10000000000001</v>
          </cell>
          <cell r="V103">
            <v>2.4</v>
          </cell>
          <cell r="W103">
            <v>124.50000000000001</v>
          </cell>
        </row>
        <row r="104">
          <cell r="A104" t="str">
            <v>5024-1</v>
          </cell>
          <cell r="B104">
            <v>41323</v>
          </cell>
          <cell r="C104" t="str">
            <v>Sean Wendt</v>
          </cell>
          <cell r="D104" t="str">
            <v>145 Ramsay St,Haberfield</v>
          </cell>
          <cell r="E104" t="str">
            <v>Sydney</v>
          </cell>
          <cell r="F104" t="str">
            <v>NSW</v>
          </cell>
          <cell r="G104" t="str">
            <v>Corporate</v>
          </cell>
          <cell r="H104" t="str">
            <v>Phoebe Gour</v>
          </cell>
          <cell r="I104" t="str">
            <v>Critical</v>
          </cell>
          <cell r="J104" t="str">
            <v>Multimedia Mailers</v>
          </cell>
          <cell r="K104" t="str">
            <v>Office Supplies</v>
          </cell>
          <cell r="L104" t="str">
            <v>Small Box</v>
          </cell>
          <cell r="M104" t="str">
            <v>Regular Air</v>
          </cell>
          <cell r="N104">
            <v>41325</v>
          </cell>
          <cell r="O104">
            <v>99.39</v>
          </cell>
          <cell r="P104">
            <v>162.93</v>
          </cell>
          <cell r="Q104">
            <v>32</v>
          </cell>
          <cell r="R104">
            <v>5213.76</v>
          </cell>
          <cell r="S104">
            <v>0.09</v>
          </cell>
          <cell r="T104">
            <v>469.23840000000001</v>
          </cell>
          <cell r="U104">
            <v>5213.67</v>
          </cell>
          <cell r="V104">
            <v>19.989999999999998</v>
          </cell>
          <cell r="W104">
            <v>5233.66</v>
          </cell>
        </row>
        <row r="105">
          <cell r="A105" t="str">
            <v>5025-1</v>
          </cell>
          <cell r="B105">
            <v>41325</v>
          </cell>
          <cell r="C105" t="str">
            <v>Rick Reed</v>
          </cell>
          <cell r="D105" t="str">
            <v>Sydney Fish Market, Bank Street, Sydney</v>
          </cell>
          <cell r="E105" t="str">
            <v>Sydney</v>
          </cell>
          <cell r="F105" t="str">
            <v>NSW</v>
          </cell>
          <cell r="G105" t="str">
            <v>Consumer</v>
          </cell>
          <cell r="H105" t="str">
            <v>Phoebe Gour</v>
          </cell>
          <cell r="I105" t="str">
            <v>Critical</v>
          </cell>
          <cell r="J105" t="str">
            <v>Pizazz Dustless Chalk Sticks</v>
          </cell>
          <cell r="K105" t="str">
            <v>Office Supplies</v>
          </cell>
          <cell r="L105" t="str">
            <v>Wrap Bag</v>
          </cell>
          <cell r="M105" t="str">
            <v>Regular Air</v>
          </cell>
          <cell r="N105">
            <v>41327</v>
          </cell>
          <cell r="O105">
            <v>1.0900000000000001</v>
          </cell>
          <cell r="P105">
            <v>1.68</v>
          </cell>
          <cell r="Q105">
            <v>33</v>
          </cell>
          <cell r="R105">
            <v>55.44</v>
          </cell>
          <cell r="S105">
            <v>0.04</v>
          </cell>
          <cell r="T105">
            <v>2.2176</v>
          </cell>
          <cell r="U105">
            <v>55.4</v>
          </cell>
          <cell r="V105">
            <v>1</v>
          </cell>
          <cell r="W105">
            <v>56.4</v>
          </cell>
        </row>
        <row r="106">
          <cell r="A106" t="str">
            <v>5027-1</v>
          </cell>
          <cell r="B106">
            <v>41327</v>
          </cell>
          <cell r="C106" t="str">
            <v>Toby Swindell</v>
          </cell>
          <cell r="D106" t="str">
            <v>273 George Street,Sydney</v>
          </cell>
          <cell r="E106" t="str">
            <v>Sydney</v>
          </cell>
          <cell r="F106" t="str">
            <v>NSW</v>
          </cell>
          <cell r="G106" t="str">
            <v>Small Business</v>
          </cell>
          <cell r="H106" t="str">
            <v>Leighton Forrest</v>
          </cell>
          <cell r="I106" t="str">
            <v>Not Specified</v>
          </cell>
          <cell r="J106" t="str">
            <v>TypeRight Side-Opening Peel &amp; Seel Expanding Envelopes</v>
          </cell>
          <cell r="K106" t="str">
            <v>Office Supplies</v>
          </cell>
          <cell r="L106" t="str">
            <v>Small Box</v>
          </cell>
          <cell r="M106" t="str">
            <v>Regular Air</v>
          </cell>
          <cell r="N106">
            <v>41328</v>
          </cell>
          <cell r="O106">
            <v>54.29</v>
          </cell>
          <cell r="P106">
            <v>90.48</v>
          </cell>
          <cell r="Q106">
            <v>8</v>
          </cell>
          <cell r="R106">
            <v>723.84</v>
          </cell>
          <cell r="S106">
            <v>7.0000000000000007E-2</v>
          </cell>
          <cell r="T106">
            <v>50.668800000000005</v>
          </cell>
          <cell r="U106">
            <v>723.77</v>
          </cell>
          <cell r="V106">
            <v>19.989999999999998</v>
          </cell>
          <cell r="W106">
            <v>743.76</v>
          </cell>
        </row>
        <row r="107">
          <cell r="A107" t="str">
            <v>5029-1</v>
          </cell>
          <cell r="B107">
            <v>41328</v>
          </cell>
          <cell r="C107" t="str">
            <v>Giulietta Weimer</v>
          </cell>
          <cell r="D107" t="str">
            <v>48 Albion St,Surry Hills</v>
          </cell>
          <cell r="E107" t="str">
            <v>Sydney</v>
          </cell>
          <cell r="F107" t="str">
            <v>NSW</v>
          </cell>
          <cell r="G107" t="str">
            <v>Corporate</v>
          </cell>
          <cell r="H107" t="str">
            <v>Natasha Song</v>
          </cell>
          <cell r="I107" t="str">
            <v>Not Specified</v>
          </cell>
          <cell r="J107" t="str">
            <v>Artisan Printable Repositionable Plastic Tabs</v>
          </cell>
          <cell r="K107" t="str">
            <v>Office Supplies</v>
          </cell>
          <cell r="L107" t="str">
            <v>Small Box</v>
          </cell>
          <cell r="M107" t="str">
            <v>Regular Air</v>
          </cell>
          <cell r="N107">
            <v>41328</v>
          </cell>
          <cell r="O107">
            <v>5.33</v>
          </cell>
          <cell r="P107">
            <v>8.6</v>
          </cell>
          <cell r="Q107">
            <v>48</v>
          </cell>
          <cell r="R107">
            <v>412.79999999999995</v>
          </cell>
          <cell r="S107">
            <v>0</v>
          </cell>
          <cell r="T107">
            <v>0</v>
          </cell>
          <cell r="U107">
            <v>412.79999999999995</v>
          </cell>
          <cell r="V107">
            <v>6.19</v>
          </cell>
          <cell r="W107">
            <v>418.98999999999995</v>
          </cell>
        </row>
        <row r="108">
          <cell r="A108" t="str">
            <v>5030-1</v>
          </cell>
          <cell r="B108">
            <v>41329</v>
          </cell>
          <cell r="C108" t="str">
            <v>Sylvia Foulston</v>
          </cell>
          <cell r="D108" t="str">
            <v>152 Bunnerong Road,Eastgardens</v>
          </cell>
          <cell r="E108" t="str">
            <v>Sydney</v>
          </cell>
          <cell r="F108" t="str">
            <v>NSW</v>
          </cell>
          <cell r="G108" t="str">
            <v>Corporate</v>
          </cell>
          <cell r="H108" t="str">
            <v>Tina Carlton</v>
          </cell>
          <cell r="I108" t="str">
            <v>Medium</v>
          </cell>
          <cell r="J108" t="str">
            <v>Assorted Color Push Pins</v>
          </cell>
          <cell r="K108" t="str">
            <v>Office Supplies</v>
          </cell>
          <cell r="L108" t="str">
            <v>Wrap Bag</v>
          </cell>
          <cell r="M108" t="str">
            <v>Regular Air</v>
          </cell>
          <cell r="N108">
            <v>41330</v>
          </cell>
          <cell r="O108">
            <v>0.87</v>
          </cell>
          <cell r="P108">
            <v>1.81</v>
          </cell>
          <cell r="Q108">
            <v>41</v>
          </cell>
          <cell r="R108">
            <v>74.210000000000008</v>
          </cell>
          <cell r="S108">
            <v>0.03</v>
          </cell>
          <cell r="T108">
            <v>2.2263000000000002</v>
          </cell>
          <cell r="U108">
            <v>74.180000000000007</v>
          </cell>
          <cell r="V108">
            <v>0.75</v>
          </cell>
          <cell r="W108">
            <v>74.930000000000007</v>
          </cell>
        </row>
        <row r="109">
          <cell r="A109" t="str">
            <v>5031-1</v>
          </cell>
          <cell r="B109">
            <v>41330</v>
          </cell>
          <cell r="C109" t="str">
            <v>Paul Prost</v>
          </cell>
          <cell r="D109" t="str">
            <v>120 Hardware St,Melbourne</v>
          </cell>
          <cell r="E109" t="str">
            <v>Melbourne</v>
          </cell>
          <cell r="F109" t="str">
            <v>VIC</v>
          </cell>
          <cell r="G109" t="str">
            <v>Corporate</v>
          </cell>
          <cell r="H109" t="str">
            <v>Connor Betts</v>
          </cell>
          <cell r="I109" t="str">
            <v>Medium</v>
          </cell>
          <cell r="J109" t="str">
            <v>Security-Tint Envelopes</v>
          </cell>
          <cell r="K109" t="str">
            <v>Office Supplies</v>
          </cell>
          <cell r="L109" t="str">
            <v>Small Box</v>
          </cell>
          <cell r="M109" t="str">
            <v>Regular Air</v>
          </cell>
          <cell r="N109">
            <v>41332</v>
          </cell>
          <cell r="O109">
            <v>4.8899999999999997</v>
          </cell>
          <cell r="P109">
            <v>7.64</v>
          </cell>
          <cell r="Q109">
            <v>18</v>
          </cell>
          <cell r="R109">
            <v>137.51999999999998</v>
          </cell>
          <cell r="S109">
            <v>0.1</v>
          </cell>
          <cell r="T109">
            <v>13.751999999999999</v>
          </cell>
          <cell r="U109">
            <v>137.41999999999999</v>
          </cell>
          <cell r="V109">
            <v>1.39</v>
          </cell>
          <cell r="W109">
            <v>138.80999999999997</v>
          </cell>
        </row>
        <row r="110">
          <cell r="A110" t="str">
            <v>5033-1</v>
          </cell>
          <cell r="B110">
            <v>41330</v>
          </cell>
          <cell r="C110" t="str">
            <v>Katherine Ducich</v>
          </cell>
          <cell r="D110" t="str">
            <v>61A Bay Road,Wollstonecraft</v>
          </cell>
          <cell r="E110" t="str">
            <v>Sydney</v>
          </cell>
          <cell r="F110" t="str">
            <v>NSW</v>
          </cell>
          <cell r="G110" t="str">
            <v>Corporate</v>
          </cell>
          <cell r="H110" t="str">
            <v>Samantha Chairs</v>
          </cell>
          <cell r="I110" t="str">
            <v>Medium</v>
          </cell>
          <cell r="J110" t="str">
            <v>TypeRight Side-Opening Peel &amp; Seel Expanding Envelopes</v>
          </cell>
          <cell r="K110" t="str">
            <v>Office Supplies</v>
          </cell>
          <cell r="L110" t="str">
            <v>Small Box</v>
          </cell>
          <cell r="M110" t="str">
            <v>Regular Air</v>
          </cell>
          <cell r="N110">
            <v>41332</v>
          </cell>
          <cell r="O110">
            <v>54.29</v>
          </cell>
          <cell r="P110">
            <v>90.48</v>
          </cell>
          <cell r="Q110">
            <v>3</v>
          </cell>
          <cell r="R110">
            <v>271.44</v>
          </cell>
          <cell r="S110">
            <v>0.03</v>
          </cell>
          <cell r="T110">
            <v>8.1432000000000002</v>
          </cell>
          <cell r="U110">
            <v>271.41000000000003</v>
          </cell>
          <cell r="V110">
            <v>19.989999999999998</v>
          </cell>
          <cell r="W110">
            <v>291.40000000000003</v>
          </cell>
        </row>
        <row r="111">
          <cell r="A111" t="str">
            <v>5034-1</v>
          </cell>
          <cell r="B111">
            <v>41331</v>
          </cell>
          <cell r="C111" t="str">
            <v>Natalie Webber</v>
          </cell>
          <cell r="D111" t="str">
            <v>98-104 Parramatta Rd,Camperdown</v>
          </cell>
          <cell r="E111" t="str">
            <v>Sydney</v>
          </cell>
          <cell r="F111" t="str">
            <v>NSW</v>
          </cell>
          <cell r="G111" t="str">
            <v>Corporate</v>
          </cell>
          <cell r="H111" t="str">
            <v>Phoebe Gour</v>
          </cell>
          <cell r="I111" t="str">
            <v>High</v>
          </cell>
          <cell r="J111" t="str">
            <v>Artisan Arch Ring Binders</v>
          </cell>
          <cell r="K111" t="str">
            <v>Office Supplies</v>
          </cell>
          <cell r="L111" t="str">
            <v>Small Box</v>
          </cell>
          <cell r="M111" t="str">
            <v>Regular Air</v>
          </cell>
          <cell r="N111">
            <v>41331</v>
          </cell>
          <cell r="O111">
            <v>36.020000000000003</v>
          </cell>
          <cell r="P111">
            <v>58.1</v>
          </cell>
          <cell r="Q111">
            <v>50</v>
          </cell>
          <cell r="R111">
            <v>2905</v>
          </cell>
          <cell r="S111">
            <v>0.05</v>
          </cell>
          <cell r="T111">
            <v>145.25</v>
          </cell>
          <cell r="U111">
            <v>2904.95</v>
          </cell>
          <cell r="V111">
            <v>1.49</v>
          </cell>
          <cell r="W111">
            <v>2906.4399999999996</v>
          </cell>
        </row>
        <row r="112">
          <cell r="A112" t="str">
            <v>5036-1</v>
          </cell>
          <cell r="B112">
            <v>41340</v>
          </cell>
          <cell r="C112" t="str">
            <v>Sean ODonnell</v>
          </cell>
          <cell r="D112" t="str">
            <v>541 Church St ,Richmond</v>
          </cell>
          <cell r="E112" t="str">
            <v>Melbourne</v>
          </cell>
          <cell r="F112" t="str">
            <v>VIC</v>
          </cell>
          <cell r="G112" t="str">
            <v>Corporate</v>
          </cell>
          <cell r="H112" t="str">
            <v>Yvette Biti</v>
          </cell>
          <cell r="I112" t="str">
            <v>Critical</v>
          </cell>
          <cell r="J112" t="str">
            <v>OIC Thumb-Tacks</v>
          </cell>
          <cell r="K112" t="str">
            <v>Office Supplies</v>
          </cell>
          <cell r="L112" t="str">
            <v>Wrap Bag</v>
          </cell>
          <cell r="M112" t="str">
            <v>Regular Air</v>
          </cell>
          <cell r="N112">
            <v>41343</v>
          </cell>
          <cell r="O112">
            <v>0.71</v>
          </cell>
          <cell r="P112">
            <v>1.1399999999999999</v>
          </cell>
          <cell r="Q112">
            <v>50</v>
          </cell>
          <cell r="R112">
            <v>56.999999999999993</v>
          </cell>
          <cell r="S112">
            <v>0.06</v>
          </cell>
          <cell r="T112">
            <v>3.4199999999999995</v>
          </cell>
          <cell r="U112">
            <v>56.939999999999991</v>
          </cell>
          <cell r="V112">
            <v>0.7</v>
          </cell>
          <cell r="W112">
            <v>57.639999999999993</v>
          </cell>
        </row>
        <row r="113">
          <cell r="A113" t="str">
            <v>5037-1</v>
          </cell>
          <cell r="B113">
            <v>41344</v>
          </cell>
          <cell r="C113" t="str">
            <v>Art Foster</v>
          </cell>
          <cell r="D113" t="str">
            <v>Westfield Parramatta,Parramatta</v>
          </cell>
          <cell r="E113" t="str">
            <v>Sydney</v>
          </cell>
          <cell r="F113" t="str">
            <v>NSW</v>
          </cell>
          <cell r="G113" t="str">
            <v>Home Office</v>
          </cell>
          <cell r="H113" t="str">
            <v>Stevie Bacata</v>
          </cell>
          <cell r="I113" t="str">
            <v>Critical</v>
          </cell>
          <cell r="J113" t="str">
            <v>Apex Elite Stainless Steel Scissors</v>
          </cell>
          <cell r="K113" t="str">
            <v>Office Supplies</v>
          </cell>
          <cell r="L113" t="str">
            <v>Small Pack</v>
          </cell>
          <cell r="M113" t="str">
            <v>Regular Air</v>
          </cell>
          <cell r="N113">
            <v>41346</v>
          </cell>
          <cell r="O113">
            <v>3.42</v>
          </cell>
          <cell r="P113">
            <v>8.34</v>
          </cell>
          <cell r="Q113">
            <v>16</v>
          </cell>
          <cell r="R113">
            <v>133.44</v>
          </cell>
          <cell r="S113">
            <v>0.03</v>
          </cell>
          <cell r="T113">
            <v>4.0031999999999996</v>
          </cell>
          <cell r="U113">
            <v>133.41</v>
          </cell>
          <cell r="V113">
            <v>2.64</v>
          </cell>
          <cell r="W113">
            <v>136.04999999999998</v>
          </cell>
        </row>
        <row r="114">
          <cell r="A114" t="str">
            <v>5038-1</v>
          </cell>
          <cell r="B114">
            <v>41346</v>
          </cell>
          <cell r="C114" t="str">
            <v>Darren Powers</v>
          </cell>
          <cell r="D114" t="str">
            <v>120 Hardware St,Melbourne</v>
          </cell>
          <cell r="E114" t="str">
            <v>Melbourne</v>
          </cell>
          <cell r="F114" t="str">
            <v>VIC</v>
          </cell>
          <cell r="G114" t="str">
            <v>Corporate</v>
          </cell>
          <cell r="H114" t="str">
            <v>Connor Betts</v>
          </cell>
          <cell r="I114" t="str">
            <v>Low</v>
          </cell>
          <cell r="J114" t="str">
            <v>OIC Thumb-Tacks</v>
          </cell>
          <cell r="K114" t="str">
            <v>Office Supplies</v>
          </cell>
          <cell r="L114" t="str">
            <v>Wrap Bag</v>
          </cell>
          <cell r="M114" t="str">
            <v>Regular Air</v>
          </cell>
          <cell r="N114">
            <v>41346</v>
          </cell>
          <cell r="O114">
            <v>0.71</v>
          </cell>
          <cell r="P114">
            <v>1.1399999999999999</v>
          </cell>
          <cell r="Q114">
            <v>38</v>
          </cell>
          <cell r="R114">
            <v>43.319999999999993</v>
          </cell>
          <cell r="S114">
            <v>0.02</v>
          </cell>
          <cell r="T114">
            <v>0.86639999999999984</v>
          </cell>
          <cell r="U114">
            <v>43.29999999999999</v>
          </cell>
          <cell r="V114">
            <v>0.7</v>
          </cell>
          <cell r="W114">
            <v>43.999999999999993</v>
          </cell>
        </row>
        <row r="115">
          <cell r="A115" t="str">
            <v>5039-1</v>
          </cell>
          <cell r="B115">
            <v>41348</v>
          </cell>
          <cell r="C115" t="str">
            <v>Michael Grace</v>
          </cell>
          <cell r="D115" t="str">
            <v>402 Argyle St,Moss Vale</v>
          </cell>
          <cell r="E115" t="str">
            <v>Sydney</v>
          </cell>
          <cell r="F115" t="str">
            <v>NSW</v>
          </cell>
          <cell r="G115" t="str">
            <v>Corporate</v>
          </cell>
          <cell r="H115" t="str">
            <v>Natasha Song</v>
          </cell>
          <cell r="I115" t="str">
            <v>Medium</v>
          </cell>
          <cell r="J115" t="str">
            <v>Alto Parchment Paper, Assorted Colors</v>
          </cell>
          <cell r="K115" t="str">
            <v>Office Supplies</v>
          </cell>
          <cell r="L115" t="str">
            <v>Small Box</v>
          </cell>
          <cell r="M115" t="str">
            <v>Regular Air</v>
          </cell>
          <cell r="N115">
            <v>41349</v>
          </cell>
          <cell r="O115">
            <v>4.59</v>
          </cell>
          <cell r="P115">
            <v>7.28</v>
          </cell>
          <cell r="Q115">
            <v>22</v>
          </cell>
          <cell r="R115">
            <v>160.16</v>
          </cell>
          <cell r="S115">
            <v>0.01</v>
          </cell>
          <cell r="T115">
            <v>1.6015999999999999</v>
          </cell>
          <cell r="U115">
            <v>160.15</v>
          </cell>
          <cell r="V115">
            <v>11.15</v>
          </cell>
          <cell r="W115">
            <v>171.3</v>
          </cell>
        </row>
        <row r="116">
          <cell r="A116" t="str">
            <v>5040-1</v>
          </cell>
          <cell r="B116">
            <v>41349</v>
          </cell>
          <cell r="C116" t="str">
            <v>Christina Vanderzanden</v>
          </cell>
          <cell r="D116" t="str">
            <v>188 Pitt Street,Sydney</v>
          </cell>
          <cell r="E116" t="str">
            <v>Sydney</v>
          </cell>
          <cell r="F116" t="str">
            <v>NSW</v>
          </cell>
          <cell r="G116" t="str">
            <v>Small Business</v>
          </cell>
          <cell r="H116" t="str">
            <v>Tina Carlton</v>
          </cell>
          <cell r="I116" t="str">
            <v>Low</v>
          </cell>
          <cell r="J116" t="str">
            <v>Steady Colorific Colored Pencils, 12/Box</v>
          </cell>
          <cell r="K116" t="str">
            <v>Office Supplies</v>
          </cell>
          <cell r="L116" t="str">
            <v>Wrap Bag</v>
          </cell>
          <cell r="M116" t="str">
            <v>Regular Air</v>
          </cell>
          <cell r="N116">
            <v>41353</v>
          </cell>
          <cell r="O116">
            <v>1.3</v>
          </cell>
          <cell r="P116">
            <v>2.88</v>
          </cell>
          <cell r="Q116">
            <v>48</v>
          </cell>
          <cell r="R116">
            <v>138.24</v>
          </cell>
          <cell r="S116">
            <v>7.0000000000000007E-2</v>
          </cell>
          <cell r="T116">
            <v>9.6768000000000018</v>
          </cell>
          <cell r="U116">
            <v>138.17000000000002</v>
          </cell>
          <cell r="V116">
            <v>1.01</v>
          </cell>
          <cell r="W116">
            <v>139.18</v>
          </cell>
        </row>
        <row r="117">
          <cell r="A117" t="str">
            <v>5042-1</v>
          </cell>
          <cell r="B117">
            <v>41354</v>
          </cell>
          <cell r="C117" t="str">
            <v>Thais Sissman</v>
          </cell>
          <cell r="D117" t="str">
            <v>53-55 Liverpool St,Sydney</v>
          </cell>
          <cell r="E117" t="str">
            <v>Sydney</v>
          </cell>
          <cell r="F117" t="str">
            <v>NSW</v>
          </cell>
          <cell r="G117" t="str">
            <v>Small Business</v>
          </cell>
          <cell r="H117" t="str">
            <v>Tina Carlton</v>
          </cell>
          <cell r="I117" t="str">
            <v>Low</v>
          </cell>
          <cell r="J117" t="str">
            <v>Aluminum Document Frame</v>
          </cell>
          <cell r="K117" t="str">
            <v>Furniture</v>
          </cell>
          <cell r="L117" t="str">
            <v>Small Pack</v>
          </cell>
          <cell r="M117" t="str">
            <v>Regular Air</v>
          </cell>
          <cell r="N117">
            <v>41361</v>
          </cell>
          <cell r="O117">
            <v>5.5</v>
          </cell>
          <cell r="P117">
            <v>12.22</v>
          </cell>
          <cell r="Q117">
            <v>5</v>
          </cell>
          <cell r="R117">
            <v>61.1</v>
          </cell>
          <cell r="S117">
            <v>0.04</v>
          </cell>
          <cell r="T117">
            <v>2.444</v>
          </cell>
          <cell r="U117">
            <v>61.06</v>
          </cell>
          <cell r="V117">
            <v>2.85</v>
          </cell>
          <cell r="W117">
            <v>63.910000000000004</v>
          </cell>
        </row>
        <row r="118">
          <cell r="A118" t="str">
            <v>5043-1</v>
          </cell>
          <cell r="B118">
            <v>41356</v>
          </cell>
          <cell r="C118" t="str">
            <v>Aaron Smayling</v>
          </cell>
          <cell r="D118" t="str">
            <v>1737 Botany Rd,Banksmeadow</v>
          </cell>
          <cell r="E118" t="str">
            <v>Sydney</v>
          </cell>
          <cell r="F118" t="str">
            <v>NSW</v>
          </cell>
          <cell r="G118" t="str">
            <v>Small Business</v>
          </cell>
          <cell r="H118" t="str">
            <v>Nicholas Fernandes</v>
          </cell>
          <cell r="I118" t="str">
            <v>High</v>
          </cell>
          <cell r="J118" t="str">
            <v>Smiths Gold Paper Clips</v>
          </cell>
          <cell r="K118" t="str">
            <v>Office Supplies</v>
          </cell>
          <cell r="L118" t="str">
            <v>Wrap Bag</v>
          </cell>
          <cell r="M118" t="str">
            <v>Regular Air</v>
          </cell>
          <cell r="N118">
            <v>41359</v>
          </cell>
          <cell r="O118">
            <v>1.82</v>
          </cell>
          <cell r="P118">
            <v>2.98</v>
          </cell>
          <cell r="Q118">
            <v>22</v>
          </cell>
          <cell r="R118">
            <v>65.56</v>
          </cell>
          <cell r="S118">
            <v>0.04</v>
          </cell>
          <cell r="T118">
            <v>2.6224000000000003</v>
          </cell>
          <cell r="U118">
            <v>65.52</v>
          </cell>
          <cell r="V118">
            <v>1.58</v>
          </cell>
          <cell r="W118">
            <v>67.099999999999994</v>
          </cell>
        </row>
        <row r="119">
          <cell r="A119" t="str">
            <v>5045-1</v>
          </cell>
          <cell r="B119">
            <v>41359</v>
          </cell>
          <cell r="C119" t="str">
            <v>Mick Brown</v>
          </cell>
          <cell r="D119" t="str">
            <v>523 King St,Newtown</v>
          </cell>
          <cell r="E119" t="str">
            <v>Sydney</v>
          </cell>
          <cell r="F119" t="str">
            <v>NSW</v>
          </cell>
          <cell r="G119" t="str">
            <v>Consumer</v>
          </cell>
          <cell r="H119" t="str">
            <v>Aanya Zhang</v>
          </cell>
          <cell r="I119" t="str">
            <v>Not Specified</v>
          </cell>
          <cell r="J119" t="str">
            <v>UGen RF Keyboard</v>
          </cell>
          <cell r="K119" t="str">
            <v>Technology</v>
          </cell>
          <cell r="L119" t="str">
            <v>Small Box</v>
          </cell>
          <cell r="M119" t="str">
            <v>Regular Air</v>
          </cell>
          <cell r="N119">
            <v>41361</v>
          </cell>
          <cell r="O119">
            <v>81.59</v>
          </cell>
          <cell r="P119">
            <v>159.99</v>
          </cell>
          <cell r="Q119">
            <v>30</v>
          </cell>
          <cell r="R119">
            <v>4799.7000000000007</v>
          </cell>
          <cell r="S119">
            <v>0.01</v>
          </cell>
          <cell r="T119">
            <v>47.997000000000007</v>
          </cell>
          <cell r="U119">
            <v>4799.6900000000005</v>
          </cell>
          <cell r="V119">
            <v>5.5</v>
          </cell>
          <cell r="W119">
            <v>4805.1900000000005</v>
          </cell>
        </row>
        <row r="120">
          <cell r="A120" t="str">
            <v>5047-1</v>
          </cell>
          <cell r="B120">
            <v>41360</v>
          </cell>
          <cell r="C120" t="str">
            <v>Edward Becker</v>
          </cell>
          <cell r="D120" t="str">
            <v>501 George St,Sydney</v>
          </cell>
          <cell r="E120" t="str">
            <v>Sydney</v>
          </cell>
          <cell r="F120" t="str">
            <v>NSW</v>
          </cell>
          <cell r="G120" t="str">
            <v>Home Office</v>
          </cell>
          <cell r="H120" t="str">
            <v>Samantha Chairs</v>
          </cell>
          <cell r="I120" t="str">
            <v>Low</v>
          </cell>
          <cell r="J120" t="str">
            <v>Artisan Printable Repositionable Plastic Tabs</v>
          </cell>
          <cell r="K120" t="str">
            <v>Office Supplies</v>
          </cell>
          <cell r="L120" t="str">
            <v>Small Box</v>
          </cell>
          <cell r="M120" t="str">
            <v>Regular Air</v>
          </cell>
          <cell r="N120">
            <v>41367</v>
          </cell>
          <cell r="O120">
            <v>5.33</v>
          </cell>
          <cell r="P120">
            <v>8.6</v>
          </cell>
          <cell r="Q120">
            <v>37</v>
          </cell>
          <cell r="R120">
            <v>318.2</v>
          </cell>
          <cell r="S120">
            <v>0.04</v>
          </cell>
          <cell r="T120">
            <v>12.728</v>
          </cell>
          <cell r="U120">
            <v>318.15999999999997</v>
          </cell>
          <cell r="V120">
            <v>6.19</v>
          </cell>
          <cell r="W120">
            <v>324.34999999999997</v>
          </cell>
        </row>
        <row r="121">
          <cell r="A121" t="str">
            <v>5048-1</v>
          </cell>
          <cell r="B121">
            <v>41360</v>
          </cell>
          <cell r="C121" t="str">
            <v>Erica Smith</v>
          </cell>
          <cell r="D121" t="str">
            <v>188 Pitt Street,Sydney</v>
          </cell>
          <cell r="E121" t="str">
            <v>Sydney</v>
          </cell>
          <cell r="F121" t="str">
            <v>NSW</v>
          </cell>
          <cell r="G121" t="str">
            <v>Small Business</v>
          </cell>
          <cell r="H121" t="str">
            <v>Tina Carlton</v>
          </cell>
          <cell r="I121" t="str">
            <v>Medium</v>
          </cell>
          <cell r="J121" t="str">
            <v>Smiths Standard Envelopes</v>
          </cell>
          <cell r="K121" t="str">
            <v>Office Supplies</v>
          </cell>
          <cell r="L121" t="str">
            <v>Small Box</v>
          </cell>
          <cell r="M121" t="str">
            <v>Regular Air</v>
          </cell>
          <cell r="N121">
            <v>41360</v>
          </cell>
          <cell r="O121">
            <v>3.52</v>
          </cell>
          <cell r="P121">
            <v>5.68</v>
          </cell>
          <cell r="Q121">
            <v>24</v>
          </cell>
          <cell r="R121">
            <v>136.32</v>
          </cell>
          <cell r="S121">
            <v>0.06</v>
          </cell>
          <cell r="T121">
            <v>8.1791999999999998</v>
          </cell>
          <cell r="U121">
            <v>136.26</v>
          </cell>
          <cell r="V121">
            <v>1.39</v>
          </cell>
          <cell r="W121">
            <v>137.64999999999998</v>
          </cell>
        </row>
        <row r="122">
          <cell r="A122" t="str">
            <v>5049-1</v>
          </cell>
          <cell r="B122">
            <v>41363</v>
          </cell>
          <cell r="C122" t="str">
            <v>Justin Knight</v>
          </cell>
          <cell r="D122" t="str">
            <v>Macquarie Centre Cnr Herring Road &amp; Waterloo Road,Macquarie Park</v>
          </cell>
          <cell r="E122" t="str">
            <v>Sydney</v>
          </cell>
          <cell r="F122" t="str">
            <v>NSW</v>
          </cell>
          <cell r="G122" t="str">
            <v>Corporate</v>
          </cell>
          <cell r="H122" t="str">
            <v>Nicholas Fernandes</v>
          </cell>
          <cell r="I122" t="str">
            <v>Not Specified</v>
          </cell>
          <cell r="J122" t="str">
            <v>Office Shears by Apex</v>
          </cell>
          <cell r="K122" t="str">
            <v>Office Supplies</v>
          </cell>
          <cell r="L122" t="str">
            <v>Small Pack</v>
          </cell>
          <cell r="M122" t="str">
            <v>Regular Air</v>
          </cell>
          <cell r="N122">
            <v>41364</v>
          </cell>
          <cell r="O122">
            <v>0.94</v>
          </cell>
          <cell r="P122">
            <v>2.08</v>
          </cell>
          <cell r="Q122">
            <v>4</v>
          </cell>
          <cell r="R122">
            <v>8.32</v>
          </cell>
          <cell r="S122">
            <v>0.02</v>
          </cell>
          <cell r="T122">
            <v>0.16640000000000002</v>
          </cell>
          <cell r="U122">
            <v>8.3000000000000007</v>
          </cell>
          <cell r="V122">
            <v>2.56</v>
          </cell>
          <cell r="W122">
            <v>10.860000000000001</v>
          </cell>
        </row>
        <row r="123">
          <cell r="A123" t="str">
            <v>5050-1</v>
          </cell>
          <cell r="B123">
            <v>41383</v>
          </cell>
          <cell r="C123" t="str">
            <v>Craig Carroll</v>
          </cell>
          <cell r="D123" t="str">
            <v>99 Lygon Street,East Brunswick</v>
          </cell>
          <cell r="E123" t="str">
            <v>Melbourne</v>
          </cell>
          <cell r="F123" t="str">
            <v>VIC</v>
          </cell>
          <cell r="G123" t="str">
            <v>Corporate</v>
          </cell>
          <cell r="H123" t="str">
            <v>Connor Betts</v>
          </cell>
          <cell r="I123" t="str">
            <v>Not Specified</v>
          </cell>
          <cell r="J123" t="str">
            <v>Artisan Printable Repositionable Plastic Tabs</v>
          </cell>
          <cell r="K123" t="str">
            <v>Office Supplies</v>
          </cell>
          <cell r="L123" t="str">
            <v>Small Box</v>
          </cell>
          <cell r="M123" t="str">
            <v>Regular Air</v>
          </cell>
          <cell r="N123">
            <v>41384</v>
          </cell>
          <cell r="O123">
            <v>5.33</v>
          </cell>
          <cell r="P123">
            <v>8.6</v>
          </cell>
          <cell r="Q123">
            <v>36</v>
          </cell>
          <cell r="R123">
            <v>309.59999999999997</v>
          </cell>
          <cell r="S123">
            <v>0.06</v>
          </cell>
          <cell r="T123">
            <v>18.575999999999997</v>
          </cell>
          <cell r="U123">
            <v>309.53999999999996</v>
          </cell>
          <cell r="V123">
            <v>6.19</v>
          </cell>
          <cell r="W123">
            <v>315.72999999999996</v>
          </cell>
        </row>
        <row r="124">
          <cell r="A124" t="str">
            <v>5052-1</v>
          </cell>
          <cell r="B124">
            <v>41384</v>
          </cell>
          <cell r="C124" t="str">
            <v>Laura Armstrong</v>
          </cell>
          <cell r="D124" t="str">
            <v>240-242 Johnston Street,Fitzroy</v>
          </cell>
          <cell r="E124" t="str">
            <v>Melbourne</v>
          </cell>
          <cell r="F124" t="str">
            <v>VIC</v>
          </cell>
          <cell r="G124" t="str">
            <v>Small Business</v>
          </cell>
          <cell r="H124" t="str">
            <v>Connor Betts</v>
          </cell>
          <cell r="I124" t="str">
            <v>Not Specified</v>
          </cell>
          <cell r="J124" t="str">
            <v>EcoTones Memo Sheets</v>
          </cell>
          <cell r="K124" t="str">
            <v>Office Supplies</v>
          </cell>
          <cell r="L124" t="str">
            <v>Wrap Bag</v>
          </cell>
          <cell r="M124" t="str">
            <v>Regular Air</v>
          </cell>
          <cell r="N124">
            <v>41386</v>
          </cell>
          <cell r="O124">
            <v>2.52</v>
          </cell>
          <cell r="P124">
            <v>4</v>
          </cell>
          <cell r="Q124">
            <v>31</v>
          </cell>
          <cell r="R124">
            <v>124</v>
          </cell>
          <cell r="S124">
            <v>0.01</v>
          </cell>
          <cell r="T124">
            <v>1.24</v>
          </cell>
          <cell r="U124">
            <v>123.99</v>
          </cell>
          <cell r="V124">
            <v>1.3</v>
          </cell>
          <cell r="W124">
            <v>125.28999999999999</v>
          </cell>
        </row>
        <row r="125">
          <cell r="A125" t="str">
            <v>5053-1</v>
          </cell>
          <cell r="B125">
            <v>41390</v>
          </cell>
          <cell r="C125" t="str">
            <v>Thomas Boland</v>
          </cell>
          <cell r="D125" t="str">
            <v>3/219 Canley Vale Road,Canley Heights</v>
          </cell>
          <cell r="E125" t="str">
            <v>Sydney</v>
          </cell>
          <cell r="F125" t="str">
            <v>NSW</v>
          </cell>
          <cell r="G125" t="str">
            <v>Corporate</v>
          </cell>
          <cell r="H125" t="str">
            <v>Mihael Khan</v>
          </cell>
          <cell r="I125" t="str">
            <v>Critical</v>
          </cell>
          <cell r="J125" t="str">
            <v>1726 Digital Answering Machine</v>
          </cell>
          <cell r="K125" t="str">
            <v>Technology</v>
          </cell>
          <cell r="L125" t="str">
            <v>Medium Box</v>
          </cell>
          <cell r="M125" t="str">
            <v>Regular Air</v>
          </cell>
          <cell r="N125">
            <v>41390</v>
          </cell>
          <cell r="O125">
            <v>8.82</v>
          </cell>
          <cell r="P125">
            <v>20.99</v>
          </cell>
          <cell r="Q125">
            <v>19</v>
          </cell>
          <cell r="R125">
            <v>398.80999999999995</v>
          </cell>
          <cell r="S125">
            <v>0.01</v>
          </cell>
          <cell r="T125">
            <v>3.9880999999999998</v>
          </cell>
          <cell r="U125">
            <v>398.79999999999995</v>
          </cell>
          <cell r="V125">
            <v>4.8099999999999996</v>
          </cell>
          <cell r="W125">
            <v>403.60999999999996</v>
          </cell>
        </row>
        <row r="126">
          <cell r="A126" t="str">
            <v>5055-1</v>
          </cell>
          <cell r="B126">
            <v>41391</v>
          </cell>
          <cell r="C126" t="str">
            <v>Noah Childs</v>
          </cell>
          <cell r="D126" t="str">
            <v>78 Stanley St,Darlinghurst</v>
          </cell>
          <cell r="E126" t="str">
            <v>Sydney</v>
          </cell>
          <cell r="F126" t="str">
            <v>NSW</v>
          </cell>
          <cell r="G126" t="str">
            <v>Home Office</v>
          </cell>
          <cell r="H126" t="str">
            <v>Phoebe Gour</v>
          </cell>
          <cell r="I126" t="str">
            <v>High</v>
          </cell>
          <cell r="J126" t="str">
            <v>Smiths Premium Bright 1-Part Blank Computer Paper</v>
          </cell>
          <cell r="K126" t="str">
            <v>Office Supplies</v>
          </cell>
          <cell r="L126" t="str">
            <v>Small Box</v>
          </cell>
          <cell r="M126" t="str">
            <v>Express Air</v>
          </cell>
          <cell r="N126">
            <v>41392</v>
          </cell>
          <cell r="O126">
            <v>7.61</v>
          </cell>
          <cell r="P126">
            <v>12.28</v>
          </cell>
          <cell r="Q126">
            <v>29</v>
          </cell>
          <cell r="R126">
            <v>356.12</v>
          </cell>
          <cell r="S126">
            <v>0</v>
          </cell>
          <cell r="T126">
            <v>0</v>
          </cell>
          <cell r="U126">
            <v>356.12</v>
          </cell>
          <cell r="V126">
            <v>6.35</v>
          </cell>
          <cell r="W126">
            <v>362.47</v>
          </cell>
        </row>
        <row r="127">
          <cell r="A127" t="str">
            <v>5057-1</v>
          </cell>
          <cell r="B127">
            <v>41392</v>
          </cell>
          <cell r="C127" t="str">
            <v>Rob Haberlin</v>
          </cell>
          <cell r="D127" t="str">
            <v>8 Rankins Lane ,Melbourne</v>
          </cell>
          <cell r="E127" t="str">
            <v>Melbourne</v>
          </cell>
          <cell r="F127" t="str">
            <v>VIC</v>
          </cell>
          <cell r="G127" t="str">
            <v>Corporate</v>
          </cell>
          <cell r="H127" t="str">
            <v>Connor Betts</v>
          </cell>
          <cell r="I127" t="str">
            <v>Medium</v>
          </cell>
          <cell r="J127" t="str">
            <v>Artisan 479 Labels</v>
          </cell>
          <cell r="K127" t="str">
            <v>Office Supplies</v>
          </cell>
          <cell r="L127" t="str">
            <v>Small Box</v>
          </cell>
          <cell r="M127" t="str">
            <v>Regular Air</v>
          </cell>
          <cell r="N127">
            <v>41394</v>
          </cell>
          <cell r="O127">
            <v>1.59</v>
          </cell>
          <cell r="P127">
            <v>2.61</v>
          </cell>
          <cell r="Q127">
            <v>9</v>
          </cell>
          <cell r="R127">
            <v>23.49</v>
          </cell>
          <cell r="S127">
            <v>0.06</v>
          </cell>
          <cell r="T127">
            <v>1.4093999999999998</v>
          </cell>
          <cell r="U127">
            <v>23.43</v>
          </cell>
          <cell r="V127">
            <v>0.5</v>
          </cell>
          <cell r="W127">
            <v>23.93</v>
          </cell>
        </row>
        <row r="128">
          <cell r="A128" t="str">
            <v>5059-1</v>
          </cell>
          <cell r="B128">
            <v>41392</v>
          </cell>
          <cell r="C128" t="str">
            <v>Barry Weirich</v>
          </cell>
          <cell r="D128" t="str">
            <v>105 Pitt St,Sydney</v>
          </cell>
          <cell r="E128" t="str">
            <v>Sydney</v>
          </cell>
          <cell r="F128" t="str">
            <v>NSW</v>
          </cell>
          <cell r="G128" t="str">
            <v>Corporate</v>
          </cell>
          <cell r="H128" t="str">
            <v>Charlie Bui</v>
          </cell>
          <cell r="I128" t="str">
            <v>Medium</v>
          </cell>
          <cell r="J128" t="str">
            <v>Beekin 105-Key Black Keyboard</v>
          </cell>
          <cell r="K128" t="str">
            <v>Technology</v>
          </cell>
          <cell r="L128" t="str">
            <v>Small Box</v>
          </cell>
          <cell r="M128" t="str">
            <v>Regular Air</v>
          </cell>
          <cell r="N128">
            <v>41392</v>
          </cell>
          <cell r="O128">
            <v>6.39</v>
          </cell>
          <cell r="P128">
            <v>19.98</v>
          </cell>
          <cell r="Q128">
            <v>7</v>
          </cell>
          <cell r="R128">
            <v>139.86000000000001</v>
          </cell>
          <cell r="S128">
            <v>0.01</v>
          </cell>
          <cell r="T128">
            <v>1.3986000000000001</v>
          </cell>
          <cell r="U128">
            <v>139.85000000000002</v>
          </cell>
          <cell r="V128">
            <v>4</v>
          </cell>
          <cell r="W128">
            <v>143.85000000000002</v>
          </cell>
        </row>
        <row r="129">
          <cell r="A129" t="str">
            <v>5060-1</v>
          </cell>
          <cell r="B129">
            <v>41394</v>
          </cell>
          <cell r="C129" t="str">
            <v>Kelly Williams</v>
          </cell>
          <cell r="D129" t="str">
            <v>499-501 Lygon Street,Carlton North</v>
          </cell>
          <cell r="E129" t="str">
            <v>Melbourne</v>
          </cell>
          <cell r="F129" t="str">
            <v>VIC</v>
          </cell>
          <cell r="G129" t="str">
            <v>Corporate</v>
          </cell>
          <cell r="H129" t="str">
            <v>Yvette Biti</v>
          </cell>
          <cell r="I129" t="str">
            <v>Medium</v>
          </cell>
          <cell r="J129" t="str">
            <v>Adesso Programmable 142-Key Keyboard</v>
          </cell>
          <cell r="K129" t="str">
            <v>Technology</v>
          </cell>
          <cell r="L129" t="str">
            <v>Small Box</v>
          </cell>
          <cell r="M129" t="str">
            <v>Express Air</v>
          </cell>
          <cell r="N129">
            <v>41395</v>
          </cell>
          <cell r="O129">
            <v>32.020000000000003</v>
          </cell>
          <cell r="P129">
            <v>152.47999999999999</v>
          </cell>
          <cell r="Q129">
            <v>16</v>
          </cell>
          <cell r="R129">
            <v>2439.6799999999998</v>
          </cell>
          <cell r="S129">
            <v>0.1</v>
          </cell>
          <cell r="T129">
            <v>243.96799999999999</v>
          </cell>
          <cell r="U129">
            <v>2439.58</v>
          </cell>
          <cell r="V129">
            <v>4</v>
          </cell>
          <cell r="W129">
            <v>2443.58</v>
          </cell>
        </row>
        <row r="130">
          <cell r="A130" t="str">
            <v>5061-1</v>
          </cell>
          <cell r="B130">
            <v>41394</v>
          </cell>
          <cell r="C130" t="str">
            <v>Jack OBriant</v>
          </cell>
          <cell r="D130" t="str">
            <v>85-113 Dunning Ave,Rosebery</v>
          </cell>
          <cell r="E130" t="str">
            <v>Sydney</v>
          </cell>
          <cell r="F130" t="str">
            <v>NSW</v>
          </cell>
          <cell r="G130" t="str">
            <v>Small Business</v>
          </cell>
          <cell r="H130" t="str">
            <v>Mihael Khan</v>
          </cell>
          <cell r="I130" t="str">
            <v>Not Specified</v>
          </cell>
          <cell r="J130" t="str">
            <v>Smiths Premium Bright 1-Part Blank Computer Paper</v>
          </cell>
          <cell r="K130" t="str">
            <v>Office Supplies</v>
          </cell>
          <cell r="L130" t="str">
            <v>Small Box</v>
          </cell>
          <cell r="M130" t="str">
            <v>Regular Air</v>
          </cell>
          <cell r="N130">
            <v>41396</v>
          </cell>
          <cell r="O130">
            <v>7.61</v>
          </cell>
          <cell r="P130">
            <v>12.28</v>
          </cell>
          <cell r="Q130">
            <v>27</v>
          </cell>
          <cell r="R130">
            <v>331.56</v>
          </cell>
          <cell r="S130">
            <v>0.03</v>
          </cell>
          <cell r="T130">
            <v>9.9467999999999996</v>
          </cell>
          <cell r="U130">
            <v>331.53000000000003</v>
          </cell>
          <cell r="V130">
            <v>6.35</v>
          </cell>
          <cell r="W130">
            <v>337.88000000000005</v>
          </cell>
        </row>
        <row r="131">
          <cell r="A131" t="str">
            <v>5062-1</v>
          </cell>
          <cell r="B131">
            <v>41394</v>
          </cell>
          <cell r="C131" t="str">
            <v>Pamela Stobb</v>
          </cell>
          <cell r="D131" t="str">
            <v>273 George Street,Sydney</v>
          </cell>
          <cell r="E131" t="str">
            <v>Sydney</v>
          </cell>
          <cell r="F131" t="str">
            <v>NSW</v>
          </cell>
          <cell r="G131" t="str">
            <v>Consumer</v>
          </cell>
          <cell r="H131" t="str">
            <v>Leighton Forrest</v>
          </cell>
          <cell r="I131" t="str">
            <v>Not Specified</v>
          </cell>
          <cell r="J131" t="str">
            <v>TechSavi Access Keyboard</v>
          </cell>
          <cell r="K131" t="str">
            <v>Technology</v>
          </cell>
          <cell r="L131" t="str">
            <v>Small Box</v>
          </cell>
          <cell r="M131" t="str">
            <v>Regular Air</v>
          </cell>
          <cell r="N131">
            <v>41396</v>
          </cell>
          <cell r="O131">
            <v>10.07</v>
          </cell>
          <cell r="P131">
            <v>15.98</v>
          </cell>
          <cell r="Q131">
            <v>39</v>
          </cell>
          <cell r="R131">
            <v>623.22</v>
          </cell>
          <cell r="S131">
            <v>0.09</v>
          </cell>
          <cell r="T131">
            <v>56.089800000000004</v>
          </cell>
          <cell r="U131">
            <v>623.13</v>
          </cell>
          <cell r="V131">
            <v>4</v>
          </cell>
          <cell r="W131">
            <v>627.13</v>
          </cell>
        </row>
        <row r="132">
          <cell r="A132" t="str">
            <v>5063-1</v>
          </cell>
          <cell r="B132">
            <v>41395</v>
          </cell>
          <cell r="C132" t="str">
            <v>William Brown</v>
          </cell>
          <cell r="D132" t="str">
            <v>3 Carrington Road ,Box Hill</v>
          </cell>
          <cell r="E132" t="str">
            <v>Melbourne</v>
          </cell>
          <cell r="F132" t="str">
            <v>VIC</v>
          </cell>
          <cell r="G132" t="str">
            <v>Corporate</v>
          </cell>
          <cell r="H132" t="str">
            <v>Yvette Biti</v>
          </cell>
          <cell r="I132" t="str">
            <v>Not Specified</v>
          </cell>
          <cell r="J132" t="str">
            <v>Smiths SlimLine Pencil Sharpener</v>
          </cell>
          <cell r="K132" t="str">
            <v>Office Supplies</v>
          </cell>
          <cell r="L132" t="str">
            <v>Small Pack</v>
          </cell>
          <cell r="M132" t="str">
            <v>Regular Air</v>
          </cell>
          <cell r="N132">
            <v>41397</v>
          </cell>
          <cell r="O132">
            <v>4.79</v>
          </cell>
          <cell r="P132">
            <v>11.97</v>
          </cell>
          <cell r="Q132">
            <v>7</v>
          </cell>
          <cell r="R132">
            <v>83.79</v>
          </cell>
          <cell r="S132">
            <v>0.05</v>
          </cell>
          <cell r="T132">
            <v>4.1895000000000007</v>
          </cell>
          <cell r="U132">
            <v>83.740000000000009</v>
          </cell>
          <cell r="V132">
            <v>5.81</v>
          </cell>
          <cell r="W132">
            <v>89.550000000000011</v>
          </cell>
        </row>
        <row r="133">
          <cell r="A133" t="str">
            <v>5064-1</v>
          </cell>
          <cell r="B133">
            <v>41396</v>
          </cell>
          <cell r="C133" t="str">
            <v>Nat Carroll</v>
          </cell>
          <cell r="D133" t="str">
            <v>499-501 Lygon Street,Carlton North</v>
          </cell>
          <cell r="E133" t="str">
            <v>Melbourne</v>
          </cell>
          <cell r="F133" t="str">
            <v>VIC</v>
          </cell>
          <cell r="G133" t="str">
            <v>Home Office</v>
          </cell>
          <cell r="H133" t="str">
            <v>Yvette Biti</v>
          </cell>
          <cell r="I133" t="str">
            <v>Not Specified</v>
          </cell>
          <cell r="J133" t="str">
            <v>Artisan Premier Heavy-Duty Binder with Round Locking Rings</v>
          </cell>
          <cell r="K133" t="str">
            <v>Office Supplies</v>
          </cell>
          <cell r="L133" t="str">
            <v>Small Box</v>
          </cell>
          <cell r="M133" t="str">
            <v>Regular Air</v>
          </cell>
          <cell r="N133">
            <v>41397</v>
          </cell>
          <cell r="O133">
            <v>8.7100000000000009</v>
          </cell>
          <cell r="P133">
            <v>14.28</v>
          </cell>
          <cell r="Q133">
            <v>42</v>
          </cell>
          <cell r="R133">
            <v>599.76</v>
          </cell>
          <cell r="S133">
            <v>0.1</v>
          </cell>
          <cell r="T133">
            <v>59.975999999999999</v>
          </cell>
          <cell r="U133">
            <v>599.66</v>
          </cell>
          <cell r="V133">
            <v>2.99</v>
          </cell>
          <cell r="W133">
            <v>602.65</v>
          </cell>
        </row>
        <row r="134">
          <cell r="A134" t="str">
            <v>5066-1</v>
          </cell>
          <cell r="B134">
            <v>41396</v>
          </cell>
          <cell r="C134" t="str">
            <v>Troy Staebel</v>
          </cell>
          <cell r="D134" t="str">
            <v>1-2/299 Sussex St,Sydney</v>
          </cell>
          <cell r="E134" t="str">
            <v>Sydney</v>
          </cell>
          <cell r="F134" t="str">
            <v>NSW</v>
          </cell>
          <cell r="G134" t="str">
            <v>Small Business</v>
          </cell>
          <cell r="H134" t="str">
            <v>Aanya Zhang</v>
          </cell>
          <cell r="I134" t="str">
            <v>Critical</v>
          </cell>
          <cell r="J134" t="str">
            <v>TypeRight Side-Opening Peel &amp; Seel Expanding Envelopes</v>
          </cell>
          <cell r="K134" t="str">
            <v>Office Supplies</v>
          </cell>
          <cell r="L134" t="str">
            <v>Small Box</v>
          </cell>
          <cell r="M134" t="str">
            <v>Regular Air</v>
          </cell>
          <cell r="N134">
            <v>41397</v>
          </cell>
          <cell r="O134">
            <v>54.29</v>
          </cell>
          <cell r="P134">
            <v>90.48</v>
          </cell>
          <cell r="Q134">
            <v>15</v>
          </cell>
          <cell r="R134">
            <v>1357.2</v>
          </cell>
          <cell r="S134">
            <v>0.05</v>
          </cell>
          <cell r="T134">
            <v>67.86</v>
          </cell>
          <cell r="U134">
            <v>1357.15</v>
          </cell>
          <cell r="V134">
            <v>19.989999999999998</v>
          </cell>
          <cell r="W134">
            <v>1377.14</v>
          </cell>
        </row>
        <row r="135">
          <cell r="A135" t="str">
            <v>5068-1</v>
          </cell>
          <cell r="B135">
            <v>41397</v>
          </cell>
          <cell r="C135" t="str">
            <v>Dario Medina</v>
          </cell>
          <cell r="D135" t="str">
            <v>60 York St,Sydney</v>
          </cell>
          <cell r="E135" t="str">
            <v>Sydney</v>
          </cell>
          <cell r="F135" t="str">
            <v>NSW</v>
          </cell>
          <cell r="G135" t="str">
            <v>Small Business</v>
          </cell>
          <cell r="H135" t="str">
            <v>Charlie Bui</v>
          </cell>
          <cell r="I135" t="str">
            <v>Critical</v>
          </cell>
          <cell r="J135" t="str">
            <v>Smiths Standard Envelopes</v>
          </cell>
          <cell r="K135" t="str">
            <v>Office Supplies</v>
          </cell>
          <cell r="L135" t="str">
            <v>Small Box</v>
          </cell>
          <cell r="M135" t="str">
            <v>Regular Air</v>
          </cell>
          <cell r="N135">
            <v>41399</v>
          </cell>
          <cell r="O135">
            <v>3.52</v>
          </cell>
          <cell r="P135">
            <v>5.68</v>
          </cell>
          <cell r="Q135">
            <v>20</v>
          </cell>
          <cell r="R135">
            <v>113.6</v>
          </cell>
          <cell r="S135">
            <v>7.0000000000000007E-2</v>
          </cell>
          <cell r="T135">
            <v>7.952</v>
          </cell>
          <cell r="U135">
            <v>113.53</v>
          </cell>
          <cell r="V135">
            <v>1.39</v>
          </cell>
          <cell r="W135">
            <v>114.92</v>
          </cell>
        </row>
        <row r="136">
          <cell r="A136" t="str">
            <v>5070-1</v>
          </cell>
          <cell r="B136">
            <v>41398</v>
          </cell>
          <cell r="C136" t="str">
            <v>Lynn Smith</v>
          </cell>
          <cell r="D136" t="str">
            <v>61A Bay Road,Wollstonecraft</v>
          </cell>
          <cell r="E136" t="str">
            <v>Sydney</v>
          </cell>
          <cell r="F136" t="str">
            <v>NSW</v>
          </cell>
          <cell r="G136" t="str">
            <v>Corporate</v>
          </cell>
          <cell r="H136" t="str">
            <v>Samantha Chairs</v>
          </cell>
          <cell r="I136" t="str">
            <v>Critical</v>
          </cell>
          <cell r="J136" t="str">
            <v>Steady Liquid Accent Highlighters</v>
          </cell>
          <cell r="K136" t="str">
            <v>Office Supplies</v>
          </cell>
          <cell r="L136" t="str">
            <v>Wrap Bag</v>
          </cell>
          <cell r="M136" t="str">
            <v>Regular Air</v>
          </cell>
          <cell r="N136">
            <v>41400</v>
          </cell>
          <cell r="O136">
            <v>3.47</v>
          </cell>
          <cell r="P136">
            <v>6.68</v>
          </cell>
          <cell r="Q136">
            <v>41</v>
          </cell>
          <cell r="R136">
            <v>273.88</v>
          </cell>
          <cell r="S136">
            <v>0.08</v>
          </cell>
          <cell r="T136">
            <v>21.910399999999999</v>
          </cell>
          <cell r="U136">
            <v>273.8</v>
          </cell>
          <cell r="V136">
            <v>1.5</v>
          </cell>
          <cell r="W136">
            <v>275.3</v>
          </cell>
        </row>
        <row r="137">
          <cell r="A137" t="str">
            <v>5075-1</v>
          </cell>
          <cell r="B137">
            <v>41399</v>
          </cell>
          <cell r="C137" t="str">
            <v>Dave Kipp</v>
          </cell>
          <cell r="D137" t="str">
            <v>221 Barkly St,St Kilda</v>
          </cell>
          <cell r="E137" t="str">
            <v>Melbourne</v>
          </cell>
          <cell r="F137" t="str">
            <v>VIC</v>
          </cell>
          <cell r="G137" t="str">
            <v>Corporate</v>
          </cell>
          <cell r="H137" t="str">
            <v>Yvette Biti</v>
          </cell>
          <cell r="I137" t="str">
            <v>Low</v>
          </cell>
          <cell r="J137" t="str">
            <v>TechSavi Access Keyboard</v>
          </cell>
          <cell r="K137" t="str">
            <v>Technology</v>
          </cell>
          <cell r="L137" t="str">
            <v>Small Box</v>
          </cell>
          <cell r="M137" t="str">
            <v>Regular Air</v>
          </cell>
          <cell r="N137">
            <v>41404</v>
          </cell>
          <cell r="O137">
            <v>10.07</v>
          </cell>
          <cell r="P137">
            <v>15.98</v>
          </cell>
          <cell r="Q137">
            <v>34</v>
          </cell>
          <cell r="R137">
            <v>543.32000000000005</v>
          </cell>
          <cell r="S137">
            <v>0.1</v>
          </cell>
          <cell r="T137">
            <v>54.332000000000008</v>
          </cell>
          <cell r="U137">
            <v>543.22</v>
          </cell>
          <cell r="V137">
            <v>4</v>
          </cell>
          <cell r="W137">
            <v>547.22</v>
          </cell>
        </row>
        <row r="138">
          <cell r="A138" t="str">
            <v>5077-1</v>
          </cell>
          <cell r="B138">
            <v>41401</v>
          </cell>
          <cell r="C138" t="str">
            <v>Grant Carroll</v>
          </cell>
          <cell r="D138" t="str">
            <v>10 O'Connell St,Sydney</v>
          </cell>
          <cell r="E138" t="str">
            <v>Sydney</v>
          </cell>
          <cell r="F138" t="str">
            <v>NSW</v>
          </cell>
          <cell r="G138" t="str">
            <v>Small Business</v>
          </cell>
          <cell r="H138" t="str">
            <v>Aanya Zhang</v>
          </cell>
          <cell r="I138" t="str">
            <v>Not Specified</v>
          </cell>
          <cell r="J138" t="str">
            <v>Smiths SlimLine Pencil Sharpener</v>
          </cell>
          <cell r="K138" t="str">
            <v>Office Supplies</v>
          </cell>
          <cell r="L138" t="str">
            <v>Small Pack</v>
          </cell>
          <cell r="M138" t="str">
            <v>Regular Air</v>
          </cell>
          <cell r="N138">
            <v>41403</v>
          </cell>
          <cell r="O138">
            <v>4.79</v>
          </cell>
          <cell r="P138">
            <v>11.97</v>
          </cell>
          <cell r="Q138">
            <v>18</v>
          </cell>
          <cell r="R138">
            <v>215.46</v>
          </cell>
          <cell r="S138">
            <v>0.08</v>
          </cell>
          <cell r="T138">
            <v>17.236800000000002</v>
          </cell>
          <cell r="U138">
            <v>215.38</v>
          </cell>
          <cell r="V138">
            <v>5.81</v>
          </cell>
          <cell r="W138">
            <v>221.19</v>
          </cell>
        </row>
        <row r="139">
          <cell r="A139" t="str">
            <v>5079-1</v>
          </cell>
          <cell r="B139">
            <v>41403</v>
          </cell>
          <cell r="C139" t="str">
            <v>Liz Pelletier</v>
          </cell>
          <cell r="D139" t="str">
            <v>79 Elliott St,Balmain</v>
          </cell>
          <cell r="E139" t="str">
            <v>Sydney</v>
          </cell>
          <cell r="F139" t="str">
            <v>NSW</v>
          </cell>
          <cell r="G139" t="str">
            <v>Home Office</v>
          </cell>
          <cell r="H139" t="str">
            <v>Aanya Zhang</v>
          </cell>
          <cell r="I139" t="str">
            <v>Critical</v>
          </cell>
          <cell r="J139" t="str">
            <v>1726 Digital Answering Machine</v>
          </cell>
          <cell r="K139" t="str">
            <v>Technology</v>
          </cell>
          <cell r="L139" t="str">
            <v>Medium Box</v>
          </cell>
          <cell r="M139" t="str">
            <v>Express Air</v>
          </cell>
          <cell r="N139">
            <v>41404</v>
          </cell>
          <cell r="O139">
            <v>8.82</v>
          </cell>
          <cell r="P139">
            <v>20.99</v>
          </cell>
          <cell r="Q139">
            <v>8</v>
          </cell>
          <cell r="R139">
            <v>167.92</v>
          </cell>
          <cell r="S139">
            <v>0.09</v>
          </cell>
          <cell r="T139">
            <v>15.112799999999998</v>
          </cell>
          <cell r="U139">
            <v>167.82999999999998</v>
          </cell>
          <cell r="V139">
            <v>4.8099999999999996</v>
          </cell>
          <cell r="W139">
            <v>172.64</v>
          </cell>
        </row>
        <row r="140">
          <cell r="A140" t="str">
            <v>5081-1</v>
          </cell>
          <cell r="B140">
            <v>41403</v>
          </cell>
          <cell r="C140" t="str">
            <v>Thea Hudgings</v>
          </cell>
          <cell r="D140" t="str">
            <v>240-242 Johnston Street,Fitzroy</v>
          </cell>
          <cell r="E140" t="str">
            <v>Melbourne</v>
          </cell>
          <cell r="F140" t="str">
            <v>VIC</v>
          </cell>
          <cell r="G140" t="str">
            <v>Consumer</v>
          </cell>
          <cell r="H140" t="str">
            <v>Connor Betts</v>
          </cell>
          <cell r="I140" t="str">
            <v>Critical</v>
          </cell>
          <cell r="J140" t="str">
            <v>Pizazz Dustless Chalk Sticks</v>
          </cell>
          <cell r="K140" t="str">
            <v>Office Supplies</v>
          </cell>
          <cell r="L140" t="str">
            <v>Wrap Bag</v>
          </cell>
          <cell r="M140" t="str">
            <v>Regular Air</v>
          </cell>
          <cell r="N140">
            <v>41405</v>
          </cell>
          <cell r="O140">
            <v>1.0900000000000001</v>
          </cell>
          <cell r="P140">
            <v>1.68</v>
          </cell>
          <cell r="Q140">
            <v>18</v>
          </cell>
          <cell r="R140">
            <v>30.24</v>
          </cell>
          <cell r="S140">
            <v>0.06</v>
          </cell>
          <cell r="T140">
            <v>1.8143999999999998</v>
          </cell>
          <cell r="U140">
            <v>30.18</v>
          </cell>
          <cell r="V140">
            <v>1</v>
          </cell>
          <cell r="W140">
            <v>31.18</v>
          </cell>
        </row>
        <row r="141">
          <cell r="A141" t="str">
            <v>5083-1</v>
          </cell>
          <cell r="B141">
            <v>41404</v>
          </cell>
          <cell r="C141" t="str">
            <v>Thomas Boland</v>
          </cell>
          <cell r="D141" t="str">
            <v>3/219 Canley Vale Road,Canley Heights</v>
          </cell>
          <cell r="E141" t="str">
            <v>Sydney</v>
          </cell>
          <cell r="F141" t="str">
            <v>NSW</v>
          </cell>
          <cell r="G141" t="str">
            <v>Corporate</v>
          </cell>
          <cell r="H141" t="str">
            <v>Mihael Khan</v>
          </cell>
          <cell r="I141" t="str">
            <v>Not Specified</v>
          </cell>
          <cell r="J141" t="str">
            <v>UGen Ultra Cordless Optical Suite</v>
          </cell>
          <cell r="K141" t="str">
            <v>Technology</v>
          </cell>
          <cell r="L141" t="str">
            <v>Small Box</v>
          </cell>
          <cell r="M141" t="str">
            <v>Regular Air</v>
          </cell>
          <cell r="N141">
            <v>41405</v>
          </cell>
          <cell r="O141">
            <v>54.52</v>
          </cell>
          <cell r="P141">
            <v>100.97</v>
          </cell>
          <cell r="Q141">
            <v>15</v>
          </cell>
          <cell r="R141">
            <v>1514.55</v>
          </cell>
          <cell r="S141">
            <v>0.1</v>
          </cell>
          <cell r="T141">
            <v>151.45500000000001</v>
          </cell>
          <cell r="U141">
            <v>1514.45</v>
          </cell>
          <cell r="V141">
            <v>7.18</v>
          </cell>
          <cell r="W141">
            <v>1521.63</v>
          </cell>
        </row>
        <row r="142">
          <cell r="A142" t="str">
            <v>5084-1</v>
          </cell>
          <cell r="B142">
            <v>41407</v>
          </cell>
          <cell r="C142" t="str">
            <v>Alex Russell</v>
          </cell>
          <cell r="D142" t="str">
            <v>99 Lygon Street,East Brunswick</v>
          </cell>
          <cell r="E142" t="str">
            <v>Melbourne</v>
          </cell>
          <cell r="F142" t="str">
            <v>VIC</v>
          </cell>
          <cell r="G142" t="str">
            <v>Home Office</v>
          </cell>
          <cell r="H142" t="str">
            <v>Connor Betts</v>
          </cell>
          <cell r="I142" t="str">
            <v>Medium</v>
          </cell>
          <cell r="J142" t="str">
            <v>EcoTones Memo Sheets</v>
          </cell>
          <cell r="K142" t="str">
            <v>Office Supplies</v>
          </cell>
          <cell r="L142" t="str">
            <v>Wrap Bag</v>
          </cell>
          <cell r="M142" t="str">
            <v>Express Air</v>
          </cell>
          <cell r="N142">
            <v>41409</v>
          </cell>
          <cell r="O142">
            <v>2.52</v>
          </cell>
          <cell r="P142">
            <v>4</v>
          </cell>
          <cell r="Q142">
            <v>19</v>
          </cell>
          <cell r="R142">
            <v>76</v>
          </cell>
          <cell r="S142">
            <v>0.09</v>
          </cell>
          <cell r="T142">
            <v>6.84</v>
          </cell>
          <cell r="U142">
            <v>75.91</v>
          </cell>
          <cell r="V142">
            <v>1.3</v>
          </cell>
          <cell r="W142">
            <v>77.209999999999994</v>
          </cell>
        </row>
        <row r="143">
          <cell r="A143" t="str">
            <v>5086-1</v>
          </cell>
          <cell r="B143">
            <v>41408</v>
          </cell>
          <cell r="C143" t="str">
            <v>Eudokia Martin</v>
          </cell>
          <cell r="D143" t="str">
            <v>412 Brunswick St,Fitzroy</v>
          </cell>
          <cell r="E143" t="str">
            <v>Melbourne</v>
          </cell>
          <cell r="F143" t="str">
            <v>VIC</v>
          </cell>
          <cell r="G143" t="str">
            <v>Home Office</v>
          </cell>
          <cell r="H143" t="str">
            <v>Connor Betts</v>
          </cell>
          <cell r="I143" t="str">
            <v>High</v>
          </cell>
          <cell r="J143" t="str">
            <v>Artisan Flip-Chart Easel Binder, Black</v>
          </cell>
          <cell r="K143" t="str">
            <v>Office Supplies</v>
          </cell>
          <cell r="L143" t="str">
            <v>Small Box</v>
          </cell>
          <cell r="M143" t="str">
            <v>Regular Air</v>
          </cell>
          <cell r="N143">
            <v>41409</v>
          </cell>
          <cell r="O143">
            <v>13.88</v>
          </cell>
          <cell r="P143">
            <v>22.38</v>
          </cell>
          <cell r="Q143">
            <v>26</v>
          </cell>
          <cell r="R143">
            <v>581.88</v>
          </cell>
          <cell r="S143">
            <v>0.1</v>
          </cell>
          <cell r="T143">
            <v>58.188000000000002</v>
          </cell>
          <cell r="U143">
            <v>581.78</v>
          </cell>
          <cell r="V143">
            <v>15.1</v>
          </cell>
          <cell r="W143">
            <v>596.88</v>
          </cell>
        </row>
        <row r="144">
          <cell r="A144" t="str">
            <v>5087-1</v>
          </cell>
          <cell r="B144">
            <v>41408</v>
          </cell>
          <cell r="C144" t="str">
            <v>Scot Wooten</v>
          </cell>
          <cell r="D144" t="str">
            <v>438 Victoria Avenue,Chatswood</v>
          </cell>
          <cell r="E144" t="str">
            <v>Sydney</v>
          </cell>
          <cell r="F144" t="str">
            <v>NSW</v>
          </cell>
          <cell r="G144" t="str">
            <v>Corporate</v>
          </cell>
          <cell r="H144" t="str">
            <v>Natasha Song</v>
          </cell>
          <cell r="I144" t="str">
            <v>Not Specified</v>
          </cell>
          <cell r="J144" t="str">
            <v>DrawIt Colored Pencils, 48-Color Set</v>
          </cell>
          <cell r="K144" t="str">
            <v>Office Supplies</v>
          </cell>
          <cell r="L144" t="str">
            <v>Wrap Bag</v>
          </cell>
          <cell r="M144" t="str">
            <v>Regular Air</v>
          </cell>
          <cell r="N144">
            <v>41410</v>
          </cell>
          <cell r="O144">
            <v>21.56</v>
          </cell>
          <cell r="P144">
            <v>36.549999999999997</v>
          </cell>
          <cell r="Q144">
            <v>45</v>
          </cell>
          <cell r="R144">
            <v>1644.7499999999998</v>
          </cell>
          <cell r="S144">
            <v>0.1</v>
          </cell>
          <cell r="T144">
            <v>164.47499999999999</v>
          </cell>
          <cell r="U144">
            <v>1644.6499999999999</v>
          </cell>
          <cell r="V144">
            <v>13.89</v>
          </cell>
          <cell r="W144">
            <v>1658.54</v>
          </cell>
        </row>
        <row r="145">
          <cell r="A145" t="str">
            <v>5089-1</v>
          </cell>
          <cell r="B145">
            <v>41409</v>
          </cell>
          <cell r="C145" t="str">
            <v>Jenna Caffey</v>
          </cell>
          <cell r="D145" t="str">
            <v>470 Anzac Parade,Kingsford</v>
          </cell>
          <cell r="E145" t="str">
            <v>Sydney</v>
          </cell>
          <cell r="F145" t="str">
            <v>NSW</v>
          </cell>
          <cell r="G145" t="str">
            <v>Consumer</v>
          </cell>
          <cell r="H145" t="str">
            <v>Tina Carlton</v>
          </cell>
          <cell r="I145" t="str">
            <v>High</v>
          </cell>
          <cell r="J145" t="str">
            <v>600 Series Non-Flip</v>
          </cell>
          <cell r="K145" t="str">
            <v>Technology</v>
          </cell>
          <cell r="L145" t="str">
            <v>Small Box</v>
          </cell>
          <cell r="M145" t="str">
            <v>Express Air</v>
          </cell>
          <cell r="N145">
            <v>41410</v>
          </cell>
          <cell r="O145">
            <v>19.78</v>
          </cell>
          <cell r="P145">
            <v>45.99</v>
          </cell>
          <cell r="Q145">
            <v>14</v>
          </cell>
          <cell r="R145">
            <v>643.86</v>
          </cell>
          <cell r="S145">
            <v>0.02</v>
          </cell>
          <cell r="T145">
            <v>12.8772</v>
          </cell>
          <cell r="U145">
            <v>643.84</v>
          </cell>
          <cell r="V145">
            <v>4.99</v>
          </cell>
          <cell r="W145">
            <v>648.83000000000004</v>
          </cell>
        </row>
        <row r="146">
          <cell r="A146" t="str">
            <v>5090-1</v>
          </cell>
          <cell r="B146">
            <v>41412</v>
          </cell>
          <cell r="C146" t="str">
            <v>Roy Collins</v>
          </cell>
          <cell r="D146" t="str">
            <v>Westfield Sydney,Sydney</v>
          </cell>
          <cell r="E146" t="str">
            <v>Sydney</v>
          </cell>
          <cell r="F146" t="str">
            <v>NSW</v>
          </cell>
          <cell r="G146" t="str">
            <v>Corporate</v>
          </cell>
          <cell r="H146" t="str">
            <v>Natasha Song</v>
          </cell>
          <cell r="I146" t="str">
            <v>Not Specified</v>
          </cell>
          <cell r="J146" t="str">
            <v>TypeRight Side-Opening Peel &amp; Seel Expanding Envelopes</v>
          </cell>
          <cell r="K146" t="str">
            <v>Office Supplies</v>
          </cell>
          <cell r="L146" t="str">
            <v>Small Box</v>
          </cell>
          <cell r="M146" t="str">
            <v>Regular Air</v>
          </cell>
          <cell r="N146">
            <v>41414</v>
          </cell>
          <cell r="O146">
            <v>54.29</v>
          </cell>
          <cell r="P146">
            <v>90.48</v>
          </cell>
          <cell r="Q146">
            <v>11</v>
          </cell>
          <cell r="R146">
            <v>995.28000000000009</v>
          </cell>
          <cell r="S146">
            <v>0.04</v>
          </cell>
          <cell r="T146">
            <v>39.811200000000007</v>
          </cell>
          <cell r="U146">
            <v>995.24000000000012</v>
          </cell>
          <cell r="V146">
            <v>19.989999999999998</v>
          </cell>
          <cell r="W146">
            <v>1015.2300000000001</v>
          </cell>
        </row>
        <row r="147">
          <cell r="A147" t="str">
            <v>5091-1</v>
          </cell>
          <cell r="B147">
            <v>41413</v>
          </cell>
          <cell r="C147" t="str">
            <v>Brad Thomas</v>
          </cell>
          <cell r="D147" t="str">
            <v>152 Bunnerong Road,Eastgardens</v>
          </cell>
          <cell r="E147" t="str">
            <v>Sydney</v>
          </cell>
          <cell r="F147" t="str">
            <v>NSW</v>
          </cell>
          <cell r="G147" t="str">
            <v>Home Office</v>
          </cell>
          <cell r="H147" t="str">
            <v>Tina Carlton</v>
          </cell>
          <cell r="I147" t="str">
            <v>High</v>
          </cell>
          <cell r="J147" t="str">
            <v>210 Trimline Phone, White</v>
          </cell>
          <cell r="K147" t="str">
            <v>Technology</v>
          </cell>
          <cell r="L147" t="str">
            <v>Medium Box</v>
          </cell>
          <cell r="M147" t="str">
            <v>Regular Air</v>
          </cell>
          <cell r="N147">
            <v>41414</v>
          </cell>
          <cell r="O147">
            <v>9.91</v>
          </cell>
          <cell r="P147">
            <v>15.99</v>
          </cell>
          <cell r="Q147">
            <v>7</v>
          </cell>
          <cell r="R147">
            <v>111.93</v>
          </cell>
          <cell r="S147">
            <v>0.03</v>
          </cell>
          <cell r="T147">
            <v>3.3578999999999999</v>
          </cell>
          <cell r="U147">
            <v>111.9</v>
          </cell>
          <cell r="V147">
            <v>11.28</v>
          </cell>
          <cell r="W147">
            <v>123.18</v>
          </cell>
        </row>
        <row r="148">
          <cell r="A148" t="str">
            <v>5093-1</v>
          </cell>
          <cell r="B148">
            <v>41413</v>
          </cell>
          <cell r="C148" t="str">
            <v>Nat Carroll</v>
          </cell>
          <cell r="D148" t="str">
            <v>499-501 Lygon Street,Carlton North</v>
          </cell>
          <cell r="E148" t="str">
            <v>Melbourne</v>
          </cell>
          <cell r="F148" t="str">
            <v>VIC</v>
          </cell>
          <cell r="G148" t="str">
            <v>Home Office</v>
          </cell>
          <cell r="H148" t="str">
            <v>Yvette Biti</v>
          </cell>
          <cell r="I148" t="str">
            <v>Not Specified</v>
          </cell>
          <cell r="J148" t="str">
            <v>Steady Major Accent Highlighters</v>
          </cell>
          <cell r="K148" t="str">
            <v>Office Supplies</v>
          </cell>
          <cell r="L148" t="str">
            <v>Wrap Bag</v>
          </cell>
          <cell r="M148" t="str">
            <v>Regular Air</v>
          </cell>
          <cell r="N148">
            <v>41414</v>
          </cell>
          <cell r="O148">
            <v>3.75</v>
          </cell>
          <cell r="P148">
            <v>7.08</v>
          </cell>
          <cell r="Q148">
            <v>29</v>
          </cell>
          <cell r="R148">
            <v>205.32</v>
          </cell>
          <cell r="S148">
            <v>0.04</v>
          </cell>
          <cell r="T148">
            <v>8.2127999999999997</v>
          </cell>
          <cell r="U148">
            <v>205.28</v>
          </cell>
          <cell r="V148">
            <v>2.35</v>
          </cell>
          <cell r="W148">
            <v>207.63</v>
          </cell>
        </row>
        <row r="149">
          <cell r="A149" t="str">
            <v>5095-1</v>
          </cell>
          <cell r="B149">
            <v>41414</v>
          </cell>
          <cell r="C149" t="str">
            <v>Roy Skaria</v>
          </cell>
          <cell r="D149" t="str">
            <v>2/797 Botany Rd,Rosebery</v>
          </cell>
          <cell r="E149" t="str">
            <v>Sydney</v>
          </cell>
          <cell r="F149" t="str">
            <v>NSW</v>
          </cell>
          <cell r="G149" t="str">
            <v>Corporate</v>
          </cell>
          <cell r="H149" t="str">
            <v>Samantha Chairs</v>
          </cell>
          <cell r="I149" t="str">
            <v>High</v>
          </cell>
          <cell r="J149" t="str">
            <v>Aluminum Document Frame</v>
          </cell>
          <cell r="K149" t="str">
            <v>Furniture</v>
          </cell>
          <cell r="L149" t="str">
            <v>Small Pack</v>
          </cell>
          <cell r="M149" t="str">
            <v>Regular Air</v>
          </cell>
          <cell r="N149">
            <v>41415</v>
          </cell>
          <cell r="O149">
            <v>5.5</v>
          </cell>
          <cell r="P149">
            <v>12.22</v>
          </cell>
          <cell r="Q149">
            <v>35</v>
          </cell>
          <cell r="R149">
            <v>427.70000000000005</v>
          </cell>
          <cell r="S149">
            <v>0</v>
          </cell>
          <cell r="T149">
            <v>0</v>
          </cell>
          <cell r="U149">
            <v>427.70000000000005</v>
          </cell>
          <cell r="V149">
            <v>2.85</v>
          </cell>
          <cell r="W149">
            <v>430.55000000000007</v>
          </cell>
        </row>
        <row r="150">
          <cell r="A150" t="str">
            <v>5097-1</v>
          </cell>
          <cell r="B150">
            <v>41414</v>
          </cell>
          <cell r="C150" t="str">
            <v>Brad Eason</v>
          </cell>
          <cell r="D150" t="str">
            <v>1737 Botany Rd,Banksmeadow</v>
          </cell>
          <cell r="E150" t="str">
            <v>Sydney</v>
          </cell>
          <cell r="F150" t="str">
            <v>NSW</v>
          </cell>
          <cell r="G150" t="str">
            <v>Small Business</v>
          </cell>
          <cell r="H150" t="str">
            <v>Nicholas Fernandes</v>
          </cell>
          <cell r="I150" t="str">
            <v>Not Specified</v>
          </cell>
          <cell r="J150" t="str">
            <v>Artisan Legal 4-Ring Binder</v>
          </cell>
          <cell r="K150" t="str">
            <v>Office Supplies</v>
          </cell>
          <cell r="L150" t="str">
            <v>Small Box</v>
          </cell>
          <cell r="M150" t="str">
            <v>Regular Air</v>
          </cell>
          <cell r="N150">
            <v>41416</v>
          </cell>
          <cell r="O150">
            <v>13.64</v>
          </cell>
          <cell r="P150">
            <v>20.98</v>
          </cell>
          <cell r="Q150">
            <v>47</v>
          </cell>
          <cell r="R150">
            <v>986.06000000000006</v>
          </cell>
          <cell r="S150">
            <v>0.1</v>
          </cell>
          <cell r="T150">
            <v>98.606000000000009</v>
          </cell>
          <cell r="U150">
            <v>985.96</v>
          </cell>
          <cell r="V150">
            <v>1.49</v>
          </cell>
          <cell r="W150">
            <v>987.45</v>
          </cell>
        </row>
        <row r="151">
          <cell r="A151" t="str">
            <v>5099-1</v>
          </cell>
          <cell r="B151">
            <v>41415</v>
          </cell>
          <cell r="C151" t="str">
            <v>Dave Kipp</v>
          </cell>
          <cell r="D151" t="str">
            <v>221 Barkly St,St Kilda</v>
          </cell>
          <cell r="E151" t="str">
            <v>Melbourne</v>
          </cell>
          <cell r="F151" t="str">
            <v>VIC</v>
          </cell>
          <cell r="G151" t="str">
            <v>Consumer</v>
          </cell>
          <cell r="H151" t="str">
            <v>Yvette Biti</v>
          </cell>
          <cell r="I151" t="str">
            <v>High</v>
          </cell>
          <cell r="J151" t="str">
            <v>Apex Elite Stainless Steel Scissors</v>
          </cell>
          <cell r="K151" t="str">
            <v>Office Supplies</v>
          </cell>
          <cell r="L151" t="str">
            <v>Small Pack</v>
          </cell>
          <cell r="M151" t="str">
            <v>Regular Air</v>
          </cell>
          <cell r="N151">
            <v>41415</v>
          </cell>
          <cell r="O151">
            <v>3.42</v>
          </cell>
          <cell r="P151">
            <v>8.34</v>
          </cell>
          <cell r="Q151">
            <v>24</v>
          </cell>
          <cell r="R151">
            <v>200.16</v>
          </cell>
          <cell r="S151">
            <v>0.1</v>
          </cell>
          <cell r="T151">
            <v>20.016000000000002</v>
          </cell>
          <cell r="U151">
            <v>200.06</v>
          </cell>
          <cell r="V151">
            <v>2.64</v>
          </cell>
          <cell r="W151">
            <v>202.7</v>
          </cell>
        </row>
        <row r="152">
          <cell r="A152" t="str">
            <v>5101-1</v>
          </cell>
          <cell r="B152">
            <v>41416</v>
          </cell>
          <cell r="C152" t="str">
            <v>Thais Sissman</v>
          </cell>
          <cell r="D152" t="str">
            <v>53-55 Liverpool St,Sydney</v>
          </cell>
          <cell r="E152" t="str">
            <v>Sydney</v>
          </cell>
          <cell r="F152" t="str">
            <v>NSW</v>
          </cell>
          <cell r="G152" t="str">
            <v>Small Business</v>
          </cell>
          <cell r="H152" t="str">
            <v>Tina Carlton</v>
          </cell>
          <cell r="I152" t="str">
            <v>Critical</v>
          </cell>
          <cell r="J152" t="str">
            <v>Alto Parchment Paper, Assorted Colors</v>
          </cell>
          <cell r="K152" t="str">
            <v>Office Supplies</v>
          </cell>
          <cell r="L152" t="str">
            <v>Small Box</v>
          </cell>
          <cell r="M152" t="str">
            <v>Express Air</v>
          </cell>
          <cell r="N152">
            <v>41417</v>
          </cell>
          <cell r="O152">
            <v>4.59</v>
          </cell>
          <cell r="P152">
            <v>7.28</v>
          </cell>
          <cell r="Q152">
            <v>2</v>
          </cell>
          <cell r="R152">
            <v>14.56</v>
          </cell>
          <cell r="S152">
            <v>0.08</v>
          </cell>
          <cell r="T152">
            <v>1.1648000000000001</v>
          </cell>
          <cell r="U152">
            <v>14.48</v>
          </cell>
          <cell r="V152">
            <v>11.15</v>
          </cell>
          <cell r="W152">
            <v>25.630000000000003</v>
          </cell>
        </row>
        <row r="153">
          <cell r="A153" t="str">
            <v>5103-1</v>
          </cell>
          <cell r="B153">
            <v>41416</v>
          </cell>
          <cell r="C153" t="str">
            <v>Andy Reiter</v>
          </cell>
          <cell r="D153" t="str">
            <v>Cnr Williams Road &amp; Lechlade Ave,South Yarra</v>
          </cell>
          <cell r="E153" t="str">
            <v>Melbourne</v>
          </cell>
          <cell r="F153" t="str">
            <v>VIC</v>
          </cell>
          <cell r="G153" t="str">
            <v>Corporate</v>
          </cell>
          <cell r="H153" t="str">
            <v>Yvette Biti</v>
          </cell>
          <cell r="I153" t="str">
            <v>Critical</v>
          </cell>
          <cell r="J153" t="str">
            <v>Smiths General Use 3-Ring Binders</v>
          </cell>
          <cell r="K153" t="str">
            <v>Office Supplies</v>
          </cell>
          <cell r="L153" t="str">
            <v>Small Box</v>
          </cell>
          <cell r="M153" t="str">
            <v>Regular Air</v>
          </cell>
          <cell r="N153">
            <v>41418</v>
          </cell>
          <cell r="O153">
            <v>1.18</v>
          </cell>
          <cell r="P153">
            <v>1.88</v>
          </cell>
          <cell r="Q153">
            <v>1</v>
          </cell>
          <cell r="R153">
            <v>1.88</v>
          </cell>
          <cell r="S153">
            <v>0.05</v>
          </cell>
          <cell r="T153">
            <v>9.4E-2</v>
          </cell>
          <cell r="U153">
            <v>1.8299999999999998</v>
          </cell>
          <cell r="V153">
            <v>1.49</v>
          </cell>
          <cell r="W153">
            <v>3.32</v>
          </cell>
        </row>
        <row r="154">
          <cell r="A154" t="str">
            <v>5104-1</v>
          </cell>
          <cell r="B154">
            <v>41417</v>
          </cell>
          <cell r="C154" t="str">
            <v>Becky Martin</v>
          </cell>
          <cell r="D154" t="str">
            <v>53-55 Liverpool Street,Sydney</v>
          </cell>
          <cell r="E154" t="str">
            <v>Sydney</v>
          </cell>
          <cell r="F154" t="str">
            <v>NSW</v>
          </cell>
          <cell r="G154" t="str">
            <v>Home Office</v>
          </cell>
          <cell r="H154" t="str">
            <v>Tina Carlton</v>
          </cell>
          <cell r="I154" t="str">
            <v>Medium</v>
          </cell>
          <cell r="J154" t="str">
            <v>Alto Keyboard-In-A-Box</v>
          </cell>
          <cell r="K154" t="str">
            <v>Technology</v>
          </cell>
          <cell r="L154" t="str">
            <v>Small Box</v>
          </cell>
          <cell r="M154" t="str">
            <v>Express Air</v>
          </cell>
          <cell r="N154">
            <v>41419</v>
          </cell>
          <cell r="O154">
            <v>6.4</v>
          </cell>
          <cell r="P154">
            <v>29.1</v>
          </cell>
          <cell r="Q154">
            <v>33</v>
          </cell>
          <cell r="R154">
            <v>960.30000000000007</v>
          </cell>
          <cell r="S154">
            <v>0.01</v>
          </cell>
          <cell r="T154">
            <v>9.6030000000000015</v>
          </cell>
          <cell r="U154">
            <v>960.29000000000008</v>
          </cell>
          <cell r="V154">
            <v>4</v>
          </cell>
          <cell r="W154">
            <v>964.29000000000008</v>
          </cell>
        </row>
        <row r="155">
          <cell r="A155" t="str">
            <v>5106-1</v>
          </cell>
          <cell r="B155">
            <v>41420</v>
          </cell>
          <cell r="C155" t="str">
            <v>Denny Ordway</v>
          </cell>
          <cell r="D155" t="str">
            <v>523 King St,Newtown</v>
          </cell>
          <cell r="E155" t="str">
            <v>Sydney</v>
          </cell>
          <cell r="F155" t="str">
            <v>NSW</v>
          </cell>
          <cell r="G155" t="str">
            <v>Small Business</v>
          </cell>
          <cell r="H155" t="str">
            <v>Aanya Zhang</v>
          </cell>
          <cell r="I155" t="str">
            <v>Critical</v>
          </cell>
          <cell r="J155" t="str">
            <v>Artisan 48 Labels</v>
          </cell>
          <cell r="K155" t="str">
            <v>Office Supplies</v>
          </cell>
          <cell r="L155" t="str">
            <v>Small Box</v>
          </cell>
          <cell r="M155" t="str">
            <v>Regular Air</v>
          </cell>
          <cell r="N155">
            <v>41420</v>
          </cell>
          <cell r="O155">
            <v>3.84</v>
          </cell>
          <cell r="P155">
            <v>6.3</v>
          </cell>
          <cell r="Q155">
            <v>42</v>
          </cell>
          <cell r="R155">
            <v>264.59999999999997</v>
          </cell>
          <cell r="S155">
            <v>7.0000000000000007E-2</v>
          </cell>
          <cell r="T155">
            <v>18.521999999999998</v>
          </cell>
          <cell r="U155">
            <v>264.52999999999997</v>
          </cell>
          <cell r="V155">
            <v>0.5</v>
          </cell>
          <cell r="W155">
            <v>265.02999999999997</v>
          </cell>
        </row>
        <row r="156">
          <cell r="A156" t="str">
            <v>5108-1</v>
          </cell>
          <cell r="B156">
            <v>41421</v>
          </cell>
          <cell r="C156" t="str">
            <v>Luke Schmidt</v>
          </cell>
          <cell r="D156" t="str">
            <v>73 York St,Sydney</v>
          </cell>
          <cell r="E156" t="str">
            <v>Sydney</v>
          </cell>
          <cell r="F156" t="str">
            <v>NSW</v>
          </cell>
          <cell r="G156" t="str">
            <v>Home Office</v>
          </cell>
          <cell r="H156" t="str">
            <v>Tina Carlton</v>
          </cell>
          <cell r="I156" t="str">
            <v>Medium</v>
          </cell>
          <cell r="J156" t="str">
            <v>UGen Ultra Professional Cordless Optical Suite</v>
          </cell>
          <cell r="K156" t="str">
            <v>Technology</v>
          </cell>
          <cell r="L156" t="str">
            <v>Small Box</v>
          </cell>
          <cell r="M156" t="str">
            <v>Regular Air</v>
          </cell>
          <cell r="N156">
            <v>41422</v>
          </cell>
          <cell r="O156">
            <v>156.5</v>
          </cell>
          <cell r="P156">
            <v>300.97000000000003</v>
          </cell>
          <cell r="Q156">
            <v>14</v>
          </cell>
          <cell r="R156">
            <v>4213.58</v>
          </cell>
          <cell r="S156">
            <v>0.1</v>
          </cell>
          <cell r="T156">
            <v>421.358</v>
          </cell>
          <cell r="U156">
            <v>4213.4799999999996</v>
          </cell>
          <cell r="V156">
            <v>7.18</v>
          </cell>
          <cell r="W156">
            <v>4220.66</v>
          </cell>
        </row>
        <row r="157">
          <cell r="A157" t="str">
            <v>5109-1</v>
          </cell>
          <cell r="B157">
            <v>41422</v>
          </cell>
          <cell r="C157" t="str">
            <v>Kelly Lampkin</v>
          </cell>
          <cell r="D157" t="str">
            <v>310 Wattle St,Ultimo</v>
          </cell>
          <cell r="E157" t="str">
            <v>Sydney</v>
          </cell>
          <cell r="F157" t="str">
            <v>NSW</v>
          </cell>
          <cell r="G157" t="str">
            <v>Corporate</v>
          </cell>
          <cell r="H157" t="str">
            <v>Aanya Zhang</v>
          </cell>
          <cell r="I157" t="str">
            <v>Low</v>
          </cell>
          <cell r="J157" t="str">
            <v>OIC Colored Binder Clips, Assorted Sizes</v>
          </cell>
          <cell r="K157" t="str">
            <v>Office Supplies</v>
          </cell>
          <cell r="L157" t="str">
            <v>Wrap Bag</v>
          </cell>
          <cell r="M157" t="str">
            <v>Regular Air</v>
          </cell>
          <cell r="N157">
            <v>41426</v>
          </cell>
          <cell r="O157">
            <v>2.29</v>
          </cell>
          <cell r="P157">
            <v>3.58</v>
          </cell>
          <cell r="Q157">
            <v>38</v>
          </cell>
          <cell r="R157">
            <v>136.04</v>
          </cell>
          <cell r="S157">
            <v>0.06</v>
          </cell>
          <cell r="T157">
            <v>8.1623999999999999</v>
          </cell>
          <cell r="U157">
            <v>135.97999999999999</v>
          </cell>
          <cell r="V157">
            <v>1.63</v>
          </cell>
          <cell r="W157">
            <v>137.60999999999999</v>
          </cell>
        </row>
        <row r="158">
          <cell r="A158" t="str">
            <v>5111-1</v>
          </cell>
          <cell r="B158">
            <v>41423</v>
          </cell>
          <cell r="C158" t="str">
            <v>Eugene Moren</v>
          </cell>
          <cell r="D158" t="str">
            <v>85-113 Dunning Ave,Rosebery</v>
          </cell>
          <cell r="E158" t="str">
            <v>Sydney</v>
          </cell>
          <cell r="F158" t="str">
            <v>NSW</v>
          </cell>
          <cell r="G158" t="str">
            <v>Home Office</v>
          </cell>
          <cell r="H158" t="str">
            <v>Mihael Khan</v>
          </cell>
          <cell r="I158" t="str">
            <v>High</v>
          </cell>
          <cell r="J158" t="str">
            <v>Colored Envelopes</v>
          </cell>
          <cell r="K158" t="str">
            <v>Office Supplies</v>
          </cell>
          <cell r="L158" t="str">
            <v>Small Box</v>
          </cell>
          <cell r="M158" t="str">
            <v>Express Air</v>
          </cell>
          <cell r="N158">
            <v>41423</v>
          </cell>
          <cell r="O158">
            <v>2.25</v>
          </cell>
          <cell r="P158">
            <v>3.69</v>
          </cell>
          <cell r="Q158">
            <v>35</v>
          </cell>
          <cell r="R158">
            <v>129.15</v>
          </cell>
          <cell r="S158">
            <v>0.03</v>
          </cell>
          <cell r="T158">
            <v>3.8744999999999998</v>
          </cell>
          <cell r="U158">
            <v>129.12</v>
          </cell>
          <cell r="V158">
            <v>2.5</v>
          </cell>
          <cell r="W158">
            <v>131.62</v>
          </cell>
        </row>
        <row r="159">
          <cell r="A159" t="str">
            <v>5112-1</v>
          </cell>
          <cell r="B159">
            <v>41423</v>
          </cell>
          <cell r="C159" t="str">
            <v>Anthony Rawles</v>
          </cell>
          <cell r="D159" t="str">
            <v>Shop 1, 186-190 Church Street,Parramatta;46a Macleay Street,Potts Point</v>
          </cell>
          <cell r="E159" t="str">
            <v>Sydney</v>
          </cell>
          <cell r="F159" t="str">
            <v>NSW</v>
          </cell>
          <cell r="G159" t="str">
            <v>Small Business</v>
          </cell>
          <cell r="H159" t="str">
            <v>Mihael Khan</v>
          </cell>
          <cell r="I159" t="str">
            <v>Medium</v>
          </cell>
          <cell r="J159" t="str">
            <v>Xit Blank Computer Paper</v>
          </cell>
          <cell r="K159" t="str">
            <v>Office Supplies</v>
          </cell>
          <cell r="L159" t="str">
            <v>Small Box</v>
          </cell>
          <cell r="M159" t="str">
            <v>Express Air</v>
          </cell>
          <cell r="N159">
            <v>41423</v>
          </cell>
          <cell r="O159">
            <v>12.39</v>
          </cell>
          <cell r="P159">
            <v>19.98</v>
          </cell>
          <cell r="Q159">
            <v>13</v>
          </cell>
          <cell r="R159">
            <v>259.74</v>
          </cell>
          <cell r="S159">
            <v>0.1</v>
          </cell>
          <cell r="T159">
            <v>25.974000000000004</v>
          </cell>
          <cell r="U159">
            <v>259.64</v>
          </cell>
          <cell r="V159">
            <v>5.77</v>
          </cell>
          <cell r="W159">
            <v>265.40999999999997</v>
          </cell>
        </row>
        <row r="160">
          <cell r="A160" t="str">
            <v>5113-1</v>
          </cell>
          <cell r="B160">
            <v>41425</v>
          </cell>
          <cell r="C160" t="str">
            <v>Rick Duston</v>
          </cell>
          <cell r="D160" t="str">
            <v>260 Marrickville Rd,Marrickville</v>
          </cell>
          <cell r="E160" t="str">
            <v>Sydney</v>
          </cell>
          <cell r="F160" t="str">
            <v>NSW</v>
          </cell>
          <cell r="G160" t="str">
            <v>Corporate</v>
          </cell>
          <cell r="H160" t="str">
            <v>Nicholas Fernandes</v>
          </cell>
          <cell r="I160" t="str">
            <v>Medium</v>
          </cell>
          <cell r="J160" t="str">
            <v>Alto Perma 2700 Stacking Storage Drawers</v>
          </cell>
          <cell r="K160" t="str">
            <v>Office Supplies</v>
          </cell>
          <cell r="L160" t="str">
            <v>Small Box</v>
          </cell>
          <cell r="M160" t="str">
            <v>Regular Air</v>
          </cell>
          <cell r="N160">
            <v>41425</v>
          </cell>
          <cell r="O160">
            <v>8.92</v>
          </cell>
          <cell r="P160">
            <v>29.74</v>
          </cell>
          <cell r="Q160">
            <v>14</v>
          </cell>
          <cell r="R160">
            <v>416.35999999999996</v>
          </cell>
          <cell r="S160">
            <v>0.02</v>
          </cell>
          <cell r="T160">
            <v>8.3271999999999995</v>
          </cell>
          <cell r="U160">
            <v>416.34</v>
          </cell>
          <cell r="V160">
            <v>6.64</v>
          </cell>
          <cell r="W160">
            <v>422.97999999999996</v>
          </cell>
        </row>
        <row r="161">
          <cell r="A161" t="str">
            <v>5114-1</v>
          </cell>
          <cell r="B161">
            <v>41425</v>
          </cell>
          <cell r="C161" t="str">
            <v>Raymond Fair</v>
          </cell>
          <cell r="D161" t="str">
            <v>188 Pitt Street,Sydney</v>
          </cell>
          <cell r="E161" t="str">
            <v>Sydney</v>
          </cell>
          <cell r="F161" t="str">
            <v>NSW</v>
          </cell>
          <cell r="G161" t="str">
            <v>Small Business</v>
          </cell>
          <cell r="H161" t="str">
            <v>Tina Carlton</v>
          </cell>
          <cell r="I161" t="str">
            <v>Not Specified</v>
          </cell>
          <cell r="J161" t="str">
            <v>TechSavi Cordless Elite Duo</v>
          </cell>
          <cell r="K161" t="str">
            <v>Technology</v>
          </cell>
          <cell r="L161" t="str">
            <v>Small Box</v>
          </cell>
          <cell r="M161" t="str">
            <v>Regular Air</v>
          </cell>
          <cell r="N161">
            <v>41427</v>
          </cell>
          <cell r="O161">
            <v>60.59</v>
          </cell>
          <cell r="P161">
            <v>100.98</v>
          </cell>
          <cell r="Q161">
            <v>33</v>
          </cell>
          <cell r="R161">
            <v>3332.34</v>
          </cell>
          <cell r="S161">
            <v>0.05</v>
          </cell>
          <cell r="T161">
            <v>166.61700000000002</v>
          </cell>
          <cell r="U161">
            <v>3332.29</v>
          </cell>
          <cell r="V161">
            <v>7.18</v>
          </cell>
          <cell r="W161">
            <v>3339.47</v>
          </cell>
        </row>
        <row r="162">
          <cell r="A162" t="str">
            <v>5115-1</v>
          </cell>
          <cell r="B162">
            <v>41425</v>
          </cell>
          <cell r="C162" t="str">
            <v>Joy Smith</v>
          </cell>
          <cell r="D162" t="str">
            <v>221 Barkly St,St Kilda</v>
          </cell>
          <cell r="E162" t="str">
            <v>Melbourne</v>
          </cell>
          <cell r="F162" t="str">
            <v>VIC</v>
          </cell>
          <cell r="G162" t="str">
            <v>Consumer</v>
          </cell>
          <cell r="H162" t="str">
            <v>Yvette Biti</v>
          </cell>
          <cell r="I162" t="str">
            <v>Low</v>
          </cell>
          <cell r="J162" t="str">
            <v>Wirebound Message Book, 4 per Page</v>
          </cell>
          <cell r="K162" t="str">
            <v>Office Supplies</v>
          </cell>
          <cell r="L162" t="str">
            <v>Wrap Bag</v>
          </cell>
          <cell r="M162" t="str">
            <v>Regular Air</v>
          </cell>
          <cell r="N162">
            <v>41429</v>
          </cell>
          <cell r="O162">
            <v>3.48</v>
          </cell>
          <cell r="P162">
            <v>5.43</v>
          </cell>
          <cell r="Q162">
            <v>29</v>
          </cell>
          <cell r="R162">
            <v>157.47</v>
          </cell>
          <cell r="S162">
            <v>7.0000000000000007E-2</v>
          </cell>
          <cell r="T162">
            <v>11.022900000000002</v>
          </cell>
          <cell r="U162">
            <v>157.4</v>
          </cell>
          <cell r="V162">
            <v>0.95</v>
          </cell>
          <cell r="W162">
            <v>158.35</v>
          </cell>
        </row>
        <row r="163">
          <cell r="A163" t="str">
            <v>5117-1</v>
          </cell>
          <cell r="B163">
            <v>41427</v>
          </cell>
          <cell r="C163" t="str">
            <v>Jim Epp</v>
          </cell>
          <cell r="D163" t="str">
            <v>Macquarie Centre Cnr Herring Road &amp; Waterloo Road,Macquarie Park</v>
          </cell>
          <cell r="E163" t="str">
            <v>Sydney</v>
          </cell>
          <cell r="F163" t="str">
            <v>NSW</v>
          </cell>
          <cell r="G163" t="str">
            <v>Small Business</v>
          </cell>
          <cell r="H163" t="str">
            <v>Nicholas Fernandes</v>
          </cell>
          <cell r="I163" t="str">
            <v>Low</v>
          </cell>
          <cell r="J163" t="str">
            <v>Laser DVD-RAM discs</v>
          </cell>
          <cell r="K163" t="str">
            <v>Technology</v>
          </cell>
          <cell r="L163" t="str">
            <v>Small Pack</v>
          </cell>
          <cell r="M163" t="str">
            <v>Regular Air</v>
          </cell>
          <cell r="N163">
            <v>41429</v>
          </cell>
          <cell r="O163">
            <v>20.18</v>
          </cell>
          <cell r="P163">
            <v>35.409999999999997</v>
          </cell>
          <cell r="Q163">
            <v>38</v>
          </cell>
          <cell r="R163">
            <v>1345.58</v>
          </cell>
          <cell r="S163">
            <v>0.03</v>
          </cell>
          <cell r="T163">
            <v>40.367399999999996</v>
          </cell>
          <cell r="U163">
            <v>1345.55</v>
          </cell>
          <cell r="V163">
            <v>1.99</v>
          </cell>
          <cell r="W163">
            <v>1347.54</v>
          </cell>
        </row>
        <row r="164">
          <cell r="A164" t="str">
            <v>5119-1</v>
          </cell>
          <cell r="B164">
            <v>41429</v>
          </cell>
          <cell r="C164" t="str">
            <v>Mike Vittorini</v>
          </cell>
          <cell r="D164" t="str">
            <v>211/25-29 Dixon St,Haymarket</v>
          </cell>
          <cell r="E164" t="str">
            <v>Sydney</v>
          </cell>
          <cell r="F164" t="str">
            <v>NSW</v>
          </cell>
          <cell r="G164" t="str">
            <v>Small Business</v>
          </cell>
          <cell r="H164" t="str">
            <v>Preston Senome</v>
          </cell>
          <cell r="I164" t="str">
            <v>Not Specified</v>
          </cell>
          <cell r="J164" t="str">
            <v>Artisan Hi-Liter Fluorescent Desk Style Markers</v>
          </cell>
          <cell r="K164" t="str">
            <v>Office Supplies</v>
          </cell>
          <cell r="L164" t="str">
            <v>Wrap Bag</v>
          </cell>
          <cell r="M164" t="str">
            <v>Regular Air</v>
          </cell>
          <cell r="N164">
            <v>41431</v>
          </cell>
          <cell r="O164">
            <v>1.76</v>
          </cell>
          <cell r="P164">
            <v>3.38</v>
          </cell>
          <cell r="Q164">
            <v>34</v>
          </cell>
          <cell r="R164">
            <v>114.92</v>
          </cell>
          <cell r="S164">
            <v>7.0000000000000007E-2</v>
          </cell>
          <cell r="T164">
            <v>8.0444000000000013</v>
          </cell>
          <cell r="U164">
            <v>114.85000000000001</v>
          </cell>
          <cell r="V164">
            <v>0.85</v>
          </cell>
          <cell r="W164">
            <v>115.7</v>
          </cell>
        </row>
        <row r="165">
          <cell r="A165" t="str">
            <v>5120-1</v>
          </cell>
          <cell r="B165">
            <v>41430</v>
          </cell>
          <cell r="C165" t="str">
            <v>Neil Knudson</v>
          </cell>
          <cell r="D165" t="str">
            <v>4A Lyons St,Strathfield</v>
          </cell>
          <cell r="E165" t="str">
            <v>Sydney</v>
          </cell>
          <cell r="F165" t="str">
            <v>NSW</v>
          </cell>
          <cell r="G165" t="str">
            <v>Home Office</v>
          </cell>
          <cell r="H165" t="str">
            <v>Tina Carlton</v>
          </cell>
          <cell r="I165" t="str">
            <v>Critical</v>
          </cell>
          <cell r="J165" t="str">
            <v>Artisan Arch Ring Binders</v>
          </cell>
          <cell r="K165" t="str">
            <v>Office Supplies</v>
          </cell>
          <cell r="L165" t="str">
            <v>Small Box</v>
          </cell>
          <cell r="M165" t="str">
            <v>Express Air</v>
          </cell>
          <cell r="N165">
            <v>41432</v>
          </cell>
          <cell r="O165">
            <v>36.020000000000003</v>
          </cell>
          <cell r="P165">
            <v>58.1</v>
          </cell>
          <cell r="Q165">
            <v>10</v>
          </cell>
          <cell r="R165">
            <v>581</v>
          </cell>
          <cell r="S165">
            <v>0.09</v>
          </cell>
          <cell r="T165">
            <v>52.29</v>
          </cell>
          <cell r="U165">
            <v>580.91</v>
          </cell>
          <cell r="V165">
            <v>1.49</v>
          </cell>
          <cell r="W165">
            <v>582.4</v>
          </cell>
        </row>
        <row r="166">
          <cell r="A166" t="str">
            <v>5122-1</v>
          </cell>
          <cell r="B166">
            <v>41430</v>
          </cell>
          <cell r="C166" t="str">
            <v>Deborah Brumfield</v>
          </cell>
          <cell r="D166" t="str">
            <v>501 George St,Sydney</v>
          </cell>
          <cell r="E166" t="str">
            <v>Sydney</v>
          </cell>
          <cell r="F166" t="str">
            <v>NSW</v>
          </cell>
          <cell r="G166" t="str">
            <v>Corporate</v>
          </cell>
          <cell r="H166" t="str">
            <v>Samantha Chairs</v>
          </cell>
          <cell r="I166" t="str">
            <v>Low</v>
          </cell>
          <cell r="J166" t="str">
            <v>UGen Ultra Professional Cordless Optical Suite</v>
          </cell>
          <cell r="K166" t="str">
            <v>Technology</v>
          </cell>
          <cell r="L166" t="str">
            <v>Small Box</v>
          </cell>
          <cell r="M166" t="str">
            <v>Regular Air</v>
          </cell>
          <cell r="N166">
            <v>41430</v>
          </cell>
          <cell r="O166">
            <v>156.5</v>
          </cell>
          <cell r="P166">
            <v>300.97000000000003</v>
          </cell>
          <cell r="Q166">
            <v>38</v>
          </cell>
          <cell r="R166">
            <v>11436.86</v>
          </cell>
          <cell r="S166">
            <v>0.09</v>
          </cell>
          <cell r="T166">
            <v>1029.3173999999999</v>
          </cell>
          <cell r="U166">
            <v>11436.77</v>
          </cell>
          <cell r="V166">
            <v>7.18</v>
          </cell>
          <cell r="W166">
            <v>11443.95</v>
          </cell>
        </row>
        <row r="167">
          <cell r="A167" t="str">
            <v>5124-1</v>
          </cell>
          <cell r="B167">
            <v>41431</v>
          </cell>
          <cell r="C167" t="str">
            <v>Erica Hernandez</v>
          </cell>
          <cell r="D167" t="str">
            <v>12 Princess Hwy,Sylvania</v>
          </cell>
          <cell r="E167" t="str">
            <v>Sydney</v>
          </cell>
          <cell r="F167" t="str">
            <v>NSW</v>
          </cell>
          <cell r="G167" t="str">
            <v>Small Business</v>
          </cell>
          <cell r="H167" t="str">
            <v>Nicholas Fernandes</v>
          </cell>
          <cell r="I167" t="str">
            <v>Medium</v>
          </cell>
          <cell r="J167" t="str">
            <v>Apex Elite Stainless Steel Scissors</v>
          </cell>
          <cell r="K167" t="str">
            <v>Office Supplies</v>
          </cell>
          <cell r="L167" t="str">
            <v>Small Pack</v>
          </cell>
          <cell r="M167" t="str">
            <v>Regular Air</v>
          </cell>
          <cell r="N167">
            <v>41433</v>
          </cell>
          <cell r="O167">
            <v>3.42</v>
          </cell>
          <cell r="P167">
            <v>8.34</v>
          </cell>
          <cell r="Q167">
            <v>30</v>
          </cell>
          <cell r="R167">
            <v>250.2</v>
          </cell>
          <cell r="S167">
            <v>0.02</v>
          </cell>
          <cell r="T167">
            <v>5.0039999999999996</v>
          </cell>
          <cell r="U167">
            <v>250.17999999999998</v>
          </cell>
          <cell r="V167">
            <v>2.64</v>
          </cell>
          <cell r="W167">
            <v>252.81999999999996</v>
          </cell>
        </row>
        <row r="168">
          <cell r="A168" t="str">
            <v>5125-1</v>
          </cell>
          <cell r="B168">
            <v>41432</v>
          </cell>
          <cell r="C168" t="str">
            <v>Janet Martin</v>
          </cell>
          <cell r="D168" t="str">
            <v>24 Addison Rd,Marrickville</v>
          </cell>
          <cell r="E168" t="str">
            <v>Sydney</v>
          </cell>
          <cell r="F168" t="str">
            <v>NSW</v>
          </cell>
          <cell r="G168" t="str">
            <v>Corporate</v>
          </cell>
          <cell r="H168" t="str">
            <v>Radhya Staples</v>
          </cell>
          <cell r="I168" t="str">
            <v>Not Specified</v>
          </cell>
          <cell r="J168" t="str">
            <v>TechSavi Cordless Elite Duo</v>
          </cell>
          <cell r="K168" t="str">
            <v>Technology</v>
          </cell>
          <cell r="L168" t="str">
            <v>Small Box</v>
          </cell>
          <cell r="M168" t="str">
            <v>Regular Air</v>
          </cell>
          <cell r="N168">
            <v>41433</v>
          </cell>
          <cell r="O168">
            <v>60.59</v>
          </cell>
          <cell r="P168">
            <v>100.98</v>
          </cell>
          <cell r="Q168">
            <v>29</v>
          </cell>
          <cell r="R168">
            <v>2928.42</v>
          </cell>
          <cell r="S168">
            <v>0.03</v>
          </cell>
          <cell r="T168">
            <v>87.852599999999995</v>
          </cell>
          <cell r="U168">
            <v>2928.39</v>
          </cell>
          <cell r="V168">
            <v>7.18</v>
          </cell>
          <cell r="W168">
            <v>2935.5699999999997</v>
          </cell>
        </row>
        <row r="169">
          <cell r="A169" t="str">
            <v>5127-1</v>
          </cell>
          <cell r="B169">
            <v>41434</v>
          </cell>
          <cell r="C169" t="str">
            <v>Beth Thompson</v>
          </cell>
          <cell r="D169" t="str">
            <v>85-113 Dunning Ave,Roseberry</v>
          </cell>
          <cell r="E169" t="str">
            <v>Sydney</v>
          </cell>
          <cell r="F169" t="str">
            <v>NSW</v>
          </cell>
          <cell r="G169" t="str">
            <v>Corporate</v>
          </cell>
          <cell r="H169" t="str">
            <v>Mihael Khan</v>
          </cell>
          <cell r="I169" t="str">
            <v>Not Specified</v>
          </cell>
          <cell r="J169" t="str">
            <v>Deluxe Rollaway Locking File with Drawer</v>
          </cell>
          <cell r="K169" t="str">
            <v>Office Supplies</v>
          </cell>
          <cell r="L169" t="str">
            <v>Small Box</v>
          </cell>
          <cell r="M169" t="str">
            <v>Regular Air</v>
          </cell>
          <cell r="N169">
            <v>41434</v>
          </cell>
          <cell r="O169">
            <v>178.83</v>
          </cell>
          <cell r="P169">
            <v>415.88</v>
          </cell>
          <cell r="Q169">
            <v>2</v>
          </cell>
          <cell r="R169">
            <v>831.76</v>
          </cell>
          <cell r="S169">
            <v>7.0000000000000007E-2</v>
          </cell>
          <cell r="T169">
            <v>58.223200000000006</v>
          </cell>
          <cell r="U169">
            <v>831.68999999999994</v>
          </cell>
          <cell r="V169">
            <v>11.37</v>
          </cell>
          <cell r="W169">
            <v>843.06</v>
          </cell>
        </row>
        <row r="170">
          <cell r="A170" t="str">
            <v>5128-1</v>
          </cell>
          <cell r="B170">
            <v>41435</v>
          </cell>
          <cell r="C170" t="str">
            <v>Nora Paige</v>
          </cell>
          <cell r="D170" t="str">
            <v>85-113 Dunning Ave,Roseberry</v>
          </cell>
          <cell r="E170" t="str">
            <v>Sydney</v>
          </cell>
          <cell r="F170" t="str">
            <v>NSW</v>
          </cell>
          <cell r="G170" t="str">
            <v>Small Business</v>
          </cell>
          <cell r="H170" t="str">
            <v>Mihael Khan</v>
          </cell>
          <cell r="I170" t="str">
            <v>Medium</v>
          </cell>
          <cell r="J170" t="str">
            <v>EcoTones Memo Sheets</v>
          </cell>
          <cell r="K170" t="str">
            <v>Office Supplies</v>
          </cell>
          <cell r="L170" t="str">
            <v>Wrap Bag</v>
          </cell>
          <cell r="M170" t="str">
            <v>Regular Air</v>
          </cell>
          <cell r="N170">
            <v>41437</v>
          </cell>
          <cell r="O170">
            <v>2.52</v>
          </cell>
          <cell r="P170">
            <v>4</v>
          </cell>
          <cell r="Q170">
            <v>39</v>
          </cell>
          <cell r="R170">
            <v>156</v>
          </cell>
          <cell r="S170">
            <v>0.08</v>
          </cell>
          <cell r="T170">
            <v>12.48</v>
          </cell>
          <cell r="U170">
            <v>155.91999999999999</v>
          </cell>
          <cell r="V170">
            <v>1.3</v>
          </cell>
          <cell r="W170">
            <v>157.22</v>
          </cell>
        </row>
        <row r="171">
          <cell r="A171" t="str">
            <v>5129-1</v>
          </cell>
          <cell r="B171">
            <v>41436</v>
          </cell>
          <cell r="C171" t="str">
            <v>Jim Kriz</v>
          </cell>
          <cell r="D171" t="str">
            <v>85-113 Dunning Ave,Roseberry</v>
          </cell>
          <cell r="E171" t="str">
            <v>Sydney</v>
          </cell>
          <cell r="F171" t="str">
            <v>NSW</v>
          </cell>
          <cell r="G171" t="str">
            <v>Consumer</v>
          </cell>
          <cell r="H171" t="str">
            <v>Mihael Khan</v>
          </cell>
          <cell r="I171" t="str">
            <v>Low</v>
          </cell>
          <cell r="J171" t="str">
            <v>Smiths Colored Interoffice Envelopes</v>
          </cell>
          <cell r="K171" t="str">
            <v>Office Supplies</v>
          </cell>
          <cell r="L171" t="str">
            <v>Small Box</v>
          </cell>
          <cell r="M171" t="str">
            <v>Regular Air</v>
          </cell>
          <cell r="N171">
            <v>41438</v>
          </cell>
          <cell r="O171">
            <v>19.829999999999998</v>
          </cell>
          <cell r="P171">
            <v>30.98</v>
          </cell>
          <cell r="Q171">
            <v>49</v>
          </cell>
          <cell r="R171">
            <v>1518.02</v>
          </cell>
          <cell r="S171">
            <v>0.09</v>
          </cell>
          <cell r="T171">
            <v>136.62180000000001</v>
          </cell>
          <cell r="U171">
            <v>1517.93</v>
          </cell>
          <cell r="V171">
            <v>19.510000000000002</v>
          </cell>
          <cell r="W171">
            <v>1537.44</v>
          </cell>
        </row>
        <row r="172">
          <cell r="A172" t="str">
            <v>5131-1</v>
          </cell>
          <cell r="B172">
            <v>41440</v>
          </cell>
          <cell r="C172" t="str">
            <v>Steve Nguyen</v>
          </cell>
          <cell r="D172" t="str">
            <v>61 York St,Sydney</v>
          </cell>
          <cell r="E172" t="str">
            <v>Sydney</v>
          </cell>
          <cell r="F172" t="str">
            <v>NSW</v>
          </cell>
          <cell r="G172" t="str">
            <v>Small Business</v>
          </cell>
          <cell r="H172" t="str">
            <v>Leighton Forrest</v>
          </cell>
          <cell r="I172" t="str">
            <v>Medium</v>
          </cell>
          <cell r="J172" t="str">
            <v>UGen Ultra Professional Cordless Optical Suite</v>
          </cell>
          <cell r="K172" t="str">
            <v>Technology</v>
          </cell>
          <cell r="L172" t="str">
            <v>Small Box</v>
          </cell>
          <cell r="M172" t="str">
            <v>Regular Air</v>
          </cell>
          <cell r="N172">
            <v>41442</v>
          </cell>
          <cell r="O172">
            <v>156.5</v>
          </cell>
          <cell r="P172">
            <v>300.97000000000003</v>
          </cell>
          <cell r="Q172">
            <v>5</v>
          </cell>
          <cell r="R172">
            <v>1504.8500000000001</v>
          </cell>
          <cell r="S172">
            <v>7.0000000000000007E-2</v>
          </cell>
          <cell r="T172">
            <v>105.33950000000002</v>
          </cell>
          <cell r="U172">
            <v>1504.7800000000002</v>
          </cell>
          <cell r="V172">
            <v>7.18</v>
          </cell>
          <cell r="W172">
            <v>1511.9600000000003</v>
          </cell>
        </row>
        <row r="173">
          <cell r="A173" t="str">
            <v>5133-1</v>
          </cell>
          <cell r="B173">
            <v>41440</v>
          </cell>
          <cell r="C173" t="str">
            <v>Scott Cohen</v>
          </cell>
          <cell r="D173" t="str">
            <v>240-242 Johnston Street,Fitzroy</v>
          </cell>
          <cell r="E173" t="str">
            <v>Melbourne</v>
          </cell>
          <cell r="F173" t="str">
            <v>VIC</v>
          </cell>
          <cell r="G173" t="str">
            <v>Consumer</v>
          </cell>
          <cell r="H173" t="str">
            <v>Connor Betts</v>
          </cell>
          <cell r="I173" t="str">
            <v>High</v>
          </cell>
          <cell r="J173" t="str">
            <v>Wirebound Voice Message Log Book</v>
          </cell>
          <cell r="K173" t="str">
            <v>Office Supplies</v>
          </cell>
          <cell r="L173" t="str">
            <v>Wrap Bag</v>
          </cell>
          <cell r="M173" t="str">
            <v>Express Air</v>
          </cell>
          <cell r="N173">
            <v>41442</v>
          </cell>
          <cell r="O173">
            <v>2.9</v>
          </cell>
          <cell r="P173">
            <v>4.76</v>
          </cell>
          <cell r="Q173">
            <v>27</v>
          </cell>
          <cell r="R173">
            <v>128.51999999999998</v>
          </cell>
          <cell r="S173">
            <v>7.0000000000000007E-2</v>
          </cell>
          <cell r="T173">
            <v>8.9963999999999995</v>
          </cell>
          <cell r="U173">
            <v>128.44999999999999</v>
          </cell>
          <cell r="V173">
            <v>0.88</v>
          </cell>
          <cell r="W173">
            <v>129.32999999999998</v>
          </cell>
        </row>
        <row r="174">
          <cell r="A174" t="str">
            <v>5134-1</v>
          </cell>
          <cell r="B174">
            <v>41441</v>
          </cell>
          <cell r="C174" t="str">
            <v>Liz MacKendrick</v>
          </cell>
          <cell r="D174" t="str">
            <v>224A Gertrude St,Fitzroy</v>
          </cell>
          <cell r="E174" t="str">
            <v>Melbourne</v>
          </cell>
          <cell r="F174" t="str">
            <v>VIC</v>
          </cell>
          <cell r="G174" t="str">
            <v>Corporate</v>
          </cell>
          <cell r="H174" t="str">
            <v>Connor Betts</v>
          </cell>
          <cell r="I174" t="str">
            <v>Low</v>
          </cell>
          <cell r="J174" t="str">
            <v>UGen Ultra Professional Cordless Optical Suite</v>
          </cell>
          <cell r="K174" t="str">
            <v>Technology</v>
          </cell>
          <cell r="L174" t="str">
            <v>Small Box</v>
          </cell>
          <cell r="M174" t="str">
            <v>Regular Air</v>
          </cell>
          <cell r="N174">
            <v>41441</v>
          </cell>
          <cell r="O174">
            <v>156.5</v>
          </cell>
          <cell r="P174">
            <v>300.97000000000003</v>
          </cell>
          <cell r="Q174">
            <v>1</v>
          </cell>
          <cell r="R174">
            <v>300.97000000000003</v>
          </cell>
          <cell r="S174">
            <v>0.06</v>
          </cell>
          <cell r="T174">
            <v>18.058199999999999</v>
          </cell>
          <cell r="U174">
            <v>300.91000000000003</v>
          </cell>
          <cell r="V174">
            <v>7.18</v>
          </cell>
          <cell r="W174">
            <v>308.09000000000003</v>
          </cell>
        </row>
        <row r="175">
          <cell r="A175" t="str">
            <v>5135-1</v>
          </cell>
          <cell r="B175">
            <v>41445</v>
          </cell>
          <cell r="C175" t="str">
            <v>Aaron Smayling</v>
          </cell>
          <cell r="D175" t="str">
            <v>1737 Botany Rd,Banksmeadow</v>
          </cell>
          <cell r="E175" t="str">
            <v>Sydney</v>
          </cell>
          <cell r="F175" t="str">
            <v>NSW</v>
          </cell>
          <cell r="G175" t="str">
            <v>Small Business</v>
          </cell>
          <cell r="H175" t="str">
            <v>Nicholas Fernandes</v>
          </cell>
          <cell r="I175" t="str">
            <v>Medium</v>
          </cell>
          <cell r="J175" t="str">
            <v>OIC Colored Binder Clips, Assorted Sizes</v>
          </cell>
          <cell r="K175" t="str">
            <v>Office Supplies</v>
          </cell>
          <cell r="L175" t="str">
            <v>Wrap Bag</v>
          </cell>
          <cell r="M175" t="str">
            <v>Regular Air</v>
          </cell>
          <cell r="N175">
            <v>41446</v>
          </cell>
          <cell r="O175">
            <v>2.29</v>
          </cell>
          <cell r="P175">
            <v>3.58</v>
          </cell>
          <cell r="Q175">
            <v>10</v>
          </cell>
          <cell r="R175">
            <v>35.799999999999997</v>
          </cell>
          <cell r="S175">
            <v>0.05</v>
          </cell>
          <cell r="T175">
            <v>1.79</v>
          </cell>
          <cell r="U175">
            <v>35.75</v>
          </cell>
          <cell r="V175">
            <v>1.63</v>
          </cell>
          <cell r="W175">
            <v>37.380000000000003</v>
          </cell>
        </row>
        <row r="176">
          <cell r="A176" t="str">
            <v>5137-1</v>
          </cell>
          <cell r="B176">
            <v>41446</v>
          </cell>
          <cell r="C176" t="str">
            <v>Carlos Meador</v>
          </cell>
          <cell r="D176" t="str">
            <v>152 Bunnerong Road,Eastgardens</v>
          </cell>
          <cell r="E176" t="str">
            <v>Sydney</v>
          </cell>
          <cell r="F176" t="str">
            <v>NSW</v>
          </cell>
          <cell r="G176" t="str">
            <v>Corporate</v>
          </cell>
          <cell r="H176" t="str">
            <v>Tina Carlton</v>
          </cell>
          <cell r="I176" t="str">
            <v>Medium</v>
          </cell>
          <cell r="J176" t="str">
            <v>Multimedia Mailers</v>
          </cell>
          <cell r="K176" t="str">
            <v>Office Supplies</v>
          </cell>
          <cell r="L176" t="str">
            <v>Small Box</v>
          </cell>
          <cell r="M176" t="str">
            <v>Regular Air</v>
          </cell>
          <cell r="N176">
            <v>41447</v>
          </cell>
          <cell r="O176">
            <v>99.39</v>
          </cell>
          <cell r="P176">
            <v>162.93</v>
          </cell>
          <cell r="Q176">
            <v>7</v>
          </cell>
          <cell r="R176">
            <v>1140.51</v>
          </cell>
          <cell r="S176">
            <v>0.03</v>
          </cell>
          <cell r="T176">
            <v>34.215299999999999</v>
          </cell>
          <cell r="U176">
            <v>1140.48</v>
          </cell>
          <cell r="V176">
            <v>19.989999999999998</v>
          </cell>
          <cell r="W176">
            <v>1160.47</v>
          </cell>
        </row>
        <row r="177">
          <cell r="A177" t="str">
            <v>5138-1</v>
          </cell>
          <cell r="B177">
            <v>41446</v>
          </cell>
          <cell r="C177" t="str">
            <v>Giulietta Dortch</v>
          </cell>
          <cell r="D177" t="str">
            <v>180 High Street,Windsor</v>
          </cell>
          <cell r="E177" t="str">
            <v>Melbourne</v>
          </cell>
          <cell r="F177" t="str">
            <v>VIC</v>
          </cell>
          <cell r="G177" t="str">
            <v>Small Business</v>
          </cell>
          <cell r="H177" t="str">
            <v>Connor Betts</v>
          </cell>
          <cell r="I177" t="str">
            <v>High</v>
          </cell>
          <cell r="J177" t="str">
            <v>Smiths Metal Binder Clips</v>
          </cell>
          <cell r="K177" t="str">
            <v>Office Supplies</v>
          </cell>
          <cell r="L177" t="str">
            <v>Wrap Bag</v>
          </cell>
          <cell r="M177" t="str">
            <v>Express Air</v>
          </cell>
          <cell r="N177">
            <v>41448</v>
          </cell>
          <cell r="O177">
            <v>1.6</v>
          </cell>
          <cell r="P177">
            <v>2.62</v>
          </cell>
          <cell r="Q177">
            <v>34</v>
          </cell>
          <cell r="R177">
            <v>89.08</v>
          </cell>
          <cell r="S177">
            <v>0.08</v>
          </cell>
          <cell r="T177">
            <v>7.1264000000000003</v>
          </cell>
          <cell r="U177">
            <v>89</v>
          </cell>
          <cell r="V177">
            <v>0.8</v>
          </cell>
          <cell r="W177">
            <v>89.8</v>
          </cell>
        </row>
        <row r="178">
          <cell r="A178" t="str">
            <v>5140-1</v>
          </cell>
          <cell r="B178">
            <v>41449</v>
          </cell>
          <cell r="C178" t="str">
            <v>Paul Lucas</v>
          </cell>
          <cell r="D178" t="str">
            <v>8 Quay Street,Haymarket</v>
          </cell>
          <cell r="E178" t="str">
            <v>Sydney</v>
          </cell>
          <cell r="F178" t="str">
            <v>NSW</v>
          </cell>
          <cell r="G178" t="str">
            <v>Corporate</v>
          </cell>
          <cell r="H178" t="str">
            <v>Leighton Forrest</v>
          </cell>
          <cell r="I178" t="str">
            <v>High</v>
          </cell>
          <cell r="J178" t="str">
            <v>3Max Organizer Strips</v>
          </cell>
          <cell r="K178" t="str">
            <v>Office Supplies</v>
          </cell>
          <cell r="L178" t="str">
            <v>Small Box</v>
          </cell>
          <cell r="M178" t="str">
            <v>Regular Air</v>
          </cell>
          <cell r="N178">
            <v>41450</v>
          </cell>
          <cell r="O178">
            <v>3.4</v>
          </cell>
          <cell r="P178">
            <v>5.4</v>
          </cell>
          <cell r="Q178">
            <v>25</v>
          </cell>
          <cell r="R178">
            <v>135</v>
          </cell>
          <cell r="S178">
            <v>0.09</v>
          </cell>
          <cell r="T178">
            <v>12.15</v>
          </cell>
          <cell r="U178">
            <v>134.91</v>
          </cell>
          <cell r="V178">
            <v>7.78</v>
          </cell>
          <cell r="W178">
            <v>142.69</v>
          </cell>
        </row>
        <row r="179">
          <cell r="A179" t="str">
            <v>5142-1</v>
          </cell>
          <cell r="B179">
            <v>41450</v>
          </cell>
          <cell r="C179" t="str">
            <v>Aleksandra Gannaway</v>
          </cell>
          <cell r="D179" t="str">
            <v>Hoyts Entertainment Quarter 122 Lang Road,Moore Park</v>
          </cell>
          <cell r="E179" t="str">
            <v>Sydney</v>
          </cell>
          <cell r="F179" t="str">
            <v>NSW</v>
          </cell>
          <cell r="G179" t="str">
            <v>Home Office</v>
          </cell>
          <cell r="H179" t="str">
            <v>Tina Carlton</v>
          </cell>
          <cell r="I179" t="str">
            <v>High</v>
          </cell>
          <cell r="J179" t="str">
            <v>PastelOcean Color Pencil Set</v>
          </cell>
          <cell r="K179" t="str">
            <v>Office Supplies</v>
          </cell>
          <cell r="L179" t="str">
            <v>Wrap Bag</v>
          </cell>
          <cell r="M179" t="str">
            <v>Regular Air</v>
          </cell>
          <cell r="N179">
            <v>41451</v>
          </cell>
          <cell r="O179">
            <v>11.11</v>
          </cell>
          <cell r="P179">
            <v>19.84</v>
          </cell>
          <cell r="Q179">
            <v>26</v>
          </cell>
          <cell r="R179">
            <v>515.84</v>
          </cell>
          <cell r="S179">
            <v>7.0000000000000007E-2</v>
          </cell>
          <cell r="T179">
            <v>36.108800000000002</v>
          </cell>
          <cell r="U179">
            <v>515.77</v>
          </cell>
          <cell r="V179">
            <v>4.0999999999999996</v>
          </cell>
          <cell r="W179">
            <v>519.87</v>
          </cell>
        </row>
        <row r="180">
          <cell r="A180" t="str">
            <v>5144-1</v>
          </cell>
          <cell r="B180">
            <v>41451</v>
          </cell>
          <cell r="C180" t="str">
            <v>Roy Collins</v>
          </cell>
          <cell r="D180" t="str">
            <v>Westfield Sydney,Sydney</v>
          </cell>
          <cell r="E180" t="str">
            <v>Sydney</v>
          </cell>
          <cell r="F180" t="str">
            <v>NSW</v>
          </cell>
          <cell r="G180" t="str">
            <v>Corporate</v>
          </cell>
          <cell r="H180" t="str">
            <v>Natasha Song</v>
          </cell>
          <cell r="I180" t="str">
            <v>Critical</v>
          </cell>
          <cell r="J180" t="str">
            <v>Smiths Gold Paper Clips</v>
          </cell>
          <cell r="K180" t="str">
            <v>Office Supplies</v>
          </cell>
          <cell r="L180" t="str">
            <v>Wrap Bag</v>
          </cell>
          <cell r="M180" t="str">
            <v>Regular Air</v>
          </cell>
          <cell r="N180">
            <v>41452</v>
          </cell>
          <cell r="O180">
            <v>1.82</v>
          </cell>
          <cell r="P180">
            <v>2.98</v>
          </cell>
          <cell r="Q180">
            <v>3</v>
          </cell>
          <cell r="R180">
            <v>8.94</v>
          </cell>
          <cell r="S180">
            <v>0.09</v>
          </cell>
          <cell r="T180">
            <v>0.80459999999999987</v>
          </cell>
          <cell r="U180">
            <v>8.85</v>
          </cell>
          <cell r="V180">
            <v>1.58</v>
          </cell>
          <cell r="W180">
            <v>10.43</v>
          </cell>
        </row>
        <row r="181">
          <cell r="A181" t="str">
            <v>5148-1</v>
          </cell>
          <cell r="B181">
            <v>41454</v>
          </cell>
          <cell r="C181" t="str">
            <v>Eugene Hildebrand</v>
          </cell>
          <cell r="D181" t="str">
            <v>120 Hardware St,Melbourne</v>
          </cell>
          <cell r="E181" t="str">
            <v>Melbourne</v>
          </cell>
          <cell r="F181" t="str">
            <v>VIC</v>
          </cell>
          <cell r="G181" t="str">
            <v>Home Office</v>
          </cell>
          <cell r="H181" t="str">
            <v>Yvette Biti</v>
          </cell>
          <cell r="I181" t="str">
            <v>Medium</v>
          </cell>
          <cell r="J181" t="str">
            <v>Economy Binders</v>
          </cell>
          <cell r="K181" t="str">
            <v>Office Supplies</v>
          </cell>
          <cell r="L181" t="str">
            <v>Small Box</v>
          </cell>
          <cell r="M181" t="str">
            <v>Regular Air</v>
          </cell>
          <cell r="N181">
            <v>41456</v>
          </cell>
          <cell r="O181">
            <v>1.33</v>
          </cell>
          <cell r="P181">
            <v>2.08</v>
          </cell>
          <cell r="Q181">
            <v>44</v>
          </cell>
          <cell r="R181">
            <v>91.52000000000001</v>
          </cell>
          <cell r="S181">
            <v>0.04</v>
          </cell>
          <cell r="T181">
            <v>3.6608000000000005</v>
          </cell>
          <cell r="U181">
            <v>91.48</v>
          </cell>
          <cell r="V181">
            <v>1.49</v>
          </cell>
          <cell r="W181">
            <v>92.97</v>
          </cell>
        </row>
        <row r="182">
          <cell r="A182" t="str">
            <v>5150-1</v>
          </cell>
          <cell r="B182">
            <v>41454</v>
          </cell>
          <cell r="C182" t="str">
            <v>Adam Bellavance</v>
          </cell>
          <cell r="D182" t="str">
            <v>106 Ebley Street,Bondi Junction</v>
          </cell>
          <cell r="E182" t="str">
            <v>Sydney</v>
          </cell>
          <cell r="F182" t="str">
            <v>NSW</v>
          </cell>
          <cell r="G182" t="str">
            <v>Small Business</v>
          </cell>
          <cell r="H182" t="str">
            <v>Leighton Forrest</v>
          </cell>
          <cell r="I182" t="str">
            <v>Not Specified</v>
          </cell>
          <cell r="J182" t="str">
            <v>HFX 6S Scientific Calculator</v>
          </cell>
          <cell r="K182" t="str">
            <v>Technology</v>
          </cell>
          <cell r="L182" t="str">
            <v>Medium Box</v>
          </cell>
          <cell r="M182" t="str">
            <v>Regular Air</v>
          </cell>
          <cell r="N182">
            <v>41456</v>
          </cell>
          <cell r="O182">
            <v>7.92</v>
          </cell>
          <cell r="P182">
            <v>12.99</v>
          </cell>
          <cell r="Q182">
            <v>49</v>
          </cell>
          <cell r="R182">
            <v>636.51</v>
          </cell>
          <cell r="S182">
            <v>7.0000000000000007E-2</v>
          </cell>
          <cell r="T182">
            <v>44.555700000000002</v>
          </cell>
          <cell r="U182">
            <v>636.43999999999994</v>
          </cell>
          <cell r="V182">
            <v>9.44</v>
          </cell>
          <cell r="W182">
            <v>645.88</v>
          </cell>
        </row>
        <row r="183">
          <cell r="A183" t="str">
            <v>5152-1</v>
          </cell>
          <cell r="B183">
            <v>41455</v>
          </cell>
          <cell r="C183" t="str">
            <v>Mitch Gastineau</v>
          </cell>
          <cell r="D183" t="str">
            <v>85-113 Dunning Ave,Rosebery</v>
          </cell>
          <cell r="E183" t="str">
            <v>Sydney</v>
          </cell>
          <cell r="F183" t="str">
            <v>NSW</v>
          </cell>
          <cell r="G183" t="str">
            <v>Small Business</v>
          </cell>
          <cell r="H183" t="str">
            <v>Mihael Khan</v>
          </cell>
          <cell r="I183" t="str">
            <v>Low</v>
          </cell>
          <cell r="J183" t="str">
            <v>Beekin 105-Key Black Keyboard</v>
          </cell>
          <cell r="K183" t="str">
            <v>Technology</v>
          </cell>
          <cell r="L183" t="str">
            <v>Small Box</v>
          </cell>
          <cell r="M183" t="str">
            <v>Regular Air</v>
          </cell>
          <cell r="N183">
            <v>41459</v>
          </cell>
          <cell r="O183">
            <v>6.39</v>
          </cell>
          <cell r="P183">
            <v>19.98</v>
          </cell>
          <cell r="Q183">
            <v>19</v>
          </cell>
          <cell r="R183">
            <v>379.62</v>
          </cell>
          <cell r="S183">
            <v>0.08</v>
          </cell>
          <cell r="T183">
            <v>30.369600000000002</v>
          </cell>
          <cell r="U183">
            <v>379.54</v>
          </cell>
          <cell r="V183">
            <v>4</v>
          </cell>
          <cell r="W183">
            <v>383.54</v>
          </cell>
        </row>
        <row r="184">
          <cell r="A184" t="str">
            <v>5154-1</v>
          </cell>
          <cell r="B184">
            <v>41457</v>
          </cell>
          <cell r="C184" t="str">
            <v>Stuart Calhoun</v>
          </cell>
          <cell r="D184" t="str">
            <v>359 Crown Street,Surry Hills</v>
          </cell>
          <cell r="E184" t="str">
            <v>Sydney</v>
          </cell>
          <cell r="F184" t="str">
            <v>NSW</v>
          </cell>
          <cell r="G184" t="str">
            <v>Consumer</v>
          </cell>
          <cell r="H184" t="str">
            <v>Phoebe Gour</v>
          </cell>
          <cell r="I184" t="str">
            <v>High</v>
          </cell>
          <cell r="J184" t="str">
            <v>Laser Neon Mac Format Diskettes, 10/Pack</v>
          </cell>
          <cell r="K184" t="str">
            <v>Technology</v>
          </cell>
          <cell r="L184" t="str">
            <v>Small Pack</v>
          </cell>
          <cell r="M184" t="str">
            <v>Express Air</v>
          </cell>
          <cell r="N184">
            <v>41458</v>
          </cell>
          <cell r="O184">
            <v>1.87</v>
          </cell>
          <cell r="P184">
            <v>8.1199999999999992</v>
          </cell>
          <cell r="Q184">
            <v>32</v>
          </cell>
          <cell r="R184">
            <v>259.83999999999997</v>
          </cell>
          <cell r="S184">
            <v>0.08</v>
          </cell>
          <cell r="T184">
            <v>20.787199999999999</v>
          </cell>
          <cell r="U184">
            <v>259.76</v>
          </cell>
          <cell r="V184">
            <v>2.83</v>
          </cell>
          <cell r="W184">
            <v>262.58999999999997</v>
          </cell>
        </row>
        <row r="185">
          <cell r="A185" t="str">
            <v>5156-1</v>
          </cell>
          <cell r="B185">
            <v>41458</v>
          </cell>
          <cell r="C185" t="str">
            <v>Denise Leinenbach</v>
          </cell>
          <cell r="D185" t="str">
            <v>8 Rankins Lane ,Melbourne</v>
          </cell>
          <cell r="E185" t="str">
            <v>Melbourne</v>
          </cell>
          <cell r="F185" t="str">
            <v>VIC</v>
          </cell>
          <cell r="G185" t="str">
            <v>Home Office</v>
          </cell>
          <cell r="H185" t="str">
            <v>Connor Betts</v>
          </cell>
          <cell r="I185" t="str">
            <v>High</v>
          </cell>
          <cell r="J185" t="str">
            <v>Self-Adhesive Removable Labels</v>
          </cell>
          <cell r="K185" t="str">
            <v>Office Supplies</v>
          </cell>
          <cell r="L185" t="str">
            <v>Small Box</v>
          </cell>
          <cell r="M185" t="str">
            <v>Regular Air</v>
          </cell>
          <cell r="N185">
            <v>41460</v>
          </cell>
          <cell r="O185">
            <v>1.98</v>
          </cell>
          <cell r="P185">
            <v>3.15</v>
          </cell>
          <cell r="Q185">
            <v>23</v>
          </cell>
          <cell r="R185">
            <v>72.45</v>
          </cell>
          <cell r="S185">
            <v>0.01</v>
          </cell>
          <cell r="T185">
            <v>0.72450000000000003</v>
          </cell>
          <cell r="U185">
            <v>72.44</v>
          </cell>
          <cell r="V185">
            <v>0.49</v>
          </cell>
          <cell r="W185">
            <v>72.929999999999993</v>
          </cell>
        </row>
        <row r="186">
          <cell r="A186" t="str">
            <v>5158-1</v>
          </cell>
          <cell r="B186">
            <v>41458</v>
          </cell>
          <cell r="C186" t="str">
            <v>Mitch Webber</v>
          </cell>
          <cell r="D186" t="str">
            <v>Hoyts Entertainment Quarter 122 Lang Road,Moore Park</v>
          </cell>
          <cell r="E186" t="str">
            <v>Sydney</v>
          </cell>
          <cell r="F186" t="str">
            <v>NSW</v>
          </cell>
          <cell r="G186" t="str">
            <v>Corporate</v>
          </cell>
          <cell r="H186" t="str">
            <v>Tina Carlton</v>
          </cell>
          <cell r="I186" t="str">
            <v>Not Specified</v>
          </cell>
          <cell r="J186" t="str">
            <v>TypeRight  Top-Opening Peel &amp; Seel Envelopes, Plain White</v>
          </cell>
          <cell r="K186" t="str">
            <v>Office Supplies</v>
          </cell>
          <cell r="L186" t="str">
            <v>Small Box</v>
          </cell>
          <cell r="M186" t="str">
            <v>Regular Air</v>
          </cell>
          <cell r="N186">
            <v>41460</v>
          </cell>
          <cell r="O186">
            <v>16.850000000000001</v>
          </cell>
          <cell r="P186">
            <v>27.18</v>
          </cell>
          <cell r="Q186">
            <v>34</v>
          </cell>
          <cell r="R186">
            <v>924.12</v>
          </cell>
          <cell r="S186">
            <v>0.1</v>
          </cell>
          <cell r="T186">
            <v>92.412000000000006</v>
          </cell>
          <cell r="U186">
            <v>924.02</v>
          </cell>
          <cell r="V186">
            <v>8.23</v>
          </cell>
          <cell r="W186">
            <v>932.25</v>
          </cell>
        </row>
        <row r="187">
          <cell r="A187" t="str">
            <v>5159-1</v>
          </cell>
          <cell r="B187">
            <v>41459</v>
          </cell>
          <cell r="C187" t="str">
            <v>Sara Luxemburg</v>
          </cell>
          <cell r="D187" t="str">
            <v>180 High Street,Windsor</v>
          </cell>
          <cell r="E187" t="str">
            <v>Melbourne</v>
          </cell>
          <cell r="F187" t="str">
            <v>VIC</v>
          </cell>
          <cell r="G187" t="str">
            <v>Small Business</v>
          </cell>
          <cell r="H187" t="str">
            <v>Connor Betts</v>
          </cell>
          <cell r="I187" t="str">
            <v>Critical</v>
          </cell>
          <cell r="J187" t="str">
            <v>Smiths Metal Binder Clips</v>
          </cell>
          <cell r="K187" t="str">
            <v>Office Supplies</v>
          </cell>
          <cell r="L187" t="str">
            <v>Wrap Bag</v>
          </cell>
          <cell r="M187" t="str">
            <v>Regular Air</v>
          </cell>
          <cell r="N187">
            <v>41460</v>
          </cell>
          <cell r="O187">
            <v>1.6</v>
          </cell>
          <cell r="P187">
            <v>2.62</v>
          </cell>
          <cell r="Q187">
            <v>21</v>
          </cell>
          <cell r="R187">
            <v>55.02</v>
          </cell>
          <cell r="S187">
            <v>0.05</v>
          </cell>
          <cell r="T187">
            <v>2.7510000000000003</v>
          </cell>
          <cell r="U187">
            <v>54.970000000000006</v>
          </cell>
          <cell r="V187">
            <v>0.8</v>
          </cell>
          <cell r="W187">
            <v>55.77</v>
          </cell>
        </row>
        <row r="188">
          <cell r="A188" t="str">
            <v>5163-1</v>
          </cell>
          <cell r="B188">
            <v>41461</v>
          </cell>
          <cell r="C188" t="str">
            <v>Aaron Smayling</v>
          </cell>
          <cell r="D188" t="str">
            <v>1737 Botany Rd,Banksmeadow</v>
          </cell>
          <cell r="E188" t="str">
            <v>Sydney</v>
          </cell>
          <cell r="F188" t="str">
            <v>NSW</v>
          </cell>
          <cell r="G188" t="str">
            <v>Small Business</v>
          </cell>
          <cell r="H188" t="str">
            <v>Nicholas Fernandes</v>
          </cell>
          <cell r="I188" t="str">
            <v>Medium</v>
          </cell>
          <cell r="J188" t="str">
            <v>TypeRight  Top-Opening Peel &amp; Seel  Envelopes, Gray</v>
          </cell>
          <cell r="K188" t="str">
            <v>Office Supplies</v>
          </cell>
          <cell r="L188" t="str">
            <v>Small Box</v>
          </cell>
          <cell r="M188" t="str">
            <v>Regular Air</v>
          </cell>
          <cell r="N188">
            <v>41461</v>
          </cell>
          <cell r="O188">
            <v>21.56</v>
          </cell>
          <cell r="P188">
            <v>35.94</v>
          </cell>
          <cell r="Q188">
            <v>28</v>
          </cell>
          <cell r="R188">
            <v>1006.3199999999999</v>
          </cell>
          <cell r="S188">
            <v>0.01</v>
          </cell>
          <cell r="T188">
            <v>10.0632</v>
          </cell>
          <cell r="U188">
            <v>1006.31</v>
          </cell>
          <cell r="V188">
            <v>6.66</v>
          </cell>
          <cell r="W188">
            <v>1012.9699999999999</v>
          </cell>
        </row>
        <row r="189">
          <cell r="A189" t="str">
            <v>5165-1</v>
          </cell>
          <cell r="B189">
            <v>41465</v>
          </cell>
          <cell r="C189" t="str">
            <v>Julie Kriz</v>
          </cell>
          <cell r="D189" t="str">
            <v>Macquarie Centre Cnr Herring Road &amp; Waterloo Road,Macquarie Park</v>
          </cell>
          <cell r="E189" t="str">
            <v>Sydney</v>
          </cell>
          <cell r="F189" t="str">
            <v>NSW</v>
          </cell>
          <cell r="G189" t="str">
            <v>Corporate</v>
          </cell>
          <cell r="H189" t="str">
            <v>Nicholas Fernandes</v>
          </cell>
          <cell r="I189" t="str">
            <v>Critical</v>
          </cell>
          <cell r="J189" t="str">
            <v>Artisan Non-Stick Binders</v>
          </cell>
          <cell r="K189" t="str">
            <v>Office Supplies</v>
          </cell>
          <cell r="L189" t="str">
            <v>Small Box</v>
          </cell>
          <cell r="M189" t="str">
            <v>Regular Air</v>
          </cell>
          <cell r="N189">
            <v>41465</v>
          </cell>
          <cell r="O189">
            <v>2.74</v>
          </cell>
          <cell r="P189">
            <v>4.49</v>
          </cell>
          <cell r="Q189">
            <v>11</v>
          </cell>
          <cell r="R189">
            <v>49.39</v>
          </cell>
          <cell r="S189">
            <v>0.08</v>
          </cell>
          <cell r="T189">
            <v>3.9512</v>
          </cell>
          <cell r="U189">
            <v>49.31</v>
          </cell>
          <cell r="V189">
            <v>1.49</v>
          </cell>
          <cell r="W189">
            <v>50.800000000000004</v>
          </cell>
        </row>
        <row r="190">
          <cell r="A190" t="str">
            <v>5166-1</v>
          </cell>
          <cell r="B190">
            <v>41465</v>
          </cell>
          <cell r="C190" t="str">
            <v>Craig Carroll</v>
          </cell>
          <cell r="D190" t="str">
            <v>99 Lygon Street,East Brunswick</v>
          </cell>
          <cell r="E190" t="str">
            <v>Melbourne</v>
          </cell>
          <cell r="F190" t="str">
            <v>VIC</v>
          </cell>
          <cell r="G190" t="str">
            <v>Corporate</v>
          </cell>
          <cell r="H190" t="str">
            <v>Connor Betts</v>
          </cell>
          <cell r="I190" t="str">
            <v>Not Specified</v>
          </cell>
          <cell r="J190" t="str">
            <v>DrawIt Colored Pencils</v>
          </cell>
          <cell r="K190" t="str">
            <v>Office Supplies</v>
          </cell>
          <cell r="L190" t="str">
            <v>Wrap Bag</v>
          </cell>
          <cell r="M190" t="str">
            <v>Regular Air</v>
          </cell>
          <cell r="N190">
            <v>41468</v>
          </cell>
          <cell r="O190">
            <v>4.37</v>
          </cell>
          <cell r="P190">
            <v>9.11</v>
          </cell>
          <cell r="Q190">
            <v>6</v>
          </cell>
          <cell r="R190">
            <v>54.66</v>
          </cell>
          <cell r="S190">
            <v>0.04</v>
          </cell>
          <cell r="T190">
            <v>2.1863999999999999</v>
          </cell>
          <cell r="U190">
            <v>54.62</v>
          </cell>
          <cell r="V190">
            <v>2.25</v>
          </cell>
          <cell r="W190">
            <v>56.87</v>
          </cell>
        </row>
        <row r="191">
          <cell r="A191" t="str">
            <v>5171-1</v>
          </cell>
          <cell r="B191">
            <v>41471</v>
          </cell>
          <cell r="C191" t="str">
            <v>George Zrebassa</v>
          </cell>
          <cell r="D191" t="str">
            <v>81 MacLeay St,Potts Point</v>
          </cell>
          <cell r="E191" t="str">
            <v>Sydney</v>
          </cell>
          <cell r="F191" t="str">
            <v>NSW</v>
          </cell>
          <cell r="G191" t="str">
            <v>Home Office</v>
          </cell>
          <cell r="H191" t="str">
            <v>Samantha Chairs</v>
          </cell>
          <cell r="I191" t="str">
            <v>Critical</v>
          </cell>
          <cell r="J191" t="str">
            <v>Bagged Rubber Bands</v>
          </cell>
          <cell r="K191" t="str">
            <v>Office Supplies</v>
          </cell>
          <cell r="L191" t="str">
            <v>Wrap Bag</v>
          </cell>
          <cell r="M191" t="str">
            <v>Regular Air</v>
          </cell>
          <cell r="N191">
            <v>41472</v>
          </cell>
          <cell r="O191">
            <v>0.24</v>
          </cell>
          <cell r="P191">
            <v>1.26</v>
          </cell>
          <cell r="Q191">
            <v>10</v>
          </cell>
          <cell r="R191">
            <v>12.6</v>
          </cell>
          <cell r="S191">
            <v>0.1</v>
          </cell>
          <cell r="T191">
            <v>1.26</v>
          </cell>
          <cell r="U191">
            <v>12.5</v>
          </cell>
          <cell r="V191">
            <v>0.7</v>
          </cell>
          <cell r="W191">
            <v>13.2</v>
          </cell>
        </row>
        <row r="192">
          <cell r="A192" t="str">
            <v>5173-1</v>
          </cell>
          <cell r="B192">
            <v>41471</v>
          </cell>
          <cell r="C192" t="str">
            <v>Rob Haberlin</v>
          </cell>
          <cell r="D192" t="str">
            <v>8 Rankins Lane ,Melbourne</v>
          </cell>
          <cell r="E192" t="str">
            <v>Melbourne</v>
          </cell>
          <cell r="F192" t="str">
            <v>VIC</v>
          </cell>
          <cell r="G192" t="str">
            <v>Corporate</v>
          </cell>
          <cell r="H192" t="str">
            <v>Connor Betts</v>
          </cell>
          <cell r="I192" t="str">
            <v>High</v>
          </cell>
          <cell r="J192" t="str">
            <v>Wirebound Voice Message Log Book</v>
          </cell>
          <cell r="K192" t="str">
            <v>Office Supplies</v>
          </cell>
          <cell r="L192" t="str">
            <v>Wrap Bag</v>
          </cell>
          <cell r="M192" t="str">
            <v>Regular Air</v>
          </cell>
          <cell r="N192">
            <v>41471</v>
          </cell>
          <cell r="O192">
            <v>2.9</v>
          </cell>
          <cell r="P192">
            <v>4.76</v>
          </cell>
          <cell r="Q192">
            <v>13</v>
          </cell>
          <cell r="R192">
            <v>61.879999999999995</v>
          </cell>
          <cell r="S192">
            <v>7.0000000000000007E-2</v>
          </cell>
          <cell r="T192">
            <v>4.3315999999999999</v>
          </cell>
          <cell r="U192">
            <v>61.809999999999995</v>
          </cell>
          <cell r="V192">
            <v>0.88</v>
          </cell>
          <cell r="W192">
            <v>62.69</v>
          </cell>
        </row>
        <row r="193">
          <cell r="A193" t="str">
            <v>5174-1</v>
          </cell>
          <cell r="B193">
            <v>41472</v>
          </cell>
          <cell r="C193" t="str">
            <v>Pauline Webber</v>
          </cell>
          <cell r="D193" t="str">
            <v>499-501 Lygon Street,Carlton North</v>
          </cell>
          <cell r="E193" t="str">
            <v>Melbourne</v>
          </cell>
          <cell r="F193" t="str">
            <v>VIC</v>
          </cell>
          <cell r="G193" t="str">
            <v>Consumer</v>
          </cell>
          <cell r="H193" t="str">
            <v>Yvette Biti</v>
          </cell>
          <cell r="I193" t="str">
            <v>Low</v>
          </cell>
          <cell r="J193" t="str">
            <v>UGen Ultra Cordless Optical Suite</v>
          </cell>
          <cell r="K193" t="str">
            <v>Technology</v>
          </cell>
          <cell r="L193" t="str">
            <v>Small Box</v>
          </cell>
          <cell r="M193" t="str">
            <v>Express Air</v>
          </cell>
          <cell r="N193">
            <v>41472</v>
          </cell>
          <cell r="O193">
            <v>54.52</v>
          </cell>
          <cell r="P193">
            <v>100.97</v>
          </cell>
          <cell r="Q193">
            <v>35</v>
          </cell>
          <cell r="R193">
            <v>3533.95</v>
          </cell>
          <cell r="S193">
            <v>0.05</v>
          </cell>
          <cell r="T193">
            <v>176.69749999999999</v>
          </cell>
          <cell r="U193">
            <v>3533.8999999999996</v>
          </cell>
          <cell r="V193">
            <v>7.18</v>
          </cell>
          <cell r="W193">
            <v>3541.0799999999995</v>
          </cell>
        </row>
        <row r="194">
          <cell r="A194" t="str">
            <v>5175-1</v>
          </cell>
          <cell r="B194">
            <v>41473</v>
          </cell>
          <cell r="C194" t="str">
            <v>Ben Wallace</v>
          </cell>
          <cell r="D194" t="str">
            <v>120 Hardware St,Melbourne</v>
          </cell>
          <cell r="E194" t="str">
            <v>Melbourne</v>
          </cell>
          <cell r="F194" t="str">
            <v>VIC</v>
          </cell>
          <cell r="G194" t="str">
            <v>Home Office</v>
          </cell>
          <cell r="H194" t="str">
            <v>Yvette Biti</v>
          </cell>
          <cell r="I194" t="str">
            <v>Critical</v>
          </cell>
          <cell r="J194" t="str">
            <v>Apex Elite Stainless Steel Scissors</v>
          </cell>
          <cell r="K194" t="str">
            <v>Office Supplies</v>
          </cell>
          <cell r="L194" t="str">
            <v>Small Pack</v>
          </cell>
          <cell r="M194" t="str">
            <v>Express Air</v>
          </cell>
          <cell r="N194">
            <v>41475</v>
          </cell>
          <cell r="O194">
            <v>3.42</v>
          </cell>
          <cell r="P194">
            <v>8.34</v>
          </cell>
          <cell r="Q194">
            <v>15</v>
          </cell>
          <cell r="R194">
            <v>125.1</v>
          </cell>
          <cell r="S194">
            <v>0</v>
          </cell>
          <cell r="T194">
            <v>0</v>
          </cell>
          <cell r="U194">
            <v>125.1</v>
          </cell>
          <cell r="V194">
            <v>2.64</v>
          </cell>
          <cell r="W194">
            <v>127.74</v>
          </cell>
        </row>
        <row r="195">
          <cell r="A195" t="str">
            <v>5177-1</v>
          </cell>
          <cell r="B195">
            <v>41475</v>
          </cell>
          <cell r="C195" t="str">
            <v>Giulietta Dortch</v>
          </cell>
          <cell r="D195" t="str">
            <v>180 High Street,Windsor</v>
          </cell>
          <cell r="E195" t="str">
            <v>Melbourne</v>
          </cell>
          <cell r="F195" t="str">
            <v>VIC</v>
          </cell>
          <cell r="G195" t="str">
            <v>Small Business</v>
          </cell>
          <cell r="H195" t="str">
            <v>Connor Betts</v>
          </cell>
          <cell r="I195" t="str">
            <v>Critical</v>
          </cell>
          <cell r="J195" t="str">
            <v>Artisan Printable Repositionable Plastic Tabs</v>
          </cell>
          <cell r="K195" t="str">
            <v>Office Supplies</v>
          </cell>
          <cell r="L195" t="str">
            <v>Small Box</v>
          </cell>
          <cell r="M195" t="str">
            <v>Express Air</v>
          </cell>
          <cell r="N195">
            <v>41477</v>
          </cell>
          <cell r="O195">
            <v>5.33</v>
          </cell>
          <cell r="P195">
            <v>8.6</v>
          </cell>
          <cell r="Q195">
            <v>23</v>
          </cell>
          <cell r="R195">
            <v>197.79999999999998</v>
          </cell>
          <cell r="S195">
            <v>0.02</v>
          </cell>
          <cell r="T195">
            <v>3.956</v>
          </cell>
          <cell r="U195">
            <v>197.77999999999997</v>
          </cell>
          <cell r="V195">
            <v>6.19</v>
          </cell>
          <cell r="W195">
            <v>203.96999999999997</v>
          </cell>
        </row>
        <row r="196">
          <cell r="A196" t="str">
            <v>5178-1</v>
          </cell>
          <cell r="B196">
            <v>41476</v>
          </cell>
          <cell r="C196" t="str">
            <v>Adam Shillingsburg</v>
          </cell>
          <cell r="D196" t="str">
            <v>Westfield Parramatta,Parramatta</v>
          </cell>
          <cell r="E196" t="str">
            <v>Sydney</v>
          </cell>
          <cell r="F196" t="str">
            <v>NSW</v>
          </cell>
          <cell r="G196" t="str">
            <v>Corporate</v>
          </cell>
          <cell r="H196" t="str">
            <v>Stevie Bacata</v>
          </cell>
          <cell r="I196" t="str">
            <v>High</v>
          </cell>
          <cell r="J196" t="str">
            <v>Cando PC940 Copier</v>
          </cell>
          <cell r="K196" t="str">
            <v>Technology</v>
          </cell>
          <cell r="L196" t="str">
            <v>Jumbo Drum</v>
          </cell>
          <cell r="M196" t="str">
            <v>Delivery Truck</v>
          </cell>
          <cell r="N196">
            <v>41478</v>
          </cell>
          <cell r="O196">
            <v>278.99</v>
          </cell>
          <cell r="P196">
            <v>449.99</v>
          </cell>
          <cell r="Q196">
            <v>12</v>
          </cell>
          <cell r="R196">
            <v>5399.88</v>
          </cell>
          <cell r="S196">
            <v>0.06</v>
          </cell>
          <cell r="T196">
            <v>323.99279999999999</v>
          </cell>
          <cell r="U196">
            <v>5399.82</v>
          </cell>
          <cell r="V196">
            <v>49</v>
          </cell>
          <cell r="W196">
            <v>5448.82</v>
          </cell>
        </row>
        <row r="197">
          <cell r="A197" t="str">
            <v>5180-1</v>
          </cell>
          <cell r="B197">
            <v>41477</v>
          </cell>
          <cell r="C197" t="str">
            <v>Rick Hansen</v>
          </cell>
          <cell r="D197" t="str">
            <v>Macquarie Centre Cnr Herring Road &amp; Waterloo Road,Macquarie Park</v>
          </cell>
          <cell r="E197" t="str">
            <v>Sydney</v>
          </cell>
          <cell r="F197" t="str">
            <v>NSW</v>
          </cell>
          <cell r="G197" t="str">
            <v>Corporate</v>
          </cell>
          <cell r="H197" t="str">
            <v>Nicholas Fernandes</v>
          </cell>
          <cell r="I197" t="str">
            <v>High</v>
          </cell>
          <cell r="J197" t="str">
            <v>Economy Binders</v>
          </cell>
          <cell r="K197" t="str">
            <v>Office Supplies</v>
          </cell>
          <cell r="L197" t="str">
            <v>Small Box</v>
          </cell>
          <cell r="M197" t="str">
            <v>Express Air</v>
          </cell>
          <cell r="N197">
            <v>41478</v>
          </cell>
          <cell r="O197">
            <v>1.33</v>
          </cell>
          <cell r="P197">
            <v>2.08</v>
          </cell>
          <cell r="Q197">
            <v>11</v>
          </cell>
          <cell r="R197">
            <v>22.880000000000003</v>
          </cell>
          <cell r="S197">
            <v>0.01</v>
          </cell>
          <cell r="T197">
            <v>0.22880000000000003</v>
          </cell>
          <cell r="U197">
            <v>22.87</v>
          </cell>
          <cell r="V197">
            <v>1.49</v>
          </cell>
          <cell r="W197">
            <v>24.36</v>
          </cell>
        </row>
        <row r="198">
          <cell r="A198" t="str">
            <v>5181-1</v>
          </cell>
          <cell r="B198">
            <v>41477</v>
          </cell>
          <cell r="C198" t="str">
            <v>Edward Becker</v>
          </cell>
          <cell r="D198" t="str">
            <v>501 George St,Sydney</v>
          </cell>
          <cell r="E198" t="str">
            <v>Sydney</v>
          </cell>
          <cell r="F198" t="str">
            <v>NSW</v>
          </cell>
          <cell r="G198" t="str">
            <v>Corporate</v>
          </cell>
          <cell r="H198" t="str">
            <v>Samantha Chairs</v>
          </cell>
          <cell r="I198" t="str">
            <v>Low</v>
          </cell>
          <cell r="J198" t="str">
            <v>TechSavi Internet Navigator Keyboard</v>
          </cell>
          <cell r="K198" t="str">
            <v>Technology</v>
          </cell>
          <cell r="L198" t="str">
            <v>Small Box</v>
          </cell>
          <cell r="M198" t="str">
            <v>Regular Air</v>
          </cell>
          <cell r="N198">
            <v>41481</v>
          </cell>
          <cell r="O198">
            <v>6.51</v>
          </cell>
          <cell r="P198">
            <v>30.98</v>
          </cell>
          <cell r="Q198">
            <v>29</v>
          </cell>
          <cell r="R198">
            <v>898.42</v>
          </cell>
          <cell r="S198">
            <v>0.03</v>
          </cell>
          <cell r="T198">
            <v>26.952599999999997</v>
          </cell>
          <cell r="U198">
            <v>898.39</v>
          </cell>
          <cell r="V198">
            <v>6.5</v>
          </cell>
          <cell r="W198">
            <v>904.89</v>
          </cell>
        </row>
        <row r="199">
          <cell r="A199" t="str">
            <v>5183-1</v>
          </cell>
          <cell r="B199">
            <v>41478</v>
          </cell>
          <cell r="C199" t="str">
            <v>Sean ODonnell</v>
          </cell>
          <cell r="D199" t="str">
            <v>541 Church St ,Richmond</v>
          </cell>
          <cell r="E199" t="str">
            <v>Melbourne</v>
          </cell>
          <cell r="F199" t="str">
            <v>VIC</v>
          </cell>
          <cell r="G199" t="str">
            <v>Corporate</v>
          </cell>
          <cell r="H199" t="str">
            <v>Yvette Biti</v>
          </cell>
          <cell r="I199" t="str">
            <v>Not Specified</v>
          </cell>
          <cell r="J199" t="str">
            <v>Artisan Hi-Liter Smear-Safe Highlighters</v>
          </cell>
          <cell r="K199" t="str">
            <v>Office Supplies</v>
          </cell>
          <cell r="L199" t="str">
            <v>Wrap Bag</v>
          </cell>
          <cell r="M199" t="str">
            <v>Regular Air</v>
          </cell>
          <cell r="N199">
            <v>41480</v>
          </cell>
          <cell r="O199">
            <v>2.98</v>
          </cell>
          <cell r="P199">
            <v>5.84</v>
          </cell>
          <cell r="Q199">
            <v>11</v>
          </cell>
          <cell r="R199">
            <v>64.239999999999995</v>
          </cell>
          <cell r="S199">
            <v>0.01</v>
          </cell>
          <cell r="T199">
            <v>0.64239999999999997</v>
          </cell>
          <cell r="U199">
            <v>64.22999999999999</v>
          </cell>
          <cell r="V199">
            <v>0.83</v>
          </cell>
          <cell r="W199">
            <v>65.059999999999988</v>
          </cell>
        </row>
        <row r="200">
          <cell r="A200" t="str">
            <v>5185-1</v>
          </cell>
          <cell r="B200">
            <v>41479</v>
          </cell>
          <cell r="C200" t="str">
            <v>Karl Brown</v>
          </cell>
          <cell r="D200" t="str">
            <v>470 Anzac Parade,Kingsford</v>
          </cell>
          <cell r="E200" t="str">
            <v>Sydney</v>
          </cell>
          <cell r="F200" t="str">
            <v>NSW</v>
          </cell>
          <cell r="G200" t="str">
            <v>Home Office</v>
          </cell>
          <cell r="H200" t="str">
            <v>Tina Carlton</v>
          </cell>
          <cell r="I200" t="str">
            <v>Critical</v>
          </cell>
          <cell r="J200" t="str">
            <v>Artisan Hanging File Binders</v>
          </cell>
          <cell r="K200" t="str">
            <v>Office Supplies</v>
          </cell>
          <cell r="L200" t="str">
            <v>Small Box</v>
          </cell>
          <cell r="M200" t="str">
            <v>Regular Air</v>
          </cell>
          <cell r="N200">
            <v>41481</v>
          </cell>
          <cell r="O200">
            <v>3.65</v>
          </cell>
          <cell r="P200">
            <v>5.98</v>
          </cell>
          <cell r="Q200">
            <v>14</v>
          </cell>
          <cell r="R200">
            <v>83.72</v>
          </cell>
          <cell r="S200">
            <v>0.09</v>
          </cell>
          <cell r="T200">
            <v>7.5347999999999997</v>
          </cell>
          <cell r="U200">
            <v>83.63</v>
          </cell>
          <cell r="V200">
            <v>1.49</v>
          </cell>
          <cell r="W200">
            <v>85.11999999999999</v>
          </cell>
        </row>
        <row r="201">
          <cell r="A201" t="str">
            <v>5186-1</v>
          </cell>
          <cell r="B201">
            <v>41481</v>
          </cell>
          <cell r="C201" t="str">
            <v>Eric Barreto</v>
          </cell>
          <cell r="D201" t="str">
            <v>359 Crown Street,Surry Hills</v>
          </cell>
          <cell r="E201" t="str">
            <v>Sydney</v>
          </cell>
          <cell r="F201" t="str">
            <v>NSW</v>
          </cell>
          <cell r="G201" t="str">
            <v>Consumer</v>
          </cell>
          <cell r="H201" t="str">
            <v>Phoebe Gour</v>
          </cell>
          <cell r="I201" t="str">
            <v>Low</v>
          </cell>
          <cell r="J201" t="str">
            <v>Beekin 6 Outlet Metallic Surge Strip</v>
          </cell>
          <cell r="K201" t="str">
            <v>Office Supplies</v>
          </cell>
          <cell r="L201" t="str">
            <v>Small Box</v>
          </cell>
          <cell r="M201" t="str">
            <v>Regular Air</v>
          </cell>
          <cell r="N201">
            <v>41486</v>
          </cell>
          <cell r="O201">
            <v>4.46</v>
          </cell>
          <cell r="P201">
            <v>10.89</v>
          </cell>
          <cell r="Q201">
            <v>37</v>
          </cell>
          <cell r="R201">
            <v>402.93</v>
          </cell>
          <cell r="S201">
            <v>0.06</v>
          </cell>
          <cell r="T201">
            <v>24.175799999999999</v>
          </cell>
          <cell r="U201">
            <v>402.87</v>
          </cell>
          <cell r="V201">
            <v>4.5</v>
          </cell>
          <cell r="W201">
            <v>407.37</v>
          </cell>
        </row>
        <row r="202">
          <cell r="A202" t="str">
            <v>5188-1</v>
          </cell>
          <cell r="B202">
            <v>41481</v>
          </cell>
          <cell r="C202" t="str">
            <v>Charles Sheldon</v>
          </cell>
          <cell r="D202" t="str">
            <v>180 High Street,Windsor</v>
          </cell>
          <cell r="E202" t="str">
            <v>Melbourne</v>
          </cell>
          <cell r="F202" t="str">
            <v>VIC</v>
          </cell>
          <cell r="G202" t="str">
            <v>Corporate</v>
          </cell>
          <cell r="H202" t="str">
            <v>Connor Betts</v>
          </cell>
          <cell r="I202" t="str">
            <v>Low</v>
          </cell>
          <cell r="J202" t="str">
            <v>TechSavi Internet Navigator Keyboard</v>
          </cell>
          <cell r="K202" t="str">
            <v>Technology</v>
          </cell>
          <cell r="L202" t="str">
            <v>Small Box</v>
          </cell>
          <cell r="M202" t="str">
            <v>Regular Air</v>
          </cell>
          <cell r="N202">
            <v>41483</v>
          </cell>
          <cell r="O202">
            <v>6.51</v>
          </cell>
          <cell r="P202">
            <v>30.98</v>
          </cell>
          <cell r="Q202">
            <v>8</v>
          </cell>
          <cell r="R202">
            <v>247.84</v>
          </cell>
          <cell r="S202">
            <v>0.01</v>
          </cell>
          <cell r="T202">
            <v>2.4784000000000002</v>
          </cell>
          <cell r="U202">
            <v>247.83</v>
          </cell>
          <cell r="V202">
            <v>6.5</v>
          </cell>
          <cell r="W202">
            <v>254.33</v>
          </cell>
        </row>
        <row r="203">
          <cell r="A203" t="str">
            <v>5189-1</v>
          </cell>
          <cell r="B203">
            <v>41482</v>
          </cell>
          <cell r="C203" t="str">
            <v>Jesus Ocampo</v>
          </cell>
          <cell r="D203" t="str">
            <v>60 Commercial Rd,Prahran</v>
          </cell>
          <cell r="E203" t="str">
            <v>Melbourne</v>
          </cell>
          <cell r="F203" t="str">
            <v>VIC</v>
          </cell>
          <cell r="G203" t="str">
            <v>Small Business</v>
          </cell>
          <cell r="H203" t="str">
            <v>Yvette Biti</v>
          </cell>
          <cell r="I203" t="str">
            <v>Low</v>
          </cell>
          <cell r="J203" t="str">
            <v>Adesso Programmable 142-Key Keyboard</v>
          </cell>
          <cell r="K203" t="str">
            <v>Technology</v>
          </cell>
          <cell r="L203" t="str">
            <v>Small Box</v>
          </cell>
          <cell r="M203" t="str">
            <v>Regular Air</v>
          </cell>
          <cell r="N203">
            <v>41484</v>
          </cell>
          <cell r="O203">
            <v>39.64</v>
          </cell>
          <cell r="P203">
            <v>152.47999999999999</v>
          </cell>
          <cell r="Q203">
            <v>31</v>
          </cell>
          <cell r="R203">
            <v>4726.88</v>
          </cell>
          <cell r="S203">
            <v>7.0000000000000007E-2</v>
          </cell>
          <cell r="T203">
            <v>330.88160000000005</v>
          </cell>
          <cell r="U203">
            <v>4726.8100000000004</v>
          </cell>
          <cell r="V203">
            <v>6.5</v>
          </cell>
          <cell r="W203">
            <v>4733.3100000000004</v>
          </cell>
        </row>
        <row r="204">
          <cell r="A204" t="str">
            <v>5191-1</v>
          </cell>
          <cell r="B204">
            <v>41483</v>
          </cell>
          <cell r="C204" t="str">
            <v>Thais Sissman</v>
          </cell>
          <cell r="D204" t="str">
            <v>53-55 Liverpool St,Sydney</v>
          </cell>
          <cell r="E204" t="str">
            <v>Sydney</v>
          </cell>
          <cell r="F204" t="str">
            <v>NSW</v>
          </cell>
          <cell r="G204" t="str">
            <v>Corporate</v>
          </cell>
          <cell r="H204" t="str">
            <v>Tina Carlton</v>
          </cell>
          <cell r="I204" t="str">
            <v>Not Specified</v>
          </cell>
          <cell r="J204" t="str">
            <v>Fluorescent Highlighters by DrawIt</v>
          </cell>
          <cell r="K204" t="str">
            <v>Office Supplies</v>
          </cell>
          <cell r="L204" t="str">
            <v>Wrap Bag</v>
          </cell>
          <cell r="M204" t="str">
            <v>Regular Air</v>
          </cell>
          <cell r="N204">
            <v>41485</v>
          </cell>
          <cell r="O204">
            <v>1.95</v>
          </cell>
          <cell r="P204">
            <v>3.98</v>
          </cell>
          <cell r="Q204">
            <v>30</v>
          </cell>
          <cell r="R204">
            <v>119.4</v>
          </cell>
          <cell r="S204">
            <v>0.1</v>
          </cell>
          <cell r="T204">
            <v>11.940000000000001</v>
          </cell>
          <cell r="U204">
            <v>119.30000000000001</v>
          </cell>
          <cell r="V204">
            <v>0.83</v>
          </cell>
          <cell r="W204">
            <v>120.13000000000001</v>
          </cell>
        </row>
        <row r="205">
          <cell r="A205" t="str">
            <v>5193-1</v>
          </cell>
          <cell r="B205">
            <v>41484</v>
          </cell>
          <cell r="C205" t="str">
            <v>Nick Zandusky</v>
          </cell>
          <cell r="D205" t="str">
            <v>224A Gertrude St,Fitzroy</v>
          </cell>
          <cell r="E205" t="str">
            <v>Melbourne</v>
          </cell>
          <cell r="F205" t="str">
            <v>VIC</v>
          </cell>
          <cell r="G205" t="str">
            <v>Small Business</v>
          </cell>
          <cell r="H205" t="str">
            <v>Connor Betts</v>
          </cell>
          <cell r="I205" t="str">
            <v>Not Specified</v>
          </cell>
          <cell r="J205" t="str">
            <v>Artisan 481 Labels</v>
          </cell>
          <cell r="K205" t="str">
            <v>Office Supplies</v>
          </cell>
          <cell r="L205" t="str">
            <v>Small Box</v>
          </cell>
          <cell r="M205" t="str">
            <v>Regular Air</v>
          </cell>
          <cell r="N205">
            <v>41485</v>
          </cell>
          <cell r="O205">
            <v>1.94</v>
          </cell>
          <cell r="P205">
            <v>3.08</v>
          </cell>
          <cell r="Q205">
            <v>38</v>
          </cell>
          <cell r="R205">
            <v>117.04</v>
          </cell>
          <cell r="S205">
            <v>0.04</v>
          </cell>
          <cell r="T205">
            <v>4.6816000000000004</v>
          </cell>
          <cell r="U205">
            <v>117</v>
          </cell>
          <cell r="V205">
            <v>0.99</v>
          </cell>
          <cell r="W205">
            <v>117.99</v>
          </cell>
        </row>
        <row r="206">
          <cell r="A206" t="str">
            <v>5194-1</v>
          </cell>
          <cell r="B206">
            <v>41485</v>
          </cell>
          <cell r="C206" t="str">
            <v>Corinna Mitchell</v>
          </cell>
          <cell r="D206" t="str">
            <v>27 Greenfield Parade,Bankstown</v>
          </cell>
          <cell r="E206" t="str">
            <v>Sydney</v>
          </cell>
          <cell r="F206" t="str">
            <v>NSW</v>
          </cell>
          <cell r="G206" t="str">
            <v>Corporate</v>
          </cell>
          <cell r="H206" t="str">
            <v>Nicholas Fernandes</v>
          </cell>
          <cell r="I206" t="str">
            <v>Not Specified</v>
          </cell>
          <cell r="J206" t="str">
            <v>Emerson C82 Color Inkjet Printer</v>
          </cell>
          <cell r="K206" t="str">
            <v>Technology</v>
          </cell>
          <cell r="L206" t="str">
            <v>Jumbo Drum</v>
          </cell>
          <cell r="M206" t="str">
            <v>Delivery Truck</v>
          </cell>
          <cell r="N206">
            <v>41486</v>
          </cell>
          <cell r="O206">
            <v>76.790000000000006</v>
          </cell>
          <cell r="P206">
            <v>119.99</v>
          </cell>
          <cell r="Q206">
            <v>24</v>
          </cell>
          <cell r="R206">
            <v>2879.7599999999998</v>
          </cell>
          <cell r="S206">
            <v>0.02</v>
          </cell>
          <cell r="T206">
            <v>57.595199999999998</v>
          </cell>
          <cell r="U206">
            <v>2879.74</v>
          </cell>
          <cell r="V206">
            <v>14</v>
          </cell>
          <cell r="W206">
            <v>2893.74</v>
          </cell>
        </row>
        <row r="207">
          <cell r="A207" t="str">
            <v>5198-1</v>
          </cell>
          <cell r="B207">
            <v>41488</v>
          </cell>
          <cell r="C207" t="str">
            <v>Chuck Magee</v>
          </cell>
          <cell r="D207" t="str">
            <v>1-2/299 Sussex St,Sydney</v>
          </cell>
          <cell r="E207" t="str">
            <v>Sydney</v>
          </cell>
          <cell r="F207" t="str">
            <v>NSW</v>
          </cell>
          <cell r="G207" t="str">
            <v>Corporate</v>
          </cell>
          <cell r="H207" t="str">
            <v>Aanya Zhang</v>
          </cell>
          <cell r="I207" t="str">
            <v>Not Specified</v>
          </cell>
          <cell r="J207" t="str">
            <v>Pizazz Drawing Pencil Set</v>
          </cell>
          <cell r="K207" t="str">
            <v>Office Supplies</v>
          </cell>
          <cell r="L207" t="str">
            <v>Wrap Bag</v>
          </cell>
          <cell r="M207" t="str">
            <v>Express Air</v>
          </cell>
          <cell r="N207">
            <v>41490</v>
          </cell>
          <cell r="O207">
            <v>1.53</v>
          </cell>
          <cell r="P207">
            <v>2.78</v>
          </cell>
          <cell r="Q207">
            <v>40</v>
          </cell>
          <cell r="R207">
            <v>111.19999999999999</v>
          </cell>
          <cell r="S207">
            <v>0.03</v>
          </cell>
          <cell r="T207">
            <v>3.3359999999999994</v>
          </cell>
          <cell r="U207">
            <v>111.16999999999999</v>
          </cell>
          <cell r="V207">
            <v>1.34</v>
          </cell>
          <cell r="W207">
            <v>112.50999999999999</v>
          </cell>
        </row>
        <row r="208">
          <cell r="A208" t="str">
            <v>5200-1</v>
          </cell>
          <cell r="B208">
            <v>41492</v>
          </cell>
          <cell r="C208" t="str">
            <v>Seth Vernon</v>
          </cell>
          <cell r="D208" t="str">
            <v>541 Church St,Richmond</v>
          </cell>
          <cell r="E208" t="str">
            <v>Melbourne</v>
          </cell>
          <cell r="F208" t="str">
            <v>VIC</v>
          </cell>
          <cell r="G208" t="str">
            <v>Home Office</v>
          </cell>
          <cell r="H208" t="str">
            <v>Yvette Biti</v>
          </cell>
          <cell r="I208" t="str">
            <v>Critical</v>
          </cell>
          <cell r="J208" t="str">
            <v>Artisan Poly Binder Pockets</v>
          </cell>
          <cell r="K208" t="str">
            <v>Office Supplies</v>
          </cell>
          <cell r="L208" t="str">
            <v>Small Box</v>
          </cell>
          <cell r="M208" t="str">
            <v>Regular Air</v>
          </cell>
          <cell r="N208">
            <v>41494</v>
          </cell>
          <cell r="O208">
            <v>2.2599999999999998</v>
          </cell>
          <cell r="P208">
            <v>3.58</v>
          </cell>
          <cell r="Q208">
            <v>46</v>
          </cell>
          <cell r="R208">
            <v>164.68</v>
          </cell>
          <cell r="S208">
            <v>0.06</v>
          </cell>
          <cell r="T208">
            <v>9.8808000000000007</v>
          </cell>
          <cell r="U208">
            <v>164.62</v>
          </cell>
          <cell r="V208">
            <v>5.47</v>
          </cell>
          <cell r="W208">
            <v>170.09</v>
          </cell>
        </row>
        <row r="209">
          <cell r="A209" t="str">
            <v>5201-1</v>
          </cell>
          <cell r="B209">
            <v>41493</v>
          </cell>
          <cell r="C209" t="str">
            <v>Vivian Mathis</v>
          </cell>
          <cell r="D209" t="str">
            <v>Crown Complex,Southbank</v>
          </cell>
          <cell r="E209" t="str">
            <v>Melbourne</v>
          </cell>
          <cell r="F209" t="str">
            <v>VIC</v>
          </cell>
          <cell r="G209" t="str">
            <v>Home Office</v>
          </cell>
          <cell r="H209" t="str">
            <v>Yvette Biti</v>
          </cell>
          <cell r="I209" t="str">
            <v>High</v>
          </cell>
          <cell r="J209" t="str">
            <v>Barrel Sharpener</v>
          </cell>
          <cell r="K209" t="str">
            <v>Office Supplies</v>
          </cell>
          <cell r="L209" t="str">
            <v>Small Pack</v>
          </cell>
          <cell r="M209" t="str">
            <v>Regular Air</v>
          </cell>
          <cell r="N209">
            <v>41495</v>
          </cell>
          <cell r="O209">
            <v>1.46</v>
          </cell>
          <cell r="P209">
            <v>3.57</v>
          </cell>
          <cell r="Q209">
            <v>23</v>
          </cell>
          <cell r="R209">
            <v>82.11</v>
          </cell>
          <cell r="S209">
            <v>0.09</v>
          </cell>
          <cell r="T209">
            <v>7.3898999999999999</v>
          </cell>
          <cell r="U209">
            <v>82.02</v>
          </cell>
          <cell r="V209">
            <v>4.17</v>
          </cell>
          <cell r="W209">
            <v>86.19</v>
          </cell>
        </row>
        <row r="210">
          <cell r="A210" t="str">
            <v>5202-1</v>
          </cell>
          <cell r="B210">
            <v>41494</v>
          </cell>
          <cell r="C210" t="str">
            <v>Harold Ryan</v>
          </cell>
          <cell r="D210" t="str">
            <v>4A Lyons St,Strathfield</v>
          </cell>
          <cell r="E210" t="str">
            <v>Sydney</v>
          </cell>
          <cell r="F210" t="str">
            <v>NSW</v>
          </cell>
          <cell r="G210" t="str">
            <v>Home Office</v>
          </cell>
          <cell r="H210" t="str">
            <v>Tina Carlton</v>
          </cell>
          <cell r="I210" t="str">
            <v>Not Specified</v>
          </cell>
          <cell r="J210" t="str">
            <v>TechSavi Internet Navigator Keyboard</v>
          </cell>
          <cell r="K210" t="str">
            <v>Technology</v>
          </cell>
          <cell r="L210" t="str">
            <v>Small Box</v>
          </cell>
          <cell r="M210" t="str">
            <v>Express Air</v>
          </cell>
          <cell r="N210">
            <v>41495</v>
          </cell>
          <cell r="O210">
            <v>6.51</v>
          </cell>
          <cell r="P210">
            <v>30.98</v>
          </cell>
          <cell r="Q210">
            <v>44</v>
          </cell>
          <cell r="R210">
            <v>1363.1200000000001</v>
          </cell>
          <cell r="S210">
            <v>0.02</v>
          </cell>
          <cell r="T210">
            <v>27.262400000000003</v>
          </cell>
          <cell r="U210">
            <v>1363.1000000000001</v>
          </cell>
          <cell r="V210">
            <v>6.5</v>
          </cell>
          <cell r="W210">
            <v>1369.6000000000001</v>
          </cell>
        </row>
        <row r="211">
          <cell r="A211" t="str">
            <v>5204-1</v>
          </cell>
          <cell r="B211">
            <v>41495</v>
          </cell>
          <cell r="C211" t="str">
            <v>Kean Takahito</v>
          </cell>
          <cell r="D211" t="str">
            <v>21 Wentworth St,Parramatta</v>
          </cell>
          <cell r="E211" t="str">
            <v>Sydney</v>
          </cell>
          <cell r="F211" t="str">
            <v>NSW</v>
          </cell>
          <cell r="G211" t="str">
            <v>Home Office</v>
          </cell>
          <cell r="H211" t="str">
            <v>Aanya Zhang</v>
          </cell>
          <cell r="I211" t="str">
            <v>Not Specified</v>
          </cell>
          <cell r="J211" t="str">
            <v>Binding Machine Supplies</v>
          </cell>
          <cell r="K211" t="str">
            <v>Office Supplies</v>
          </cell>
          <cell r="L211" t="str">
            <v>Small Box</v>
          </cell>
          <cell r="M211" t="str">
            <v>Regular Air</v>
          </cell>
          <cell r="N211">
            <v>41496</v>
          </cell>
          <cell r="O211">
            <v>18.38</v>
          </cell>
          <cell r="P211">
            <v>29.17</v>
          </cell>
          <cell r="Q211">
            <v>8</v>
          </cell>
          <cell r="R211">
            <v>233.36</v>
          </cell>
          <cell r="S211">
            <v>0.02</v>
          </cell>
          <cell r="T211">
            <v>4.6672000000000002</v>
          </cell>
          <cell r="U211">
            <v>233.34</v>
          </cell>
          <cell r="V211">
            <v>6.27</v>
          </cell>
          <cell r="W211">
            <v>239.61</v>
          </cell>
        </row>
        <row r="212">
          <cell r="A212" t="str">
            <v>5206-1</v>
          </cell>
          <cell r="B212">
            <v>41495</v>
          </cell>
          <cell r="C212" t="str">
            <v>Tony Sayre</v>
          </cell>
          <cell r="D212" t="str">
            <v>499-501 Lygon Street,Carlton North</v>
          </cell>
          <cell r="E212" t="str">
            <v>Melbourne</v>
          </cell>
          <cell r="F212" t="str">
            <v>VIC</v>
          </cell>
          <cell r="G212" t="str">
            <v>Small Business</v>
          </cell>
          <cell r="H212" t="str">
            <v>Yvette Biti</v>
          </cell>
          <cell r="I212" t="str">
            <v>Low</v>
          </cell>
          <cell r="J212" t="str">
            <v>Cando PC940 Copier</v>
          </cell>
          <cell r="K212" t="str">
            <v>Technology</v>
          </cell>
          <cell r="L212" t="str">
            <v>Large Box</v>
          </cell>
          <cell r="M212" t="str">
            <v>Regular Air</v>
          </cell>
          <cell r="N212">
            <v>41499</v>
          </cell>
          <cell r="O212">
            <v>216</v>
          </cell>
          <cell r="P212">
            <v>449.99</v>
          </cell>
          <cell r="Q212">
            <v>40</v>
          </cell>
          <cell r="R212">
            <v>17999.599999999999</v>
          </cell>
          <cell r="S212">
            <v>0.04</v>
          </cell>
          <cell r="T212">
            <v>719.98399999999992</v>
          </cell>
          <cell r="U212">
            <v>17999.559999999998</v>
          </cell>
          <cell r="V212">
            <v>24.49</v>
          </cell>
          <cell r="W212">
            <v>18024.05</v>
          </cell>
        </row>
        <row r="213">
          <cell r="A213" t="str">
            <v>5207-1</v>
          </cell>
          <cell r="B213">
            <v>41495</v>
          </cell>
          <cell r="C213" t="str">
            <v>Aaron Bergman</v>
          </cell>
          <cell r="D213" t="str">
            <v>Westfield Sydney,Sydney</v>
          </cell>
          <cell r="E213" t="str">
            <v>Sydney</v>
          </cell>
          <cell r="F213" t="str">
            <v>NSW</v>
          </cell>
          <cell r="G213" t="str">
            <v>Corporate</v>
          </cell>
          <cell r="H213" t="str">
            <v>Natasha Song</v>
          </cell>
          <cell r="I213" t="str">
            <v>Low</v>
          </cell>
          <cell r="J213" t="str">
            <v>Cando S750 Color Inkjet Printer</v>
          </cell>
          <cell r="K213" t="str">
            <v>Technology</v>
          </cell>
          <cell r="L213" t="str">
            <v>Jumbo Drum</v>
          </cell>
          <cell r="M213" t="str">
            <v>Delivery Truck</v>
          </cell>
          <cell r="N213">
            <v>41502</v>
          </cell>
          <cell r="O213">
            <v>75</v>
          </cell>
          <cell r="P213">
            <v>120.97</v>
          </cell>
          <cell r="Q213">
            <v>35</v>
          </cell>
          <cell r="R213">
            <v>4233.95</v>
          </cell>
          <cell r="S213">
            <v>0.08</v>
          </cell>
          <cell r="T213">
            <v>338.71600000000001</v>
          </cell>
          <cell r="U213">
            <v>4233.87</v>
          </cell>
          <cell r="V213">
            <v>26.3</v>
          </cell>
          <cell r="W213">
            <v>4260.17</v>
          </cell>
        </row>
        <row r="214">
          <cell r="A214" t="str">
            <v>5208-1</v>
          </cell>
          <cell r="B214">
            <v>41496</v>
          </cell>
          <cell r="C214" t="str">
            <v>Edward Hooks</v>
          </cell>
          <cell r="D214" t="str">
            <v>224A Gertrude St,Fitzroy</v>
          </cell>
          <cell r="E214" t="str">
            <v>Melbourne</v>
          </cell>
          <cell r="F214" t="str">
            <v>VIC</v>
          </cell>
          <cell r="G214" t="str">
            <v>Consumer</v>
          </cell>
          <cell r="H214" t="str">
            <v>Connor Betts</v>
          </cell>
          <cell r="I214" t="str">
            <v>High</v>
          </cell>
          <cell r="J214" t="str">
            <v>Binder Posts</v>
          </cell>
          <cell r="K214" t="str">
            <v>Office Supplies</v>
          </cell>
          <cell r="L214" t="str">
            <v>Small Box</v>
          </cell>
          <cell r="M214" t="str">
            <v>Regular Air</v>
          </cell>
          <cell r="N214">
            <v>41498</v>
          </cell>
          <cell r="O214">
            <v>3.5</v>
          </cell>
          <cell r="P214">
            <v>5.74</v>
          </cell>
          <cell r="Q214">
            <v>50</v>
          </cell>
          <cell r="R214">
            <v>287</v>
          </cell>
          <cell r="S214">
            <v>0.1</v>
          </cell>
          <cell r="T214">
            <v>28.700000000000003</v>
          </cell>
          <cell r="U214">
            <v>286.89999999999998</v>
          </cell>
          <cell r="V214">
            <v>5.01</v>
          </cell>
          <cell r="W214">
            <v>291.90999999999997</v>
          </cell>
        </row>
        <row r="215">
          <cell r="A215" t="str">
            <v>5209-1</v>
          </cell>
          <cell r="B215">
            <v>41497</v>
          </cell>
          <cell r="C215" t="str">
            <v>Liz Willingham</v>
          </cell>
          <cell r="D215" t="str">
            <v>60 Commercial Rd,Prahran</v>
          </cell>
          <cell r="E215" t="str">
            <v>Melbourne</v>
          </cell>
          <cell r="F215" t="str">
            <v>VIC</v>
          </cell>
          <cell r="G215" t="str">
            <v>Corporate</v>
          </cell>
          <cell r="H215" t="str">
            <v>Yvette Biti</v>
          </cell>
          <cell r="I215" t="str">
            <v>Low</v>
          </cell>
          <cell r="J215" t="str">
            <v>Binder Clips by OIC</v>
          </cell>
          <cell r="K215" t="str">
            <v>Office Supplies</v>
          </cell>
          <cell r="L215" t="str">
            <v>Wrap Bag</v>
          </cell>
          <cell r="M215" t="str">
            <v>Regular Air</v>
          </cell>
          <cell r="N215">
            <v>41499</v>
          </cell>
          <cell r="O215">
            <v>0.93</v>
          </cell>
          <cell r="P215">
            <v>1.48</v>
          </cell>
          <cell r="Q215">
            <v>19</v>
          </cell>
          <cell r="R215">
            <v>28.12</v>
          </cell>
          <cell r="S215">
            <v>0.09</v>
          </cell>
          <cell r="T215">
            <v>2.5308000000000002</v>
          </cell>
          <cell r="U215">
            <v>28.03</v>
          </cell>
          <cell r="V215">
            <v>0.7</v>
          </cell>
          <cell r="W215">
            <v>28.73</v>
          </cell>
        </row>
        <row r="216">
          <cell r="A216" t="str">
            <v>5211-1</v>
          </cell>
          <cell r="B216">
            <v>41498</v>
          </cell>
          <cell r="C216" t="str">
            <v>Dave Poirier</v>
          </cell>
          <cell r="D216" t="str">
            <v>402 Argyle St,Moss Vale</v>
          </cell>
          <cell r="E216" t="str">
            <v>Sydney</v>
          </cell>
          <cell r="F216" t="str">
            <v>NSW</v>
          </cell>
          <cell r="G216" t="str">
            <v>Small Business</v>
          </cell>
          <cell r="H216" t="str">
            <v>Natasha Song</v>
          </cell>
          <cell r="I216" t="str">
            <v>High</v>
          </cell>
          <cell r="J216" t="str">
            <v>Economy Rollaway Files</v>
          </cell>
          <cell r="K216" t="str">
            <v>Office Supplies</v>
          </cell>
          <cell r="L216" t="str">
            <v>Small Box</v>
          </cell>
          <cell r="M216" t="str">
            <v>Express Air</v>
          </cell>
          <cell r="N216">
            <v>41500</v>
          </cell>
          <cell r="O216">
            <v>67.73</v>
          </cell>
          <cell r="P216">
            <v>165.2</v>
          </cell>
          <cell r="Q216">
            <v>37</v>
          </cell>
          <cell r="R216">
            <v>6112.4</v>
          </cell>
          <cell r="S216">
            <v>0.04</v>
          </cell>
          <cell r="T216">
            <v>244.49599999999998</v>
          </cell>
          <cell r="U216">
            <v>6112.36</v>
          </cell>
          <cell r="V216">
            <v>19.989999999999998</v>
          </cell>
          <cell r="W216">
            <v>6132.3499999999995</v>
          </cell>
        </row>
        <row r="217">
          <cell r="A217" t="str">
            <v>5212-1</v>
          </cell>
          <cell r="B217">
            <v>41500</v>
          </cell>
          <cell r="C217" t="str">
            <v>Justin Knight</v>
          </cell>
          <cell r="D217" t="str">
            <v>Macquarie Centre Cnr Herring Road &amp; Waterloo Road,Macquarie Park</v>
          </cell>
          <cell r="E217" t="str">
            <v>Sydney</v>
          </cell>
          <cell r="F217" t="str">
            <v>NSW</v>
          </cell>
          <cell r="G217" t="str">
            <v>Corporate</v>
          </cell>
          <cell r="H217" t="str">
            <v>Nicholas Fernandes</v>
          </cell>
          <cell r="I217" t="str">
            <v>Low</v>
          </cell>
          <cell r="J217" t="str">
            <v>Self-Adhesive Ring Binder Labels</v>
          </cell>
          <cell r="K217" t="str">
            <v>Office Supplies</v>
          </cell>
          <cell r="L217" t="str">
            <v>Small Box</v>
          </cell>
          <cell r="M217" t="str">
            <v>Regular Air</v>
          </cell>
          <cell r="N217">
            <v>41509</v>
          </cell>
          <cell r="O217">
            <v>2.1800000000000002</v>
          </cell>
          <cell r="P217">
            <v>3.52</v>
          </cell>
          <cell r="Q217">
            <v>12</v>
          </cell>
          <cell r="R217">
            <v>42.24</v>
          </cell>
          <cell r="S217">
            <v>0.04</v>
          </cell>
          <cell r="T217">
            <v>1.6896000000000002</v>
          </cell>
          <cell r="U217">
            <v>42.2</v>
          </cell>
          <cell r="V217">
            <v>6.83</v>
          </cell>
          <cell r="W217">
            <v>49.03</v>
          </cell>
        </row>
        <row r="218">
          <cell r="A218" t="str">
            <v>5213-1</v>
          </cell>
          <cell r="B218">
            <v>41501</v>
          </cell>
          <cell r="C218" t="str">
            <v>Aaron Bergman</v>
          </cell>
          <cell r="D218" t="str">
            <v>Westfield Sydney,Sydney</v>
          </cell>
          <cell r="E218" t="str">
            <v>Sydney</v>
          </cell>
          <cell r="F218" t="str">
            <v>NSW</v>
          </cell>
          <cell r="G218" t="str">
            <v>Corporate</v>
          </cell>
          <cell r="H218" t="str">
            <v>Natasha Song</v>
          </cell>
          <cell r="I218" t="str">
            <v>High</v>
          </cell>
          <cell r="J218" t="str">
            <v>Steady Liquid Accent Tank-Style Highlighters</v>
          </cell>
          <cell r="K218" t="str">
            <v>Office Supplies</v>
          </cell>
          <cell r="L218" t="str">
            <v>Wrap Bag</v>
          </cell>
          <cell r="M218" t="str">
            <v>Express Air</v>
          </cell>
          <cell r="N218">
            <v>41502</v>
          </cell>
          <cell r="O218">
            <v>1.31</v>
          </cell>
          <cell r="P218">
            <v>2.84</v>
          </cell>
          <cell r="Q218">
            <v>13</v>
          </cell>
          <cell r="R218">
            <v>36.92</v>
          </cell>
          <cell r="S218">
            <v>0.01</v>
          </cell>
          <cell r="T218">
            <v>0.36920000000000003</v>
          </cell>
          <cell r="U218">
            <v>36.910000000000004</v>
          </cell>
          <cell r="V218">
            <v>0.93</v>
          </cell>
          <cell r="W218">
            <v>37.840000000000003</v>
          </cell>
        </row>
        <row r="219">
          <cell r="A219" t="str">
            <v>5214-1</v>
          </cell>
          <cell r="B219">
            <v>41503</v>
          </cell>
          <cell r="C219" t="str">
            <v>Valerie Dominguez</v>
          </cell>
          <cell r="D219" t="str">
            <v>152 Bunnerong Road,Eastgardens</v>
          </cell>
          <cell r="E219" t="str">
            <v>Sydney</v>
          </cell>
          <cell r="F219" t="str">
            <v>NSW</v>
          </cell>
          <cell r="G219" t="str">
            <v>Corporate</v>
          </cell>
          <cell r="H219" t="str">
            <v>Tina Carlton</v>
          </cell>
          <cell r="I219" t="str">
            <v>Not Specified</v>
          </cell>
          <cell r="J219" t="str">
            <v>EcoTones Memo Sheets</v>
          </cell>
          <cell r="K219" t="str">
            <v>Office Supplies</v>
          </cell>
          <cell r="L219" t="str">
            <v>Wrap Bag</v>
          </cell>
          <cell r="M219" t="str">
            <v>Regular Air</v>
          </cell>
          <cell r="N219">
            <v>41503</v>
          </cell>
          <cell r="O219">
            <v>2.52</v>
          </cell>
          <cell r="P219">
            <v>4</v>
          </cell>
          <cell r="Q219">
            <v>41</v>
          </cell>
          <cell r="R219">
            <v>164</v>
          </cell>
          <cell r="S219">
            <v>0.02</v>
          </cell>
          <cell r="T219">
            <v>3.2800000000000002</v>
          </cell>
          <cell r="U219">
            <v>163.98</v>
          </cell>
          <cell r="V219">
            <v>1.3</v>
          </cell>
          <cell r="W219">
            <v>165.28</v>
          </cell>
        </row>
        <row r="220">
          <cell r="A220" t="str">
            <v>5215-1</v>
          </cell>
          <cell r="B220">
            <v>41506</v>
          </cell>
          <cell r="C220" t="str">
            <v>Jennifer Patt</v>
          </cell>
          <cell r="D220" t="str">
            <v>523 King St,Newtown</v>
          </cell>
          <cell r="E220" t="str">
            <v>Sydney</v>
          </cell>
          <cell r="F220" t="str">
            <v>NSW</v>
          </cell>
          <cell r="G220" t="str">
            <v>Home Office</v>
          </cell>
          <cell r="H220" t="str">
            <v>Aanya Zhang</v>
          </cell>
          <cell r="I220" t="str">
            <v>High</v>
          </cell>
          <cell r="J220" t="str">
            <v>3Max Polarizing Task Lamp with Clamp Arm, Light Gray</v>
          </cell>
          <cell r="K220" t="str">
            <v>Furniture</v>
          </cell>
          <cell r="L220" t="str">
            <v>Large Box</v>
          </cell>
          <cell r="M220" t="str">
            <v>Express Air</v>
          </cell>
          <cell r="N220">
            <v>41508</v>
          </cell>
          <cell r="O220">
            <v>56.16</v>
          </cell>
          <cell r="P220">
            <v>136.97999999999999</v>
          </cell>
          <cell r="Q220">
            <v>41</v>
          </cell>
          <cell r="R220">
            <v>5616.1799999999994</v>
          </cell>
          <cell r="S220">
            <v>0.04</v>
          </cell>
          <cell r="T220">
            <v>224.64719999999997</v>
          </cell>
          <cell r="U220">
            <v>5616.1399999999994</v>
          </cell>
          <cell r="V220">
            <v>24.49</v>
          </cell>
          <cell r="W220">
            <v>5640.6299999999992</v>
          </cell>
        </row>
        <row r="221">
          <cell r="A221" t="str">
            <v>5216-1</v>
          </cell>
          <cell r="B221">
            <v>41506</v>
          </cell>
          <cell r="C221" t="str">
            <v>Cynthia Arntzen</v>
          </cell>
          <cell r="D221" t="str">
            <v>Hoyts Entertainment Quarter 122 Lang Road,Moore Park</v>
          </cell>
          <cell r="E221" t="str">
            <v>Sydney</v>
          </cell>
          <cell r="F221" t="str">
            <v>NSW</v>
          </cell>
          <cell r="G221" t="str">
            <v>Small Business</v>
          </cell>
          <cell r="H221" t="str">
            <v>Tina Carlton</v>
          </cell>
          <cell r="I221" t="str">
            <v>Low</v>
          </cell>
          <cell r="J221" t="str">
            <v>Steady Liquid Accent Highlighters</v>
          </cell>
          <cell r="K221" t="str">
            <v>Office Supplies</v>
          </cell>
          <cell r="L221" t="str">
            <v>Wrap Bag</v>
          </cell>
          <cell r="M221" t="str">
            <v>Regular Air</v>
          </cell>
          <cell r="N221">
            <v>41508</v>
          </cell>
          <cell r="O221">
            <v>3.47</v>
          </cell>
          <cell r="P221">
            <v>6.68</v>
          </cell>
          <cell r="Q221">
            <v>5</v>
          </cell>
          <cell r="R221">
            <v>33.4</v>
          </cell>
          <cell r="S221">
            <v>0.09</v>
          </cell>
          <cell r="T221">
            <v>3.0059999999999998</v>
          </cell>
          <cell r="U221">
            <v>33.309999999999995</v>
          </cell>
          <cell r="V221">
            <v>1.5</v>
          </cell>
          <cell r="W221">
            <v>34.809999999999995</v>
          </cell>
        </row>
        <row r="222">
          <cell r="A222" t="str">
            <v>5218-1</v>
          </cell>
          <cell r="B222">
            <v>41508</v>
          </cell>
          <cell r="C222" t="str">
            <v>Bradley Drucker</v>
          </cell>
          <cell r="D222" t="str">
            <v>1 John St,Waterloo</v>
          </cell>
          <cell r="E222" t="str">
            <v>Sydney</v>
          </cell>
          <cell r="F222" t="str">
            <v>NSW</v>
          </cell>
          <cell r="G222" t="str">
            <v>Small Business</v>
          </cell>
          <cell r="H222" t="str">
            <v>Charlie Bui</v>
          </cell>
          <cell r="I222" t="str">
            <v>Low</v>
          </cell>
          <cell r="J222" t="str">
            <v>Economy Rollaway Files</v>
          </cell>
          <cell r="K222" t="str">
            <v>Office Supplies</v>
          </cell>
          <cell r="L222" t="str">
            <v>Small Box</v>
          </cell>
          <cell r="M222" t="str">
            <v>Regular Air</v>
          </cell>
          <cell r="N222">
            <v>41510</v>
          </cell>
          <cell r="O222">
            <v>67.73</v>
          </cell>
          <cell r="P222">
            <v>165.2</v>
          </cell>
          <cell r="Q222">
            <v>23</v>
          </cell>
          <cell r="R222">
            <v>3799.6</v>
          </cell>
          <cell r="S222">
            <v>7.0000000000000007E-2</v>
          </cell>
          <cell r="T222">
            <v>265.97200000000004</v>
          </cell>
          <cell r="U222">
            <v>3799.5299999999997</v>
          </cell>
          <cell r="V222">
            <v>19.989999999999998</v>
          </cell>
          <cell r="W222">
            <v>3819.5199999999995</v>
          </cell>
        </row>
        <row r="223">
          <cell r="A223" t="str">
            <v>5220-1</v>
          </cell>
          <cell r="B223">
            <v>41510</v>
          </cell>
          <cell r="C223" t="str">
            <v>Skye Norling</v>
          </cell>
          <cell r="D223" t="str">
            <v>48 Albion St,Surry Hills</v>
          </cell>
          <cell r="E223" t="str">
            <v>Sydney</v>
          </cell>
          <cell r="F223" t="str">
            <v>NSW</v>
          </cell>
          <cell r="G223" t="str">
            <v>Home Office</v>
          </cell>
          <cell r="H223" t="str">
            <v>Natasha Song</v>
          </cell>
          <cell r="I223" t="str">
            <v>Not Specified</v>
          </cell>
          <cell r="J223" t="str">
            <v>Apex Straight Scissors</v>
          </cell>
          <cell r="K223" t="str">
            <v>Office Supplies</v>
          </cell>
          <cell r="L223" t="str">
            <v>Small Pack</v>
          </cell>
          <cell r="M223" t="str">
            <v>Regular Air</v>
          </cell>
          <cell r="N223">
            <v>41513</v>
          </cell>
          <cell r="O223">
            <v>5.19</v>
          </cell>
          <cell r="P223">
            <v>12.98</v>
          </cell>
          <cell r="Q223">
            <v>45</v>
          </cell>
          <cell r="R223">
            <v>584.1</v>
          </cell>
          <cell r="S223">
            <v>0.02</v>
          </cell>
          <cell r="T223">
            <v>11.682</v>
          </cell>
          <cell r="U223">
            <v>584.08000000000004</v>
          </cell>
          <cell r="V223">
            <v>3.14</v>
          </cell>
          <cell r="W223">
            <v>587.22</v>
          </cell>
        </row>
        <row r="224">
          <cell r="A224" t="str">
            <v>5221-1</v>
          </cell>
          <cell r="B224">
            <v>41511</v>
          </cell>
          <cell r="C224" t="str">
            <v>Bruce Degenhardt</v>
          </cell>
          <cell r="D224" t="str">
            <v>501 George St,Sydney</v>
          </cell>
          <cell r="E224" t="str">
            <v>Sydney</v>
          </cell>
          <cell r="F224" t="str">
            <v>NSW</v>
          </cell>
          <cell r="G224" t="str">
            <v>Home Office</v>
          </cell>
          <cell r="H224" t="str">
            <v>Samantha Chairs</v>
          </cell>
          <cell r="I224" t="str">
            <v>Not Specified</v>
          </cell>
          <cell r="J224" t="str">
            <v>Smiths General Use 3-Ring Binders</v>
          </cell>
          <cell r="K224" t="str">
            <v>Office Supplies</v>
          </cell>
          <cell r="L224" t="str">
            <v>Small Box</v>
          </cell>
          <cell r="M224" t="str">
            <v>Regular Air</v>
          </cell>
          <cell r="N224">
            <v>41512</v>
          </cell>
          <cell r="O224">
            <v>1.18</v>
          </cell>
          <cell r="P224">
            <v>1.88</v>
          </cell>
          <cell r="Q224">
            <v>42</v>
          </cell>
          <cell r="R224">
            <v>78.959999999999994</v>
          </cell>
          <cell r="S224">
            <v>0</v>
          </cell>
          <cell r="T224">
            <v>0</v>
          </cell>
          <cell r="U224">
            <v>78.959999999999994</v>
          </cell>
          <cell r="V224">
            <v>1.49</v>
          </cell>
          <cell r="W224">
            <v>80.449999999999989</v>
          </cell>
        </row>
        <row r="225">
          <cell r="A225" t="str">
            <v>5222-1</v>
          </cell>
          <cell r="B225">
            <v>41511</v>
          </cell>
          <cell r="C225" t="str">
            <v>John Castell</v>
          </cell>
          <cell r="D225" t="str">
            <v>38/133-145 Castlereagh St,Sydney</v>
          </cell>
          <cell r="E225" t="str">
            <v>Sydney</v>
          </cell>
          <cell r="F225" t="str">
            <v>NSW</v>
          </cell>
          <cell r="G225" t="str">
            <v>Small Business</v>
          </cell>
          <cell r="H225" t="str">
            <v>Natasha Song</v>
          </cell>
          <cell r="I225" t="str">
            <v>Medium</v>
          </cell>
          <cell r="J225" t="str">
            <v>Smiths Standard Envelopes</v>
          </cell>
          <cell r="K225" t="str">
            <v>Office Supplies</v>
          </cell>
          <cell r="L225" t="str">
            <v>Small Box</v>
          </cell>
          <cell r="M225" t="str">
            <v>Regular Air</v>
          </cell>
          <cell r="N225">
            <v>41512</v>
          </cell>
          <cell r="O225">
            <v>3.52</v>
          </cell>
          <cell r="P225">
            <v>5.68</v>
          </cell>
          <cell r="Q225">
            <v>32</v>
          </cell>
          <cell r="R225">
            <v>181.76</v>
          </cell>
          <cell r="S225">
            <v>0.05</v>
          </cell>
          <cell r="T225">
            <v>9.0879999999999992</v>
          </cell>
          <cell r="U225">
            <v>181.70999999999998</v>
          </cell>
          <cell r="V225">
            <v>1.39</v>
          </cell>
          <cell r="W225">
            <v>183.09999999999997</v>
          </cell>
        </row>
        <row r="226">
          <cell r="A226" t="str">
            <v>5224-1</v>
          </cell>
          <cell r="B226">
            <v>41514</v>
          </cell>
          <cell r="C226" t="str">
            <v>Neil French</v>
          </cell>
          <cell r="D226" t="str">
            <v>523 King St,Newtown</v>
          </cell>
          <cell r="E226" t="str">
            <v>Sydney</v>
          </cell>
          <cell r="F226" t="str">
            <v>NSW</v>
          </cell>
          <cell r="G226" t="str">
            <v>Consumer</v>
          </cell>
          <cell r="H226" t="str">
            <v>Aanya Zhang</v>
          </cell>
          <cell r="I226" t="str">
            <v>Not Specified</v>
          </cell>
          <cell r="J226" t="str">
            <v>Artisan 481 Labels</v>
          </cell>
          <cell r="K226" t="str">
            <v>Office Supplies</v>
          </cell>
          <cell r="L226" t="str">
            <v>Small Box</v>
          </cell>
          <cell r="M226" t="str">
            <v>Regular Air</v>
          </cell>
          <cell r="N226">
            <v>41515</v>
          </cell>
          <cell r="O226">
            <v>1.94</v>
          </cell>
          <cell r="P226">
            <v>3.08</v>
          </cell>
          <cell r="Q226">
            <v>45</v>
          </cell>
          <cell r="R226">
            <v>138.6</v>
          </cell>
          <cell r="S226">
            <v>0.04</v>
          </cell>
          <cell r="T226">
            <v>5.5439999999999996</v>
          </cell>
          <cell r="U226">
            <v>138.56</v>
          </cell>
          <cell r="V226">
            <v>0.99</v>
          </cell>
          <cell r="W226">
            <v>139.55000000000001</v>
          </cell>
        </row>
        <row r="227">
          <cell r="A227" t="str">
            <v>5225-1</v>
          </cell>
          <cell r="B227">
            <v>41515</v>
          </cell>
          <cell r="C227" t="str">
            <v>John Castell</v>
          </cell>
          <cell r="D227" t="str">
            <v>38/133-145 Castlereagh St,Sydney</v>
          </cell>
          <cell r="E227" t="str">
            <v>Sydney</v>
          </cell>
          <cell r="F227" t="str">
            <v>NSW</v>
          </cell>
          <cell r="G227" t="str">
            <v>Consumer</v>
          </cell>
          <cell r="H227" t="str">
            <v>Natasha Song</v>
          </cell>
          <cell r="I227" t="str">
            <v>Not Specified</v>
          </cell>
          <cell r="J227" t="str">
            <v>Artisan Premier Heavy-Duty Binder with Round Locking Rings</v>
          </cell>
          <cell r="K227" t="str">
            <v>Office Supplies</v>
          </cell>
          <cell r="L227" t="str">
            <v>Small Box</v>
          </cell>
          <cell r="M227" t="str">
            <v>Regular Air</v>
          </cell>
          <cell r="N227">
            <v>41516</v>
          </cell>
          <cell r="O227">
            <v>8.7100000000000009</v>
          </cell>
          <cell r="P227">
            <v>14.28</v>
          </cell>
          <cell r="Q227">
            <v>8</v>
          </cell>
          <cell r="R227">
            <v>114.24</v>
          </cell>
          <cell r="S227">
            <v>0.01</v>
          </cell>
          <cell r="T227">
            <v>1.1424000000000001</v>
          </cell>
          <cell r="U227">
            <v>114.22999999999999</v>
          </cell>
          <cell r="V227">
            <v>2.99</v>
          </cell>
          <cell r="W227">
            <v>117.21999999999998</v>
          </cell>
        </row>
        <row r="228">
          <cell r="A228" t="str">
            <v>5226-1</v>
          </cell>
          <cell r="B228">
            <v>41515</v>
          </cell>
          <cell r="C228" t="str">
            <v>Nancy Lomonaco</v>
          </cell>
          <cell r="D228" t="str">
            <v>523 King St,Newtown</v>
          </cell>
          <cell r="E228" t="str">
            <v>Sydney</v>
          </cell>
          <cell r="F228" t="str">
            <v>NSW</v>
          </cell>
          <cell r="G228" t="str">
            <v>Home Office</v>
          </cell>
          <cell r="H228" t="str">
            <v>Aanya Zhang</v>
          </cell>
          <cell r="I228" t="str">
            <v>Low</v>
          </cell>
          <cell r="J228" t="str">
            <v>TechSavi Cordless Elite Duo</v>
          </cell>
          <cell r="K228" t="str">
            <v>Technology</v>
          </cell>
          <cell r="L228" t="str">
            <v>Small Box</v>
          </cell>
          <cell r="M228" t="str">
            <v>Regular Air</v>
          </cell>
          <cell r="N228">
            <v>41520</v>
          </cell>
          <cell r="O228">
            <v>60.59</v>
          </cell>
          <cell r="P228">
            <v>100.98</v>
          </cell>
          <cell r="Q228">
            <v>12</v>
          </cell>
          <cell r="R228">
            <v>1211.76</v>
          </cell>
          <cell r="S228">
            <v>0.04</v>
          </cell>
          <cell r="T228">
            <v>48.470399999999998</v>
          </cell>
          <cell r="U228">
            <v>1211.72</v>
          </cell>
          <cell r="V228">
            <v>7.18</v>
          </cell>
          <cell r="W228">
            <v>1218.9000000000001</v>
          </cell>
        </row>
        <row r="229">
          <cell r="A229" t="str">
            <v>5227-1</v>
          </cell>
          <cell r="B229">
            <v>41516</v>
          </cell>
          <cell r="C229" t="str">
            <v>Nancy Lomonaco</v>
          </cell>
          <cell r="D229" t="str">
            <v>523 King St,Newtown</v>
          </cell>
          <cell r="E229" t="str">
            <v>Sydney</v>
          </cell>
          <cell r="F229" t="str">
            <v>NSW</v>
          </cell>
          <cell r="G229" t="str">
            <v>Home Office</v>
          </cell>
          <cell r="H229" t="str">
            <v>Aanya Zhang</v>
          </cell>
          <cell r="I229" t="str">
            <v>Medium</v>
          </cell>
          <cell r="J229" t="str">
            <v>Artisan Binder Labels</v>
          </cell>
          <cell r="K229" t="str">
            <v>Office Supplies</v>
          </cell>
          <cell r="L229" t="str">
            <v>Small Box</v>
          </cell>
          <cell r="M229" t="str">
            <v>Express Air</v>
          </cell>
          <cell r="N229">
            <v>41518</v>
          </cell>
          <cell r="O229">
            <v>2.4500000000000002</v>
          </cell>
          <cell r="P229">
            <v>3.89</v>
          </cell>
          <cell r="Q229">
            <v>32</v>
          </cell>
          <cell r="R229">
            <v>124.48</v>
          </cell>
          <cell r="S229">
            <v>0.09</v>
          </cell>
          <cell r="T229">
            <v>11.203200000000001</v>
          </cell>
          <cell r="U229">
            <v>124.39</v>
          </cell>
          <cell r="V229">
            <v>7.01</v>
          </cell>
          <cell r="W229">
            <v>131.4</v>
          </cell>
        </row>
        <row r="230">
          <cell r="A230" t="str">
            <v>5229-1</v>
          </cell>
          <cell r="B230">
            <v>41518</v>
          </cell>
          <cell r="C230" t="str">
            <v>Carol Triggs</v>
          </cell>
          <cell r="D230" t="str">
            <v>644 George St,Sydney</v>
          </cell>
          <cell r="E230" t="str">
            <v>Sydney</v>
          </cell>
          <cell r="F230" t="str">
            <v>NSW</v>
          </cell>
          <cell r="G230" t="str">
            <v>Home Office</v>
          </cell>
          <cell r="H230" t="str">
            <v>Radhya Staples</v>
          </cell>
          <cell r="I230" t="str">
            <v>Critical</v>
          </cell>
          <cell r="J230" t="str">
            <v>Smiths General Use 3-Ring Binders</v>
          </cell>
          <cell r="K230" t="str">
            <v>Office Supplies</v>
          </cell>
          <cell r="L230" t="str">
            <v>Small Box</v>
          </cell>
          <cell r="M230" t="str">
            <v>Regular Air</v>
          </cell>
          <cell r="N230">
            <v>41519</v>
          </cell>
          <cell r="O230">
            <v>1.18</v>
          </cell>
          <cell r="P230">
            <v>1.88</v>
          </cell>
          <cell r="Q230">
            <v>43</v>
          </cell>
          <cell r="R230">
            <v>80.839999999999989</v>
          </cell>
          <cell r="S230">
            <v>0.03</v>
          </cell>
          <cell r="T230">
            <v>2.4251999999999998</v>
          </cell>
          <cell r="U230">
            <v>80.809999999999988</v>
          </cell>
          <cell r="V230">
            <v>1.49</v>
          </cell>
          <cell r="W230">
            <v>82.299999999999983</v>
          </cell>
        </row>
        <row r="231">
          <cell r="A231" t="str">
            <v>5231-1</v>
          </cell>
          <cell r="B231">
            <v>41519</v>
          </cell>
          <cell r="C231" t="str">
            <v>Andrew Allen</v>
          </cell>
          <cell r="D231" t="str">
            <v>797 Botany Rd,Rosebery</v>
          </cell>
          <cell r="E231" t="str">
            <v>Sydney</v>
          </cell>
          <cell r="F231" t="str">
            <v>NSW</v>
          </cell>
          <cell r="G231" t="str">
            <v>Corporate</v>
          </cell>
          <cell r="H231" t="str">
            <v>Phoebe Gour</v>
          </cell>
          <cell r="I231" t="str">
            <v>High</v>
          </cell>
          <cell r="J231" t="str">
            <v>Beekin 6 Outlet Metallic Surge Strip</v>
          </cell>
          <cell r="K231" t="str">
            <v>Office Supplies</v>
          </cell>
          <cell r="L231" t="str">
            <v>Small Box</v>
          </cell>
          <cell r="M231" t="str">
            <v>Regular Air</v>
          </cell>
          <cell r="N231">
            <v>41520</v>
          </cell>
          <cell r="O231">
            <v>4.46</v>
          </cell>
          <cell r="P231">
            <v>10.89</v>
          </cell>
          <cell r="Q231">
            <v>9</v>
          </cell>
          <cell r="R231">
            <v>98.01</v>
          </cell>
          <cell r="S231">
            <v>0.03</v>
          </cell>
          <cell r="T231">
            <v>2.9403000000000001</v>
          </cell>
          <cell r="U231">
            <v>97.98</v>
          </cell>
          <cell r="V231">
            <v>4.5</v>
          </cell>
          <cell r="W231">
            <v>102.48</v>
          </cell>
        </row>
        <row r="232">
          <cell r="A232" t="str">
            <v>5232-1</v>
          </cell>
          <cell r="B232">
            <v>41520</v>
          </cell>
          <cell r="C232" t="str">
            <v>Rob Haberlin</v>
          </cell>
          <cell r="D232" t="str">
            <v>8 Rankins Lane ,Melbourne</v>
          </cell>
          <cell r="E232" t="str">
            <v>Melbourne</v>
          </cell>
          <cell r="F232" t="str">
            <v>VIC</v>
          </cell>
          <cell r="G232" t="str">
            <v>Corporate</v>
          </cell>
          <cell r="H232" t="str">
            <v>Connor Betts</v>
          </cell>
          <cell r="I232" t="str">
            <v>Low</v>
          </cell>
          <cell r="J232" t="str">
            <v>Barrel Sharpener</v>
          </cell>
          <cell r="K232" t="str">
            <v>Office Supplies</v>
          </cell>
          <cell r="L232" t="str">
            <v>Small Pack</v>
          </cell>
          <cell r="M232" t="str">
            <v>Regular Air</v>
          </cell>
          <cell r="N232">
            <v>41522</v>
          </cell>
          <cell r="O232">
            <v>1.46</v>
          </cell>
          <cell r="P232">
            <v>3.57</v>
          </cell>
          <cell r="Q232">
            <v>26</v>
          </cell>
          <cell r="R232">
            <v>92.82</v>
          </cell>
          <cell r="S232">
            <v>0.04</v>
          </cell>
          <cell r="T232">
            <v>3.7127999999999997</v>
          </cell>
          <cell r="U232">
            <v>92.779999999999987</v>
          </cell>
          <cell r="V232">
            <v>4.17</v>
          </cell>
          <cell r="W232">
            <v>96.949999999999989</v>
          </cell>
        </row>
        <row r="233">
          <cell r="A233" t="str">
            <v>5234-1</v>
          </cell>
          <cell r="B233">
            <v>41521</v>
          </cell>
          <cell r="C233" t="str">
            <v>Darrin Martin</v>
          </cell>
          <cell r="D233" t="str">
            <v>221 Barkly St,St Kilda</v>
          </cell>
          <cell r="E233" t="str">
            <v>Melbourne</v>
          </cell>
          <cell r="F233" t="str">
            <v>VIC</v>
          </cell>
          <cell r="G233" t="str">
            <v>Small Business</v>
          </cell>
          <cell r="H233" t="str">
            <v>Yvette Biti</v>
          </cell>
          <cell r="I233" t="str">
            <v>Not Specified</v>
          </cell>
          <cell r="J233" t="str">
            <v>Alto Memo Cubes</v>
          </cell>
          <cell r="K233" t="str">
            <v>Office Supplies</v>
          </cell>
          <cell r="L233" t="str">
            <v>Wrap Bag</v>
          </cell>
          <cell r="M233" t="str">
            <v>Express Air</v>
          </cell>
          <cell r="N233">
            <v>41523</v>
          </cell>
          <cell r="O233">
            <v>3.32</v>
          </cell>
          <cell r="P233">
            <v>5.18</v>
          </cell>
          <cell r="Q233">
            <v>37</v>
          </cell>
          <cell r="R233">
            <v>191.66</v>
          </cell>
          <cell r="S233">
            <v>7.0000000000000007E-2</v>
          </cell>
          <cell r="T233">
            <v>13.416200000000002</v>
          </cell>
          <cell r="U233">
            <v>191.59</v>
          </cell>
          <cell r="V233">
            <v>2.04</v>
          </cell>
          <cell r="W233">
            <v>193.63</v>
          </cell>
        </row>
        <row r="234">
          <cell r="A234" t="str">
            <v>5235-1</v>
          </cell>
          <cell r="B234">
            <v>41521</v>
          </cell>
          <cell r="C234" t="str">
            <v>Max Ludwig</v>
          </cell>
          <cell r="D234" t="str">
            <v>6-8 O'Connell Street,Newtown</v>
          </cell>
          <cell r="E234" t="str">
            <v>Sydney</v>
          </cell>
          <cell r="F234" t="str">
            <v>NSW</v>
          </cell>
          <cell r="G234" t="str">
            <v>Corporate</v>
          </cell>
          <cell r="H234" t="str">
            <v>Nicholas Fernandes</v>
          </cell>
          <cell r="I234" t="str">
            <v>Low</v>
          </cell>
          <cell r="J234" t="str">
            <v>Artisan 48 Labels</v>
          </cell>
          <cell r="K234" t="str">
            <v>Office Supplies</v>
          </cell>
          <cell r="L234" t="str">
            <v>Small Box</v>
          </cell>
          <cell r="M234" t="str">
            <v>Regular Air</v>
          </cell>
          <cell r="N234">
            <v>41526</v>
          </cell>
          <cell r="O234">
            <v>3.84</v>
          </cell>
          <cell r="P234">
            <v>6.3</v>
          </cell>
          <cell r="Q234">
            <v>39</v>
          </cell>
          <cell r="R234">
            <v>245.7</v>
          </cell>
          <cell r="S234">
            <v>0.1</v>
          </cell>
          <cell r="T234">
            <v>24.57</v>
          </cell>
          <cell r="U234">
            <v>245.6</v>
          </cell>
          <cell r="V234">
            <v>0.5</v>
          </cell>
          <cell r="W234">
            <v>246.1</v>
          </cell>
        </row>
        <row r="235">
          <cell r="A235" t="str">
            <v>5236-1</v>
          </cell>
          <cell r="B235">
            <v>41526</v>
          </cell>
          <cell r="C235" t="str">
            <v>Liz Price</v>
          </cell>
          <cell r="D235" t="str">
            <v>Sydney Fish Market, Bank Street, Sydney</v>
          </cell>
          <cell r="E235" t="str">
            <v>Sydney</v>
          </cell>
          <cell r="F235" t="str">
            <v>NSW</v>
          </cell>
          <cell r="G235" t="str">
            <v>Corporate</v>
          </cell>
          <cell r="H235" t="str">
            <v>Phoebe Gour</v>
          </cell>
          <cell r="I235" t="str">
            <v>Not Specified</v>
          </cell>
          <cell r="J235" t="str">
            <v>Artisan 481 Labels</v>
          </cell>
          <cell r="K235" t="str">
            <v>Office Supplies</v>
          </cell>
          <cell r="L235" t="str">
            <v>Small Box</v>
          </cell>
          <cell r="M235" t="str">
            <v>Regular Air</v>
          </cell>
          <cell r="N235">
            <v>41527</v>
          </cell>
          <cell r="O235">
            <v>1.94</v>
          </cell>
          <cell r="P235">
            <v>3.08</v>
          </cell>
          <cell r="Q235">
            <v>24</v>
          </cell>
          <cell r="R235">
            <v>73.92</v>
          </cell>
          <cell r="S235">
            <v>0.04</v>
          </cell>
          <cell r="T235">
            <v>2.9568000000000003</v>
          </cell>
          <cell r="U235">
            <v>73.88</v>
          </cell>
          <cell r="V235">
            <v>0.99</v>
          </cell>
          <cell r="W235">
            <v>74.86999999999999</v>
          </cell>
        </row>
        <row r="236">
          <cell r="A236" t="str">
            <v>5238-1</v>
          </cell>
          <cell r="B236">
            <v>41527</v>
          </cell>
          <cell r="C236" t="str">
            <v>Grant Thornton</v>
          </cell>
          <cell r="D236" t="str">
            <v>98 Holdsworth Street,Woollahra</v>
          </cell>
          <cell r="E236" t="str">
            <v>Sydney</v>
          </cell>
          <cell r="F236" t="str">
            <v>NSW</v>
          </cell>
          <cell r="G236" t="str">
            <v>Corporate</v>
          </cell>
          <cell r="H236" t="str">
            <v>Natasha Song</v>
          </cell>
          <cell r="I236" t="str">
            <v>Not Specified</v>
          </cell>
          <cell r="J236" t="str">
            <v>Artisan Hi-Liter Fluorescent Desk Style Markers</v>
          </cell>
          <cell r="K236" t="str">
            <v>Office Supplies</v>
          </cell>
          <cell r="L236" t="str">
            <v>Wrap Bag</v>
          </cell>
          <cell r="M236" t="str">
            <v>Regular Air</v>
          </cell>
          <cell r="N236">
            <v>41529</v>
          </cell>
          <cell r="O236">
            <v>1.76</v>
          </cell>
          <cell r="P236">
            <v>3.38</v>
          </cell>
          <cell r="Q236">
            <v>27</v>
          </cell>
          <cell r="R236">
            <v>91.259999999999991</v>
          </cell>
          <cell r="S236">
            <v>0.08</v>
          </cell>
          <cell r="T236">
            <v>7.3007999999999997</v>
          </cell>
          <cell r="U236">
            <v>91.179999999999993</v>
          </cell>
          <cell r="V236">
            <v>0.85</v>
          </cell>
          <cell r="W236">
            <v>92.029999999999987</v>
          </cell>
        </row>
        <row r="237">
          <cell r="A237" t="str">
            <v>5239-1</v>
          </cell>
          <cell r="B237">
            <v>41529</v>
          </cell>
          <cell r="C237" t="str">
            <v>Victoria Brennan</v>
          </cell>
          <cell r="D237" t="str">
            <v>Westfield 1 Anderson St,Chatswood</v>
          </cell>
          <cell r="E237" t="str">
            <v>Sydney</v>
          </cell>
          <cell r="F237" t="str">
            <v>NSW</v>
          </cell>
          <cell r="G237" t="str">
            <v>Small Business</v>
          </cell>
          <cell r="H237" t="str">
            <v>Nicholas Fernandes</v>
          </cell>
          <cell r="I237" t="str">
            <v>Critical</v>
          </cell>
          <cell r="J237" t="str">
            <v>Beekin 6 Outlet Metallic Surge Strip</v>
          </cell>
          <cell r="K237" t="str">
            <v>Office Supplies</v>
          </cell>
          <cell r="L237" t="str">
            <v>Small Box</v>
          </cell>
          <cell r="M237" t="str">
            <v>Regular Air</v>
          </cell>
          <cell r="N237">
            <v>41531</v>
          </cell>
          <cell r="O237">
            <v>4.46</v>
          </cell>
          <cell r="P237">
            <v>10.89</v>
          </cell>
          <cell r="Q237">
            <v>37</v>
          </cell>
          <cell r="R237">
            <v>402.93</v>
          </cell>
          <cell r="S237">
            <v>0.1</v>
          </cell>
          <cell r="T237">
            <v>40.293000000000006</v>
          </cell>
          <cell r="U237">
            <v>402.83</v>
          </cell>
          <cell r="V237">
            <v>4.5</v>
          </cell>
          <cell r="W237">
            <v>407.33</v>
          </cell>
        </row>
        <row r="238">
          <cell r="A238" t="str">
            <v>5240-1</v>
          </cell>
          <cell r="B238">
            <v>41529</v>
          </cell>
          <cell r="C238" t="str">
            <v>Sarah Brown</v>
          </cell>
          <cell r="D238" t="str">
            <v>10 O'Connell St,Sydney</v>
          </cell>
          <cell r="E238" t="str">
            <v>Sydney</v>
          </cell>
          <cell r="F238" t="str">
            <v>NSW</v>
          </cell>
          <cell r="G238" t="str">
            <v>Consumer</v>
          </cell>
          <cell r="H238" t="str">
            <v>Aanya Zhang</v>
          </cell>
          <cell r="I238" t="str">
            <v>Not Specified</v>
          </cell>
          <cell r="J238" t="str">
            <v>Security-Tint Envelopes</v>
          </cell>
          <cell r="K238" t="str">
            <v>Office Supplies</v>
          </cell>
          <cell r="L238" t="str">
            <v>Small Box</v>
          </cell>
          <cell r="M238" t="str">
            <v>Regular Air</v>
          </cell>
          <cell r="N238">
            <v>41532</v>
          </cell>
          <cell r="O238">
            <v>4.8899999999999997</v>
          </cell>
          <cell r="P238">
            <v>7.64</v>
          </cell>
          <cell r="Q238">
            <v>44</v>
          </cell>
          <cell r="R238">
            <v>336.15999999999997</v>
          </cell>
          <cell r="S238">
            <v>0.01</v>
          </cell>
          <cell r="T238">
            <v>3.3615999999999997</v>
          </cell>
          <cell r="U238">
            <v>336.15</v>
          </cell>
          <cell r="V238">
            <v>1.39</v>
          </cell>
          <cell r="W238">
            <v>337.53999999999996</v>
          </cell>
        </row>
        <row r="239">
          <cell r="A239" t="str">
            <v>5241-1</v>
          </cell>
          <cell r="B239">
            <v>41529</v>
          </cell>
          <cell r="C239" t="str">
            <v>Michael Granlund</v>
          </cell>
          <cell r="D239" t="str">
            <v>359 Crown Street,Surry Hills</v>
          </cell>
          <cell r="E239" t="str">
            <v>Sydney</v>
          </cell>
          <cell r="F239" t="str">
            <v>NSW</v>
          </cell>
          <cell r="G239" t="str">
            <v>Corporate</v>
          </cell>
          <cell r="H239" t="str">
            <v>Phoebe Gour</v>
          </cell>
          <cell r="I239" t="str">
            <v>Medium</v>
          </cell>
          <cell r="J239" t="str">
            <v>TechSavi Cordless Navigator Duo</v>
          </cell>
          <cell r="K239" t="str">
            <v>Technology</v>
          </cell>
          <cell r="L239" t="str">
            <v>Small Box</v>
          </cell>
          <cell r="M239" t="str">
            <v>Regular Air</v>
          </cell>
          <cell r="N239">
            <v>41531</v>
          </cell>
          <cell r="O239">
            <v>42.11</v>
          </cell>
          <cell r="P239">
            <v>80.98</v>
          </cell>
          <cell r="Q239">
            <v>34</v>
          </cell>
          <cell r="R239">
            <v>2753.32</v>
          </cell>
          <cell r="S239">
            <v>7.0000000000000007E-2</v>
          </cell>
          <cell r="T239">
            <v>192.73240000000004</v>
          </cell>
          <cell r="U239">
            <v>2753.25</v>
          </cell>
          <cell r="V239">
            <v>7.18</v>
          </cell>
          <cell r="W239">
            <v>2760.43</v>
          </cell>
        </row>
        <row r="240">
          <cell r="A240" t="str">
            <v>5242-1</v>
          </cell>
          <cell r="B240">
            <v>41531</v>
          </cell>
          <cell r="C240" t="str">
            <v>Jasper Cacioppo</v>
          </cell>
          <cell r="D240" t="str">
            <v>24 Addison Rd,Marrickville</v>
          </cell>
          <cell r="E240" t="str">
            <v>Sydney</v>
          </cell>
          <cell r="F240" t="str">
            <v>NSW</v>
          </cell>
          <cell r="G240" t="str">
            <v>Home Office</v>
          </cell>
          <cell r="H240" t="str">
            <v>Radhya Staples</v>
          </cell>
          <cell r="I240" t="str">
            <v>Low</v>
          </cell>
          <cell r="J240" t="str">
            <v>Apex Preferred Stainless Steel Scissors</v>
          </cell>
          <cell r="K240" t="str">
            <v>Office Supplies</v>
          </cell>
          <cell r="L240" t="str">
            <v>Small Pack</v>
          </cell>
          <cell r="M240" t="str">
            <v>Express Air</v>
          </cell>
          <cell r="N240">
            <v>41535</v>
          </cell>
          <cell r="O240">
            <v>2.5</v>
          </cell>
          <cell r="P240">
            <v>5.68</v>
          </cell>
          <cell r="Q240">
            <v>46</v>
          </cell>
          <cell r="R240">
            <v>261.27999999999997</v>
          </cell>
          <cell r="S240">
            <v>0.1</v>
          </cell>
          <cell r="T240">
            <v>26.128</v>
          </cell>
          <cell r="U240">
            <v>261.17999999999995</v>
          </cell>
          <cell r="V240">
            <v>3.6</v>
          </cell>
          <cell r="W240">
            <v>264.77999999999997</v>
          </cell>
        </row>
        <row r="241">
          <cell r="A241" t="str">
            <v>5244-1</v>
          </cell>
          <cell r="B241">
            <v>41534</v>
          </cell>
          <cell r="C241" t="str">
            <v>Marina Lichtenstein</v>
          </cell>
          <cell r="D241" t="str">
            <v>188 Pitt Street,Sydney</v>
          </cell>
          <cell r="E241" t="str">
            <v>Sydney</v>
          </cell>
          <cell r="F241" t="str">
            <v>NSW</v>
          </cell>
          <cell r="G241" t="str">
            <v>Corporate</v>
          </cell>
          <cell r="H241" t="str">
            <v>Tina Carlton</v>
          </cell>
          <cell r="I241" t="str">
            <v>High</v>
          </cell>
          <cell r="J241" t="str">
            <v>Binder Posts</v>
          </cell>
          <cell r="K241" t="str">
            <v>Office Supplies</v>
          </cell>
          <cell r="L241" t="str">
            <v>Small Box</v>
          </cell>
          <cell r="M241" t="str">
            <v>Regular Air</v>
          </cell>
          <cell r="N241">
            <v>41536</v>
          </cell>
          <cell r="O241">
            <v>3.5</v>
          </cell>
          <cell r="P241">
            <v>5.74</v>
          </cell>
          <cell r="Q241">
            <v>3</v>
          </cell>
          <cell r="R241">
            <v>17.22</v>
          </cell>
          <cell r="S241">
            <v>0.08</v>
          </cell>
          <cell r="T241">
            <v>1.3775999999999999</v>
          </cell>
          <cell r="U241">
            <v>17.14</v>
          </cell>
          <cell r="V241">
            <v>5.01</v>
          </cell>
          <cell r="W241">
            <v>22.15</v>
          </cell>
        </row>
        <row r="242">
          <cell r="A242" t="str">
            <v>5246-1</v>
          </cell>
          <cell r="B242">
            <v>41535</v>
          </cell>
          <cell r="C242" t="str">
            <v>Fred Wasserman</v>
          </cell>
          <cell r="D242" t="str">
            <v>61 York St,Sydney</v>
          </cell>
          <cell r="E242" t="str">
            <v>Sydney</v>
          </cell>
          <cell r="F242" t="str">
            <v>NSW</v>
          </cell>
          <cell r="G242" t="str">
            <v>Home Office</v>
          </cell>
          <cell r="H242" t="str">
            <v>Leighton Forrest</v>
          </cell>
          <cell r="I242" t="str">
            <v>Low</v>
          </cell>
          <cell r="J242" t="str">
            <v>Artisan Flip-Chart Easel Binder, Black</v>
          </cell>
          <cell r="K242" t="str">
            <v>Office Supplies</v>
          </cell>
          <cell r="L242" t="str">
            <v>Small Box</v>
          </cell>
          <cell r="M242" t="str">
            <v>Express Air</v>
          </cell>
          <cell r="N242">
            <v>41542</v>
          </cell>
          <cell r="O242">
            <v>13.88</v>
          </cell>
          <cell r="P242">
            <v>22.38</v>
          </cell>
          <cell r="Q242">
            <v>16</v>
          </cell>
          <cell r="R242">
            <v>358.08</v>
          </cell>
          <cell r="S242">
            <v>0</v>
          </cell>
          <cell r="T242">
            <v>0</v>
          </cell>
          <cell r="U242">
            <v>358.08</v>
          </cell>
          <cell r="V242">
            <v>15.1</v>
          </cell>
          <cell r="W242">
            <v>373.18</v>
          </cell>
        </row>
        <row r="243">
          <cell r="A243" t="str">
            <v>5247-1</v>
          </cell>
          <cell r="B243">
            <v>41537</v>
          </cell>
          <cell r="C243" t="str">
            <v>Ann Chong</v>
          </cell>
          <cell r="D243" t="str">
            <v>7 Khartoum Rd,Macquarie Park</v>
          </cell>
          <cell r="E243" t="str">
            <v>Sydney</v>
          </cell>
          <cell r="F243" t="str">
            <v>NSW</v>
          </cell>
          <cell r="G243" t="str">
            <v>Corporate</v>
          </cell>
          <cell r="H243" t="str">
            <v>Preston Senome</v>
          </cell>
          <cell r="I243" t="str">
            <v>High</v>
          </cell>
          <cell r="J243" t="str">
            <v>Artisan Arch Ring Binders</v>
          </cell>
          <cell r="K243" t="str">
            <v>Office Supplies</v>
          </cell>
          <cell r="L243" t="str">
            <v>Small Box</v>
          </cell>
          <cell r="M243" t="str">
            <v>Regular Air</v>
          </cell>
          <cell r="N243">
            <v>41538</v>
          </cell>
          <cell r="O243">
            <v>36.020000000000003</v>
          </cell>
          <cell r="P243">
            <v>58.1</v>
          </cell>
          <cell r="Q243">
            <v>7</v>
          </cell>
          <cell r="R243">
            <v>406.7</v>
          </cell>
          <cell r="S243">
            <v>0.1</v>
          </cell>
          <cell r="T243">
            <v>40.67</v>
          </cell>
          <cell r="U243">
            <v>406.59999999999997</v>
          </cell>
          <cell r="V243">
            <v>1.49</v>
          </cell>
          <cell r="W243">
            <v>408.09</v>
          </cell>
        </row>
        <row r="244">
          <cell r="A244" t="str">
            <v>5248-1</v>
          </cell>
          <cell r="B244">
            <v>41539</v>
          </cell>
          <cell r="C244" t="str">
            <v>Mick Crebagga</v>
          </cell>
          <cell r="D244" t="str">
            <v>53-55 Liverpool St,Sydney</v>
          </cell>
          <cell r="E244" t="str">
            <v>Sydney</v>
          </cell>
          <cell r="F244" t="str">
            <v>NSW</v>
          </cell>
          <cell r="G244" t="str">
            <v>Home Office</v>
          </cell>
          <cell r="H244" t="str">
            <v>Tina Carlton</v>
          </cell>
          <cell r="I244" t="str">
            <v>Critical</v>
          </cell>
          <cell r="J244" t="str">
            <v>Office Shears by Apex</v>
          </cell>
          <cell r="K244" t="str">
            <v>Office Supplies</v>
          </cell>
          <cell r="L244" t="str">
            <v>Small Pack</v>
          </cell>
          <cell r="M244" t="str">
            <v>Regular Air</v>
          </cell>
          <cell r="N244">
            <v>41541</v>
          </cell>
          <cell r="O244">
            <v>0.94</v>
          </cell>
          <cell r="P244">
            <v>2.08</v>
          </cell>
          <cell r="Q244">
            <v>43</v>
          </cell>
          <cell r="R244">
            <v>89.44</v>
          </cell>
          <cell r="S244">
            <v>0.05</v>
          </cell>
          <cell r="T244">
            <v>4.4720000000000004</v>
          </cell>
          <cell r="U244">
            <v>89.39</v>
          </cell>
          <cell r="V244">
            <v>2.56</v>
          </cell>
          <cell r="W244">
            <v>91.95</v>
          </cell>
        </row>
        <row r="245">
          <cell r="A245" t="str">
            <v>5250-1</v>
          </cell>
          <cell r="B245">
            <v>41540</v>
          </cell>
          <cell r="C245" t="str">
            <v>Chloris Kastensmidt</v>
          </cell>
          <cell r="D245" t="str">
            <v>7/370-374 Victoria Ave,Chatswood</v>
          </cell>
          <cell r="E245" t="str">
            <v>Sydney</v>
          </cell>
          <cell r="F245" t="str">
            <v>NSW</v>
          </cell>
          <cell r="G245" t="str">
            <v>Consumer</v>
          </cell>
          <cell r="H245" t="str">
            <v>Stevie Bacata</v>
          </cell>
          <cell r="I245" t="str">
            <v>Low</v>
          </cell>
          <cell r="J245" t="str">
            <v>210 Trimline Phone, White</v>
          </cell>
          <cell r="K245" t="str">
            <v>Technology</v>
          </cell>
          <cell r="L245" t="str">
            <v>Medium Box</v>
          </cell>
          <cell r="M245" t="str">
            <v>Regular Air</v>
          </cell>
          <cell r="N245">
            <v>41547</v>
          </cell>
          <cell r="O245">
            <v>9.91</v>
          </cell>
          <cell r="P245">
            <v>15.99</v>
          </cell>
          <cell r="Q245">
            <v>27</v>
          </cell>
          <cell r="R245">
            <v>431.73</v>
          </cell>
          <cell r="S245">
            <v>0.01</v>
          </cell>
          <cell r="T245">
            <v>4.3173000000000004</v>
          </cell>
          <cell r="U245">
            <v>431.72</v>
          </cell>
          <cell r="V245">
            <v>11.28</v>
          </cell>
          <cell r="W245">
            <v>443</v>
          </cell>
        </row>
        <row r="246">
          <cell r="A246" t="str">
            <v>5251-1</v>
          </cell>
          <cell r="B246">
            <v>41543</v>
          </cell>
          <cell r="C246" t="str">
            <v>Aleksandra Gannaway</v>
          </cell>
          <cell r="D246" t="str">
            <v>Hoyts Entertainment Quarter 122 Lang Road,Moore Park</v>
          </cell>
          <cell r="E246" t="str">
            <v>Sydney</v>
          </cell>
          <cell r="F246" t="str">
            <v>NSW</v>
          </cell>
          <cell r="G246" t="str">
            <v>Home Office</v>
          </cell>
          <cell r="H246" t="str">
            <v>Tina Carlton</v>
          </cell>
          <cell r="I246" t="str">
            <v>Medium</v>
          </cell>
          <cell r="J246" t="str">
            <v>Alto Memo Cubes</v>
          </cell>
          <cell r="K246" t="str">
            <v>Office Supplies</v>
          </cell>
          <cell r="L246" t="str">
            <v>Wrap Bag</v>
          </cell>
          <cell r="M246" t="str">
            <v>Regular Air</v>
          </cell>
          <cell r="N246">
            <v>41545</v>
          </cell>
          <cell r="O246">
            <v>3.32</v>
          </cell>
          <cell r="P246">
            <v>5.18</v>
          </cell>
          <cell r="Q246">
            <v>23</v>
          </cell>
          <cell r="R246">
            <v>119.13999999999999</v>
          </cell>
          <cell r="S246">
            <v>0.05</v>
          </cell>
          <cell r="T246">
            <v>5.9569999999999999</v>
          </cell>
          <cell r="U246">
            <v>119.08999999999999</v>
          </cell>
          <cell r="V246">
            <v>2.04</v>
          </cell>
          <cell r="W246">
            <v>121.13</v>
          </cell>
        </row>
        <row r="247">
          <cell r="A247" t="str">
            <v>5253-1</v>
          </cell>
          <cell r="B247">
            <v>41543</v>
          </cell>
          <cell r="C247" t="str">
            <v>Maribeth Dona</v>
          </cell>
          <cell r="D247" t="str">
            <v>8 Rankins Lane ,Melbourne</v>
          </cell>
          <cell r="E247" t="str">
            <v>Melbourne</v>
          </cell>
          <cell r="F247" t="str">
            <v>VIC</v>
          </cell>
          <cell r="G247" t="str">
            <v>Home Office</v>
          </cell>
          <cell r="H247" t="str">
            <v>Connor Betts</v>
          </cell>
          <cell r="I247" t="str">
            <v>High</v>
          </cell>
          <cell r="J247" t="str">
            <v>Multi-Use Personal File Cart and Caster Set, Three Stacking Bins</v>
          </cell>
          <cell r="K247" t="str">
            <v>Office Supplies</v>
          </cell>
          <cell r="L247" t="str">
            <v>Small Box</v>
          </cell>
          <cell r="M247" t="str">
            <v>Regular Air</v>
          </cell>
          <cell r="N247">
            <v>41545</v>
          </cell>
          <cell r="O247">
            <v>14.95</v>
          </cell>
          <cell r="P247">
            <v>34.76</v>
          </cell>
          <cell r="Q247">
            <v>15</v>
          </cell>
          <cell r="R247">
            <v>521.4</v>
          </cell>
          <cell r="S247">
            <v>0.09</v>
          </cell>
          <cell r="T247">
            <v>46.925999999999995</v>
          </cell>
          <cell r="U247">
            <v>521.30999999999995</v>
          </cell>
          <cell r="V247">
            <v>8.2200000000000006</v>
          </cell>
          <cell r="W247">
            <v>529.53</v>
          </cell>
        </row>
        <row r="248">
          <cell r="A248" t="str">
            <v>5254-1</v>
          </cell>
          <cell r="B248">
            <v>41544</v>
          </cell>
          <cell r="C248" t="str">
            <v>Michael Grace</v>
          </cell>
          <cell r="D248" t="str">
            <v>402 Argyle St,Moss Vale</v>
          </cell>
          <cell r="E248" t="str">
            <v>Sydney</v>
          </cell>
          <cell r="F248" t="str">
            <v>NSW</v>
          </cell>
          <cell r="G248" t="str">
            <v>Corporate</v>
          </cell>
          <cell r="H248" t="str">
            <v>Natasha Song</v>
          </cell>
          <cell r="I248" t="str">
            <v>Low</v>
          </cell>
          <cell r="J248" t="str">
            <v>Desktop 3-Pocket Hot File</v>
          </cell>
          <cell r="K248" t="str">
            <v>Office Supplies</v>
          </cell>
          <cell r="L248" t="str">
            <v>Small Box</v>
          </cell>
          <cell r="M248" t="str">
            <v>Regular Air</v>
          </cell>
          <cell r="N248">
            <v>41549</v>
          </cell>
          <cell r="O248">
            <v>22.18</v>
          </cell>
          <cell r="P248">
            <v>54.1</v>
          </cell>
          <cell r="Q248">
            <v>19</v>
          </cell>
          <cell r="R248">
            <v>1027.9000000000001</v>
          </cell>
          <cell r="S248">
            <v>0.1</v>
          </cell>
          <cell r="T248">
            <v>102.79000000000002</v>
          </cell>
          <cell r="U248">
            <v>1027.8000000000002</v>
          </cell>
          <cell r="V248">
            <v>19.989999999999998</v>
          </cell>
          <cell r="W248">
            <v>1047.7900000000002</v>
          </cell>
        </row>
        <row r="249">
          <cell r="A249" t="str">
            <v>5256-1</v>
          </cell>
          <cell r="B249">
            <v>41547</v>
          </cell>
          <cell r="C249" t="str">
            <v>Cynthia Delaney</v>
          </cell>
          <cell r="D249" t="str">
            <v>1/160 Anzac Parade,Kensington</v>
          </cell>
          <cell r="E249" t="str">
            <v>Sydney</v>
          </cell>
          <cell r="F249" t="str">
            <v>NSW</v>
          </cell>
          <cell r="G249" t="str">
            <v>Corporate</v>
          </cell>
          <cell r="H249" t="str">
            <v>Natasha Song</v>
          </cell>
          <cell r="I249" t="str">
            <v>Not Specified</v>
          </cell>
          <cell r="J249" t="str">
            <v>Alto Memo Cubes</v>
          </cell>
          <cell r="K249" t="str">
            <v>Office Supplies</v>
          </cell>
          <cell r="L249" t="str">
            <v>Wrap Bag</v>
          </cell>
          <cell r="M249" t="str">
            <v>Regular Air</v>
          </cell>
          <cell r="N249">
            <v>41549</v>
          </cell>
          <cell r="O249">
            <v>3.32</v>
          </cell>
          <cell r="P249">
            <v>5.18</v>
          </cell>
          <cell r="Q249">
            <v>10</v>
          </cell>
          <cell r="R249">
            <v>51.8</v>
          </cell>
          <cell r="S249">
            <v>0.01</v>
          </cell>
          <cell r="T249">
            <v>0.51800000000000002</v>
          </cell>
          <cell r="U249">
            <v>51.79</v>
          </cell>
          <cell r="V249">
            <v>2.04</v>
          </cell>
          <cell r="W249">
            <v>53.83</v>
          </cell>
        </row>
        <row r="250">
          <cell r="A250" t="str">
            <v>5257-1</v>
          </cell>
          <cell r="B250">
            <v>41548</v>
          </cell>
          <cell r="C250" t="str">
            <v>John Dryer</v>
          </cell>
          <cell r="D250" t="str">
            <v>8 Rankins Lane ,Melbourne</v>
          </cell>
          <cell r="E250" t="str">
            <v>Melbourne</v>
          </cell>
          <cell r="F250" t="str">
            <v>VIC</v>
          </cell>
          <cell r="G250" t="str">
            <v>Corporate</v>
          </cell>
          <cell r="H250" t="str">
            <v>Connor Betts</v>
          </cell>
          <cell r="I250" t="str">
            <v>Medium</v>
          </cell>
          <cell r="J250" t="str">
            <v>Laser DVD-RAM discs</v>
          </cell>
          <cell r="K250" t="str">
            <v>Technology</v>
          </cell>
          <cell r="L250" t="str">
            <v>Small Pack</v>
          </cell>
          <cell r="M250" t="str">
            <v>Express Air</v>
          </cell>
          <cell r="N250">
            <v>41549</v>
          </cell>
          <cell r="O250">
            <v>20.18</v>
          </cell>
          <cell r="P250">
            <v>35.409999999999997</v>
          </cell>
          <cell r="Q250">
            <v>16</v>
          </cell>
          <cell r="R250">
            <v>566.55999999999995</v>
          </cell>
          <cell r="S250">
            <v>0</v>
          </cell>
          <cell r="T250">
            <v>0</v>
          </cell>
          <cell r="U250">
            <v>566.55999999999995</v>
          </cell>
          <cell r="V250">
            <v>1.99</v>
          </cell>
          <cell r="W250">
            <v>568.54999999999995</v>
          </cell>
        </row>
        <row r="251">
          <cell r="A251" t="str">
            <v>5259-1</v>
          </cell>
          <cell r="B251">
            <v>41550</v>
          </cell>
          <cell r="C251" t="str">
            <v>Eric Barreto</v>
          </cell>
          <cell r="D251" t="str">
            <v>359 Crown Street,Surry Hills</v>
          </cell>
          <cell r="E251" t="str">
            <v>Sydney</v>
          </cell>
          <cell r="F251" t="str">
            <v>NSW</v>
          </cell>
          <cell r="G251" t="str">
            <v>Consumer</v>
          </cell>
          <cell r="H251" t="str">
            <v>Phoebe Gour</v>
          </cell>
          <cell r="I251" t="str">
            <v>High</v>
          </cell>
          <cell r="J251" t="str">
            <v>DrawIt Colored Pencils, 48-Color Set</v>
          </cell>
          <cell r="K251" t="str">
            <v>Office Supplies</v>
          </cell>
          <cell r="L251" t="str">
            <v>Wrap Bag</v>
          </cell>
          <cell r="M251" t="str">
            <v>Express Air</v>
          </cell>
          <cell r="N251">
            <v>41551</v>
          </cell>
          <cell r="O251">
            <v>21.56</v>
          </cell>
          <cell r="P251">
            <v>36.549999999999997</v>
          </cell>
          <cell r="Q251">
            <v>46</v>
          </cell>
          <cell r="R251">
            <v>1681.3</v>
          </cell>
          <cell r="S251">
            <v>0.05</v>
          </cell>
          <cell r="T251">
            <v>84.064999999999998</v>
          </cell>
          <cell r="U251">
            <v>1681.25</v>
          </cell>
          <cell r="V251">
            <v>13.89</v>
          </cell>
          <cell r="W251">
            <v>1695.14</v>
          </cell>
        </row>
        <row r="252">
          <cell r="A252" t="str">
            <v>5260-1</v>
          </cell>
          <cell r="B252">
            <v>41551</v>
          </cell>
          <cell r="C252" t="str">
            <v>Carlos Daly</v>
          </cell>
          <cell r="D252" t="str">
            <v>5/63-71 Enmore Rd,Newtown</v>
          </cell>
          <cell r="E252" t="str">
            <v>Sydney</v>
          </cell>
          <cell r="F252" t="str">
            <v>NSW</v>
          </cell>
          <cell r="G252" t="str">
            <v>Corporate</v>
          </cell>
          <cell r="H252" t="str">
            <v>Charlie Bui</v>
          </cell>
          <cell r="I252" t="str">
            <v>High</v>
          </cell>
          <cell r="J252" t="str">
            <v>Deluxe Rollaway Locking File with Drawer</v>
          </cell>
          <cell r="K252" t="str">
            <v>Office Supplies</v>
          </cell>
          <cell r="L252" t="str">
            <v>Small Box</v>
          </cell>
          <cell r="M252" t="str">
            <v>Regular Air</v>
          </cell>
          <cell r="N252">
            <v>41552</v>
          </cell>
          <cell r="O252">
            <v>178.83</v>
          </cell>
          <cell r="P252">
            <v>415.88</v>
          </cell>
          <cell r="Q252">
            <v>2</v>
          </cell>
          <cell r="R252">
            <v>831.76</v>
          </cell>
          <cell r="S252">
            <v>0.08</v>
          </cell>
          <cell r="T252">
            <v>66.540800000000004</v>
          </cell>
          <cell r="U252">
            <v>831.68</v>
          </cell>
          <cell r="V252">
            <v>11.37</v>
          </cell>
          <cell r="W252">
            <v>843.05</v>
          </cell>
        </row>
        <row r="253">
          <cell r="A253" t="str">
            <v>5261-1</v>
          </cell>
          <cell r="B253">
            <v>41552</v>
          </cell>
          <cell r="C253" t="str">
            <v>Joni Wasserman</v>
          </cell>
          <cell r="D253" t="str">
            <v>Westfield Sydney,Sydney</v>
          </cell>
          <cell r="E253" t="str">
            <v>Sydney</v>
          </cell>
          <cell r="F253" t="str">
            <v>NSW</v>
          </cell>
          <cell r="G253" t="str">
            <v>Consumer</v>
          </cell>
          <cell r="H253" t="str">
            <v>Natasha Song</v>
          </cell>
          <cell r="I253" t="str">
            <v>Low</v>
          </cell>
          <cell r="J253" t="str">
            <v>600 Series Flip</v>
          </cell>
          <cell r="K253" t="str">
            <v>Technology</v>
          </cell>
          <cell r="L253" t="str">
            <v>Small Box</v>
          </cell>
          <cell r="M253" t="str">
            <v>Regular Air</v>
          </cell>
          <cell r="N253">
            <v>41559</v>
          </cell>
          <cell r="O253">
            <v>41.28</v>
          </cell>
          <cell r="P253">
            <v>95.99</v>
          </cell>
          <cell r="Q253">
            <v>17</v>
          </cell>
          <cell r="R253">
            <v>1631.83</v>
          </cell>
          <cell r="S253">
            <v>0.09</v>
          </cell>
          <cell r="T253">
            <v>146.8647</v>
          </cell>
          <cell r="U253">
            <v>1631.74</v>
          </cell>
          <cell r="V253">
            <v>8.99</v>
          </cell>
          <cell r="W253">
            <v>1640.73</v>
          </cell>
        </row>
        <row r="254">
          <cell r="A254" t="str">
            <v>5263-1</v>
          </cell>
          <cell r="B254">
            <v>41552</v>
          </cell>
          <cell r="C254" t="str">
            <v>Neil Knudson</v>
          </cell>
          <cell r="D254" t="str">
            <v>4A Lyons St,Strathfield</v>
          </cell>
          <cell r="E254" t="str">
            <v>Sydney</v>
          </cell>
          <cell r="F254" t="str">
            <v>NSW</v>
          </cell>
          <cell r="G254" t="str">
            <v>Corporate</v>
          </cell>
          <cell r="H254" t="str">
            <v>Tina Carlton</v>
          </cell>
          <cell r="I254" t="str">
            <v>Medium</v>
          </cell>
          <cell r="J254" t="str">
            <v>Economy Binders</v>
          </cell>
          <cell r="K254" t="str">
            <v>Office Supplies</v>
          </cell>
          <cell r="L254" t="str">
            <v>Small Box</v>
          </cell>
          <cell r="M254" t="str">
            <v>Regular Air</v>
          </cell>
          <cell r="N254">
            <v>41554</v>
          </cell>
          <cell r="O254">
            <v>1.33</v>
          </cell>
          <cell r="P254">
            <v>2.08</v>
          </cell>
          <cell r="Q254">
            <v>16</v>
          </cell>
          <cell r="R254">
            <v>33.28</v>
          </cell>
          <cell r="S254">
            <v>0.04</v>
          </cell>
          <cell r="T254">
            <v>1.3312000000000002</v>
          </cell>
          <cell r="U254">
            <v>33.24</v>
          </cell>
          <cell r="V254">
            <v>1.49</v>
          </cell>
          <cell r="W254">
            <v>34.730000000000004</v>
          </cell>
        </row>
        <row r="255">
          <cell r="A255" t="str">
            <v>5265-1</v>
          </cell>
          <cell r="B255">
            <v>41553</v>
          </cell>
          <cell r="C255" t="str">
            <v>Roy Skaria</v>
          </cell>
          <cell r="D255" t="str">
            <v>2/797 Botany Rd,Rosebery</v>
          </cell>
          <cell r="E255" t="str">
            <v>Sydney</v>
          </cell>
          <cell r="F255" t="str">
            <v>NSW</v>
          </cell>
          <cell r="G255" t="str">
            <v>Corporate</v>
          </cell>
          <cell r="H255" t="str">
            <v>Samantha Chairs</v>
          </cell>
          <cell r="I255" t="str">
            <v>Medium</v>
          </cell>
          <cell r="J255" t="str">
            <v>1726 Digital Answering Machine</v>
          </cell>
          <cell r="K255" t="str">
            <v>Technology</v>
          </cell>
          <cell r="L255" t="str">
            <v>Medium Box</v>
          </cell>
          <cell r="M255" t="str">
            <v>Regular Air</v>
          </cell>
          <cell r="N255">
            <v>41554</v>
          </cell>
          <cell r="O255">
            <v>8.82</v>
          </cell>
          <cell r="P255">
            <v>20.99</v>
          </cell>
          <cell r="Q255">
            <v>25</v>
          </cell>
          <cell r="R255">
            <v>524.75</v>
          </cell>
          <cell r="S255">
            <v>0.05</v>
          </cell>
          <cell r="T255">
            <v>26.237500000000001</v>
          </cell>
          <cell r="U255">
            <v>524.70000000000005</v>
          </cell>
          <cell r="V255">
            <v>4.8099999999999996</v>
          </cell>
          <cell r="W255">
            <v>529.51</v>
          </cell>
        </row>
        <row r="256">
          <cell r="A256" t="str">
            <v>5267-1</v>
          </cell>
          <cell r="B256">
            <v>41556</v>
          </cell>
          <cell r="C256" t="str">
            <v>Frank Merwin</v>
          </cell>
          <cell r="D256" t="str">
            <v>24 Addison Rd,Marrickville</v>
          </cell>
          <cell r="E256" t="str">
            <v>Sydney</v>
          </cell>
          <cell r="F256" t="str">
            <v>NSW</v>
          </cell>
          <cell r="G256" t="str">
            <v>Corporate</v>
          </cell>
          <cell r="H256" t="str">
            <v>Radhya Staples</v>
          </cell>
          <cell r="I256" t="str">
            <v>Medium</v>
          </cell>
          <cell r="J256" t="str">
            <v>Pizazz Drawing Pencil Set</v>
          </cell>
          <cell r="K256" t="str">
            <v>Office Supplies</v>
          </cell>
          <cell r="L256" t="str">
            <v>Wrap Bag</v>
          </cell>
          <cell r="M256" t="str">
            <v>Regular Air</v>
          </cell>
          <cell r="N256">
            <v>41558</v>
          </cell>
          <cell r="O256">
            <v>1.53</v>
          </cell>
          <cell r="P256">
            <v>2.78</v>
          </cell>
          <cell r="Q256">
            <v>6</v>
          </cell>
          <cell r="R256">
            <v>16.68</v>
          </cell>
          <cell r="S256">
            <v>0.01</v>
          </cell>
          <cell r="T256">
            <v>0.1668</v>
          </cell>
          <cell r="U256">
            <v>16.669999999999998</v>
          </cell>
          <cell r="V256">
            <v>1.34</v>
          </cell>
          <cell r="W256">
            <v>18.009999999999998</v>
          </cell>
        </row>
        <row r="257">
          <cell r="A257" t="str">
            <v>5272-1</v>
          </cell>
          <cell r="B257">
            <v>41558</v>
          </cell>
          <cell r="C257" t="str">
            <v>Amy Cox</v>
          </cell>
          <cell r="D257" t="str">
            <v>523 King St,Newtown</v>
          </cell>
          <cell r="E257" t="str">
            <v>Sydney</v>
          </cell>
          <cell r="F257" t="str">
            <v>NSW</v>
          </cell>
          <cell r="G257" t="str">
            <v>Small Business</v>
          </cell>
          <cell r="H257" t="str">
            <v>Aanya Zhang</v>
          </cell>
          <cell r="I257" t="str">
            <v>Critical</v>
          </cell>
          <cell r="J257" t="str">
            <v>Pizazz Dustless Chalk Sticks</v>
          </cell>
          <cell r="K257" t="str">
            <v>Office Supplies</v>
          </cell>
          <cell r="L257" t="str">
            <v>Wrap Bag</v>
          </cell>
          <cell r="M257" t="str">
            <v>Regular Air</v>
          </cell>
          <cell r="N257">
            <v>41559</v>
          </cell>
          <cell r="O257">
            <v>1.0900000000000001</v>
          </cell>
          <cell r="P257">
            <v>1.68</v>
          </cell>
          <cell r="Q257">
            <v>38</v>
          </cell>
          <cell r="R257">
            <v>63.839999999999996</v>
          </cell>
          <cell r="S257">
            <v>7.0000000000000007E-2</v>
          </cell>
          <cell r="T257">
            <v>4.4687999999999999</v>
          </cell>
          <cell r="U257">
            <v>63.769999999999996</v>
          </cell>
          <cell r="V257">
            <v>1</v>
          </cell>
          <cell r="W257">
            <v>64.77</v>
          </cell>
        </row>
        <row r="258">
          <cell r="A258" t="str">
            <v>5277-1</v>
          </cell>
          <cell r="B258">
            <v>41567</v>
          </cell>
          <cell r="C258" t="str">
            <v>Paul MacIntyre</v>
          </cell>
          <cell r="D258" t="str">
            <v>60 Commercial Rd,Prahran</v>
          </cell>
          <cell r="E258" t="str">
            <v>Melbourne</v>
          </cell>
          <cell r="F258" t="str">
            <v>VIC</v>
          </cell>
          <cell r="G258" t="str">
            <v>Corporate</v>
          </cell>
          <cell r="H258" t="str">
            <v>Yvette Biti</v>
          </cell>
          <cell r="I258" t="str">
            <v>Critical</v>
          </cell>
          <cell r="J258" t="str">
            <v>12 Colored Short Pencils</v>
          </cell>
          <cell r="K258" t="str">
            <v>Office Supplies</v>
          </cell>
          <cell r="L258" t="str">
            <v>Wrap Bag</v>
          </cell>
          <cell r="M258" t="str">
            <v>Regular Air</v>
          </cell>
          <cell r="N258">
            <v>41569</v>
          </cell>
          <cell r="O258">
            <v>1.0900000000000001</v>
          </cell>
          <cell r="P258">
            <v>2.6</v>
          </cell>
          <cell r="Q258">
            <v>36</v>
          </cell>
          <cell r="R258">
            <v>93.600000000000009</v>
          </cell>
          <cell r="S258">
            <v>0</v>
          </cell>
          <cell r="T258">
            <v>0</v>
          </cell>
          <cell r="U258">
            <v>93.600000000000009</v>
          </cell>
          <cell r="V258">
            <v>2.4</v>
          </cell>
          <cell r="W258">
            <v>96.000000000000014</v>
          </cell>
        </row>
        <row r="259">
          <cell r="A259" t="str">
            <v>5278-1</v>
          </cell>
          <cell r="B259">
            <v>41567</v>
          </cell>
          <cell r="C259" t="str">
            <v>Cindy Stewart</v>
          </cell>
          <cell r="D259" t="str">
            <v>1/173-179 Bronte Rd,Waverley</v>
          </cell>
          <cell r="E259" t="str">
            <v>Sydney</v>
          </cell>
          <cell r="F259" t="str">
            <v>NSW</v>
          </cell>
          <cell r="G259" t="str">
            <v>Corporate</v>
          </cell>
          <cell r="H259" t="str">
            <v>Leighton Forrest</v>
          </cell>
          <cell r="I259" t="str">
            <v>Critical</v>
          </cell>
          <cell r="J259" t="str">
            <v>Artisan 479 Labels</v>
          </cell>
          <cell r="K259" t="str">
            <v>Office Supplies</v>
          </cell>
          <cell r="L259" t="str">
            <v>Small Box</v>
          </cell>
          <cell r="M259" t="str">
            <v>Express Air</v>
          </cell>
          <cell r="N259">
            <v>41567</v>
          </cell>
          <cell r="O259">
            <v>1.59</v>
          </cell>
          <cell r="P259">
            <v>2.61</v>
          </cell>
          <cell r="Q259">
            <v>1</v>
          </cell>
          <cell r="R259">
            <v>2.61</v>
          </cell>
          <cell r="S259">
            <v>0.06</v>
          </cell>
          <cell r="T259">
            <v>0.15659999999999999</v>
          </cell>
          <cell r="U259">
            <v>2.5499999999999998</v>
          </cell>
          <cell r="V259">
            <v>0.5</v>
          </cell>
          <cell r="W259">
            <v>3.05</v>
          </cell>
        </row>
        <row r="260">
          <cell r="A260" t="str">
            <v>5279-1</v>
          </cell>
          <cell r="B260">
            <v>41567</v>
          </cell>
          <cell r="C260" t="str">
            <v>Tamara Willingham</v>
          </cell>
          <cell r="D260" t="str">
            <v>Sydney Fish Market, Bank Street, Sydney</v>
          </cell>
          <cell r="E260" t="str">
            <v>Sydney</v>
          </cell>
          <cell r="F260" t="str">
            <v>NSW</v>
          </cell>
          <cell r="G260" t="str">
            <v>Corporate</v>
          </cell>
          <cell r="H260" t="str">
            <v>Phoebe Gour</v>
          </cell>
          <cell r="I260" t="str">
            <v>Medium</v>
          </cell>
          <cell r="J260" t="str">
            <v>Artisan Hanging File Binders</v>
          </cell>
          <cell r="K260" t="str">
            <v>Office Supplies</v>
          </cell>
          <cell r="L260" t="str">
            <v>Small Box</v>
          </cell>
          <cell r="M260" t="str">
            <v>Regular Air</v>
          </cell>
          <cell r="N260">
            <v>41568</v>
          </cell>
          <cell r="O260">
            <v>3.65</v>
          </cell>
          <cell r="P260">
            <v>5.98</v>
          </cell>
          <cell r="Q260">
            <v>21</v>
          </cell>
          <cell r="R260">
            <v>125.58000000000001</v>
          </cell>
          <cell r="S260">
            <v>0.02</v>
          </cell>
          <cell r="T260">
            <v>2.5116000000000005</v>
          </cell>
          <cell r="U260">
            <v>125.56000000000002</v>
          </cell>
          <cell r="V260">
            <v>1.49</v>
          </cell>
          <cell r="W260">
            <v>127.05000000000001</v>
          </cell>
        </row>
        <row r="261">
          <cell r="A261" t="str">
            <v>5280-1</v>
          </cell>
          <cell r="B261">
            <v>41568</v>
          </cell>
          <cell r="C261" t="str">
            <v>Darrin Sayre</v>
          </cell>
          <cell r="D261" t="str">
            <v>Sydney Fish Market, Bank Street, Sydney</v>
          </cell>
          <cell r="E261" t="str">
            <v>Sydney</v>
          </cell>
          <cell r="F261" t="str">
            <v>NSW</v>
          </cell>
          <cell r="G261" t="str">
            <v>Consumer</v>
          </cell>
          <cell r="H261" t="str">
            <v>Phoebe Gour</v>
          </cell>
          <cell r="I261" t="str">
            <v>Not Specified</v>
          </cell>
          <cell r="J261" t="str">
            <v>Artisan Hanging File Binders</v>
          </cell>
          <cell r="K261" t="str">
            <v>Office Supplies</v>
          </cell>
          <cell r="L261" t="str">
            <v>Small Box</v>
          </cell>
          <cell r="M261" t="str">
            <v>Regular Air</v>
          </cell>
          <cell r="N261">
            <v>41570</v>
          </cell>
          <cell r="O261">
            <v>3.65</v>
          </cell>
          <cell r="P261">
            <v>5.98</v>
          </cell>
          <cell r="Q261">
            <v>40</v>
          </cell>
          <cell r="R261">
            <v>239.20000000000002</v>
          </cell>
          <cell r="S261">
            <v>0</v>
          </cell>
          <cell r="T261">
            <v>0</v>
          </cell>
          <cell r="U261">
            <v>239.20000000000002</v>
          </cell>
          <cell r="V261">
            <v>1.49</v>
          </cell>
          <cell r="W261">
            <v>240.69000000000003</v>
          </cell>
        </row>
        <row r="262">
          <cell r="A262" t="str">
            <v>5282-1</v>
          </cell>
          <cell r="B262">
            <v>41568</v>
          </cell>
          <cell r="C262" t="str">
            <v>Amy Cox</v>
          </cell>
          <cell r="D262" t="str">
            <v>523 King St,Newtown</v>
          </cell>
          <cell r="E262" t="str">
            <v>Sydney</v>
          </cell>
          <cell r="F262" t="str">
            <v>NSW</v>
          </cell>
          <cell r="G262" t="str">
            <v>Small Business</v>
          </cell>
          <cell r="H262" t="str">
            <v>Aanya Zhang</v>
          </cell>
          <cell r="I262" t="str">
            <v>Not Specified</v>
          </cell>
          <cell r="J262" t="str">
            <v>Smiths General Use 3-Ring Binders</v>
          </cell>
          <cell r="K262" t="str">
            <v>Office Supplies</v>
          </cell>
          <cell r="L262" t="str">
            <v>Small Box</v>
          </cell>
          <cell r="M262" t="str">
            <v>Regular Air</v>
          </cell>
          <cell r="N262">
            <v>41570</v>
          </cell>
          <cell r="O262">
            <v>1.18</v>
          </cell>
          <cell r="P262">
            <v>1.88</v>
          </cell>
          <cell r="Q262">
            <v>33</v>
          </cell>
          <cell r="R262">
            <v>62.04</v>
          </cell>
          <cell r="S262">
            <v>7.0000000000000007E-2</v>
          </cell>
          <cell r="T262">
            <v>4.3428000000000004</v>
          </cell>
          <cell r="U262">
            <v>61.97</v>
          </cell>
          <cell r="V262">
            <v>1.49</v>
          </cell>
          <cell r="W262">
            <v>63.46</v>
          </cell>
        </row>
        <row r="263">
          <cell r="A263" t="str">
            <v>5284-1</v>
          </cell>
          <cell r="B263">
            <v>41571</v>
          </cell>
          <cell r="C263" t="str">
            <v>Ed Jacobs</v>
          </cell>
          <cell r="D263" t="str">
            <v>22 Civic Rd,Auburn</v>
          </cell>
          <cell r="E263" t="str">
            <v>Sydney</v>
          </cell>
          <cell r="F263" t="str">
            <v>NSW</v>
          </cell>
          <cell r="G263" t="str">
            <v>Small Business</v>
          </cell>
          <cell r="H263" t="str">
            <v>Mihael Khan</v>
          </cell>
          <cell r="I263" t="str">
            <v>High</v>
          </cell>
          <cell r="J263" t="str">
            <v>Angle-D Binders with Locking Rings, Label Holders</v>
          </cell>
          <cell r="K263" t="str">
            <v>Office Supplies</v>
          </cell>
          <cell r="L263" t="str">
            <v>Small Box</v>
          </cell>
          <cell r="M263" t="str">
            <v>Regular Air</v>
          </cell>
          <cell r="N263">
            <v>41574</v>
          </cell>
          <cell r="O263">
            <v>4.53</v>
          </cell>
          <cell r="P263">
            <v>7.3</v>
          </cell>
          <cell r="Q263">
            <v>31</v>
          </cell>
          <cell r="R263">
            <v>226.29999999999998</v>
          </cell>
          <cell r="S263">
            <v>0.03</v>
          </cell>
          <cell r="T263">
            <v>6.7889999999999988</v>
          </cell>
          <cell r="U263">
            <v>226.26999999999998</v>
          </cell>
          <cell r="V263">
            <v>7.72</v>
          </cell>
          <cell r="W263">
            <v>233.98999999999998</v>
          </cell>
        </row>
        <row r="264">
          <cell r="A264" t="str">
            <v>5286-1</v>
          </cell>
          <cell r="B264">
            <v>41572</v>
          </cell>
          <cell r="C264" t="str">
            <v>Dan Campbell</v>
          </cell>
          <cell r="D264" t="str">
            <v>1/173-179 Bronte Rd,Waverley</v>
          </cell>
          <cell r="E264" t="str">
            <v>Sydney</v>
          </cell>
          <cell r="F264" t="str">
            <v>NSW</v>
          </cell>
          <cell r="G264" t="str">
            <v>Small Business</v>
          </cell>
          <cell r="H264" t="str">
            <v>Leighton Forrest</v>
          </cell>
          <cell r="I264" t="str">
            <v>High</v>
          </cell>
          <cell r="J264" t="str">
            <v>Brown Kraft Recycled Envelopes</v>
          </cell>
          <cell r="K264" t="str">
            <v>Office Supplies</v>
          </cell>
          <cell r="L264" t="str">
            <v>Small Box</v>
          </cell>
          <cell r="M264" t="str">
            <v>Regular Air</v>
          </cell>
          <cell r="N264">
            <v>41574</v>
          </cell>
          <cell r="O264">
            <v>11.04</v>
          </cell>
          <cell r="P264">
            <v>16.98</v>
          </cell>
          <cell r="Q264">
            <v>27</v>
          </cell>
          <cell r="R264">
            <v>458.46000000000004</v>
          </cell>
          <cell r="S264">
            <v>0.1</v>
          </cell>
          <cell r="T264">
            <v>45.846000000000004</v>
          </cell>
          <cell r="U264">
            <v>458.36</v>
          </cell>
          <cell r="V264">
            <v>12.39</v>
          </cell>
          <cell r="W264">
            <v>470.75</v>
          </cell>
        </row>
        <row r="265">
          <cell r="A265" t="str">
            <v>5288-1</v>
          </cell>
          <cell r="B265">
            <v>41573</v>
          </cell>
          <cell r="C265" t="str">
            <v>Shahid Shariari</v>
          </cell>
          <cell r="D265" t="str">
            <v>3/219 Canley Vale Road,Canley Heights</v>
          </cell>
          <cell r="E265" t="str">
            <v>Sydney</v>
          </cell>
          <cell r="F265" t="str">
            <v>NSW</v>
          </cell>
          <cell r="G265" t="str">
            <v>Consumer</v>
          </cell>
          <cell r="H265" t="str">
            <v>Mihael Khan</v>
          </cell>
          <cell r="I265" t="str">
            <v>Not Specified</v>
          </cell>
          <cell r="J265" t="str">
            <v>3Max Organizer Strips</v>
          </cell>
          <cell r="K265" t="str">
            <v>Office Supplies</v>
          </cell>
          <cell r="L265" t="str">
            <v>Small Box</v>
          </cell>
          <cell r="M265" t="str">
            <v>Regular Air</v>
          </cell>
          <cell r="N265">
            <v>41575</v>
          </cell>
          <cell r="O265">
            <v>3.4</v>
          </cell>
          <cell r="P265">
            <v>5.4</v>
          </cell>
          <cell r="Q265">
            <v>47</v>
          </cell>
          <cell r="R265">
            <v>253.8</v>
          </cell>
          <cell r="S265">
            <v>0.03</v>
          </cell>
          <cell r="T265">
            <v>7.6139999999999999</v>
          </cell>
          <cell r="U265">
            <v>253.77</v>
          </cell>
          <cell r="V265">
            <v>7.78</v>
          </cell>
          <cell r="W265">
            <v>261.55</v>
          </cell>
        </row>
        <row r="266">
          <cell r="A266" t="str">
            <v>5290-1</v>
          </cell>
          <cell r="B266">
            <v>41575</v>
          </cell>
          <cell r="C266" t="str">
            <v>Toby Knight</v>
          </cell>
          <cell r="D266" t="str">
            <v>Crown Complex,Southbank</v>
          </cell>
          <cell r="E266" t="str">
            <v>Melbourne</v>
          </cell>
          <cell r="F266" t="str">
            <v>VIC</v>
          </cell>
          <cell r="G266" t="str">
            <v>Corporate</v>
          </cell>
          <cell r="H266" t="str">
            <v>Connor Betts</v>
          </cell>
          <cell r="I266" t="str">
            <v>High</v>
          </cell>
          <cell r="J266" t="str">
            <v>Laser Neon Mac Format Diskettes, 10/Pack</v>
          </cell>
          <cell r="K266" t="str">
            <v>Technology</v>
          </cell>
          <cell r="L266" t="str">
            <v>Small Pack</v>
          </cell>
          <cell r="M266" t="str">
            <v>Regular Air</v>
          </cell>
          <cell r="N266">
            <v>41576</v>
          </cell>
          <cell r="O266">
            <v>1.87</v>
          </cell>
          <cell r="P266">
            <v>8.1199999999999992</v>
          </cell>
          <cell r="Q266">
            <v>37</v>
          </cell>
          <cell r="R266">
            <v>300.44</v>
          </cell>
          <cell r="S266">
            <v>0</v>
          </cell>
          <cell r="T266">
            <v>0</v>
          </cell>
          <cell r="U266">
            <v>300.44</v>
          </cell>
          <cell r="V266">
            <v>2.83</v>
          </cell>
          <cell r="W266">
            <v>303.27</v>
          </cell>
        </row>
        <row r="267">
          <cell r="A267" t="str">
            <v>5291-1</v>
          </cell>
          <cell r="B267">
            <v>41575</v>
          </cell>
          <cell r="C267" t="str">
            <v>Paul Prost</v>
          </cell>
          <cell r="D267" t="str">
            <v>120 Hardware St,Melbourne</v>
          </cell>
          <cell r="E267" t="str">
            <v>Melbourne</v>
          </cell>
          <cell r="F267" t="str">
            <v>VIC</v>
          </cell>
          <cell r="G267" t="str">
            <v>Corporate</v>
          </cell>
          <cell r="H267" t="str">
            <v>Connor Betts</v>
          </cell>
          <cell r="I267" t="str">
            <v>High</v>
          </cell>
          <cell r="J267" t="str">
            <v>Steady 52201 APSCO Electric Pencil Sharpener</v>
          </cell>
          <cell r="K267" t="str">
            <v>Office Supplies</v>
          </cell>
          <cell r="L267" t="str">
            <v>Small Pack</v>
          </cell>
          <cell r="M267" t="str">
            <v>Express Air</v>
          </cell>
          <cell r="N267">
            <v>41576</v>
          </cell>
          <cell r="O267">
            <v>16.8</v>
          </cell>
          <cell r="P267">
            <v>40.97</v>
          </cell>
          <cell r="Q267">
            <v>11</v>
          </cell>
          <cell r="R267">
            <v>450.66999999999996</v>
          </cell>
          <cell r="S267">
            <v>0.03</v>
          </cell>
          <cell r="T267">
            <v>13.520099999999998</v>
          </cell>
          <cell r="U267">
            <v>450.64</v>
          </cell>
          <cell r="V267">
            <v>8.99</v>
          </cell>
          <cell r="W267">
            <v>459.63</v>
          </cell>
        </row>
        <row r="268">
          <cell r="A268" t="str">
            <v>5292-1</v>
          </cell>
          <cell r="B268">
            <v>41576</v>
          </cell>
          <cell r="C268" t="str">
            <v>Sung Chung</v>
          </cell>
          <cell r="D268" t="str">
            <v>127 Liverpool St,Sydney</v>
          </cell>
          <cell r="E268" t="str">
            <v>Sydney</v>
          </cell>
          <cell r="F268" t="str">
            <v>NSW</v>
          </cell>
          <cell r="G268" t="str">
            <v>Home Office</v>
          </cell>
          <cell r="H268" t="str">
            <v>Samantha Chairs</v>
          </cell>
          <cell r="I268" t="str">
            <v>Critical</v>
          </cell>
          <cell r="J268" t="str">
            <v>Artisan 481 Labels</v>
          </cell>
          <cell r="K268" t="str">
            <v>Office Supplies</v>
          </cell>
          <cell r="L268" t="str">
            <v>Small Box</v>
          </cell>
          <cell r="M268" t="str">
            <v>Regular Air</v>
          </cell>
          <cell r="N268">
            <v>41577</v>
          </cell>
          <cell r="O268">
            <v>1.94</v>
          </cell>
          <cell r="P268">
            <v>3.08</v>
          </cell>
          <cell r="Q268">
            <v>41</v>
          </cell>
          <cell r="R268">
            <v>126.28</v>
          </cell>
          <cell r="S268">
            <v>0.04</v>
          </cell>
          <cell r="T268">
            <v>5.0512000000000006</v>
          </cell>
          <cell r="U268">
            <v>126.24</v>
          </cell>
          <cell r="V268">
            <v>0.99</v>
          </cell>
          <cell r="W268">
            <v>127.22999999999999</v>
          </cell>
        </row>
        <row r="269">
          <cell r="A269" t="str">
            <v>5294-1</v>
          </cell>
          <cell r="B269">
            <v>41579</v>
          </cell>
          <cell r="C269" t="str">
            <v>Kristina Nunn</v>
          </cell>
          <cell r="D269" t="str">
            <v>22 Civic Rd,Auburn</v>
          </cell>
          <cell r="E269" t="str">
            <v>Sydney</v>
          </cell>
          <cell r="F269" t="str">
            <v>NSW</v>
          </cell>
          <cell r="G269" t="str">
            <v>Consumer</v>
          </cell>
          <cell r="H269" t="str">
            <v>Mihael Khan</v>
          </cell>
          <cell r="I269" t="str">
            <v>Critical</v>
          </cell>
          <cell r="J269" t="str">
            <v>Laser Neon Mac Format Diskettes, 10/Pack</v>
          </cell>
          <cell r="K269" t="str">
            <v>Technology</v>
          </cell>
          <cell r="L269" t="str">
            <v>Small Pack</v>
          </cell>
          <cell r="M269" t="str">
            <v>Regular Air</v>
          </cell>
          <cell r="N269">
            <v>41580</v>
          </cell>
          <cell r="O269">
            <v>1.87</v>
          </cell>
          <cell r="P269">
            <v>8.1199999999999992</v>
          </cell>
          <cell r="Q269">
            <v>16</v>
          </cell>
          <cell r="R269">
            <v>129.91999999999999</v>
          </cell>
          <cell r="S269">
            <v>0.03</v>
          </cell>
          <cell r="T269">
            <v>3.8975999999999993</v>
          </cell>
          <cell r="U269">
            <v>129.88999999999999</v>
          </cell>
          <cell r="V269">
            <v>2.83</v>
          </cell>
          <cell r="W269">
            <v>132.72</v>
          </cell>
        </row>
        <row r="270">
          <cell r="A270" t="str">
            <v>5296-1</v>
          </cell>
          <cell r="B270">
            <v>41580</v>
          </cell>
          <cell r="C270" t="str">
            <v>Eugene Hildebrand</v>
          </cell>
          <cell r="D270" t="str">
            <v>120 Hardware St,Melbourne</v>
          </cell>
          <cell r="E270" t="str">
            <v>Melbourne</v>
          </cell>
          <cell r="F270" t="str">
            <v>VIC</v>
          </cell>
          <cell r="G270" t="str">
            <v>Home Office</v>
          </cell>
          <cell r="H270" t="str">
            <v>Yvette Biti</v>
          </cell>
          <cell r="I270" t="str">
            <v>Medium</v>
          </cell>
          <cell r="J270" t="str">
            <v>Angle-D Binders with Locking Rings, Label Holders</v>
          </cell>
          <cell r="K270" t="str">
            <v>Office Supplies</v>
          </cell>
          <cell r="L270" t="str">
            <v>Small Box</v>
          </cell>
          <cell r="M270" t="str">
            <v>Regular Air</v>
          </cell>
          <cell r="N270">
            <v>41581</v>
          </cell>
          <cell r="O270">
            <v>4.53</v>
          </cell>
          <cell r="P270">
            <v>7.3</v>
          </cell>
          <cell r="Q270">
            <v>45</v>
          </cell>
          <cell r="R270">
            <v>328.5</v>
          </cell>
          <cell r="S270">
            <v>0.04</v>
          </cell>
          <cell r="T270">
            <v>13.14</v>
          </cell>
          <cell r="U270">
            <v>328.46</v>
          </cell>
          <cell r="V270">
            <v>7.72</v>
          </cell>
          <cell r="W270">
            <v>336.18</v>
          </cell>
        </row>
        <row r="271">
          <cell r="A271" t="str">
            <v>5298-1</v>
          </cell>
          <cell r="B271">
            <v>41581</v>
          </cell>
          <cell r="C271" t="str">
            <v>Jeremy Lonsdale</v>
          </cell>
          <cell r="D271" t="str">
            <v>163 Concord Road,North Strathfield</v>
          </cell>
          <cell r="E271" t="str">
            <v>Sydney</v>
          </cell>
          <cell r="F271" t="str">
            <v>NSW</v>
          </cell>
          <cell r="G271" t="str">
            <v>Corporate</v>
          </cell>
          <cell r="H271" t="str">
            <v>Charlie Bui</v>
          </cell>
          <cell r="I271" t="str">
            <v>Critical</v>
          </cell>
          <cell r="J271" t="str">
            <v>Apex Straight Scissors</v>
          </cell>
          <cell r="K271" t="str">
            <v>Office Supplies</v>
          </cell>
          <cell r="L271" t="str">
            <v>Small Pack</v>
          </cell>
          <cell r="M271" t="str">
            <v>Regular Air</v>
          </cell>
          <cell r="N271">
            <v>41581</v>
          </cell>
          <cell r="O271">
            <v>5.19</v>
          </cell>
          <cell r="P271">
            <v>12.98</v>
          </cell>
          <cell r="Q271">
            <v>40</v>
          </cell>
          <cell r="R271">
            <v>519.20000000000005</v>
          </cell>
          <cell r="S271">
            <v>0.05</v>
          </cell>
          <cell r="T271">
            <v>25.960000000000004</v>
          </cell>
          <cell r="U271">
            <v>519.15000000000009</v>
          </cell>
          <cell r="V271">
            <v>3.14</v>
          </cell>
          <cell r="W271">
            <v>522.29000000000008</v>
          </cell>
        </row>
        <row r="272">
          <cell r="A272" t="str">
            <v>5299-1</v>
          </cell>
          <cell r="B272">
            <v>41583</v>
          </cell>
          <cell r="C272" t="str">
            <v>Victoria Pisteka</v>
          </cell>
          <cell r="D272" t="str">
            <v>Westfield Sydney,Sydney</v>
          </cell>
          <cell r="E272" t="str">
            <v>Sydney</v>
          </cell>
          <cell r="F272" t="str">
            <v>NSW</v>
          </cell>
          <cell r="G272" t="str">
            <v>Corporate</v>
          </cell>
          <cell r="H272" t="str">
            <v>Natasha Song</v>
          </cell>
          <cell r="I272" t="str">
            <v>Not Specified</v>
          </cell>
          <cell r="J272" t="str">
            <v>Artisan 487 Labels</v>
          </cell>
          <cell r="K272" t="str">
            <v>Office Supplies</v>
          </cell>
          <cell r="L272" t="str">
            <v>Small Box</v>
          </cell>
          <cell r="M272" t="str">
            <v>Regular Air</v>
          </cell>
          <cell r="N272">
            <v>41585</v>
          </cell>
          <cell r="O272">
            <v>2.29</v>
          </cell>
          <cell r="P272">
            <v>3.69</v>
          </cell>
          <cell r="Q272">
            <v>42</v>
          </cell>
          <cell r="R272">
            <v>154.97999999999999</v>
          </cell>
          <cell r="S272">
            <v>0.04</v>
          </cell>
          <cell r="T272">
            <v>6.1991999999999994</v>
          </cell>
          <cell r="U272">
            <v>154.94</v>
          </cell>
          <cell r="V272">
            <v>0.5</v>
          </cell>
          <cell r="W272">
            <v>155.44</v>
          </cell>
        </row>
        <row r="273">
          <cell r="A273" t="str">
            <v>5300-1</v>
          </cell>
          <cell r="B273">
            <v>41583</v>
          </cell>
          <cell r="C273" t="str">
            <v>Liz Carlisle</v>
          </cell>
          <cell r="D273" t="str">
            <v>797 Botany Rd,Rosebery</v>
          </cell>
          <cell r="E273" t="str">
            <v>Sydney</v>
          </cell>
          <cell r="F273" t="str">
            <v>NSW</v>
          </cell>
          <cell r="G273" t="str">
            <v>Corporate</v>
          </cell>
          <cell r="H273" t="str">
            <v>Phoebe Gour</v>
          </cell>
          <cell r="I273" t="str">
            <v>Critical</v>
          </cell>
          <cell r="J273" t="str">
            <v>Lumi Crayons</v>
          </cell>
          <cell r="K273" t="str">
            <v>Office Supplies</v>
          </cell>
          <cell r="L273" t="str">
            <v>Wrap Bag</v>
          </cell>
          <cell r="M273" t="str">
            <v>Regular Air</v>
          </cell>
          <cell r="N273">
            <v>41584</v>
          </cell>
          <cell r="O273">
            <v>5.22</v>
          </cell>
          <cell r="P273">
            <v>9.85</v>
          </cell>
          <cell r="Q273">
            <v>27</v>
          </cell>
          <cell r="R273">
            <v>265.95</v>
          </cell>
          <cell r="S273">
            <v>0.1</v>
          </cell>
          <cell r="T273">
            <v>26.594999999999999</v>
          </cell>
          <cell r="U273">
            <v>265.84999999999997</v>
          </cell>
          <cell r="V273">
            <v>4.82</v>
          </cell>
          <cell r="W273">
            <v>270.66999999999996</v>
          </cell>
        </row>
        <row r="274">
          <cell r="A274" t="str">
            <v>5302-1</v>
          </cell>
          <cell r="B274">
            <v>41585</v>
          </cell>
          <cell r="C274" t="str">
            <v>Dennis Kane</v>
          </cell>
          <cell r="D274" t="str">
            <v>33/4 Barangaroo Avenue,Sydney</v>
          </cell>
          <cell r="E274" t="str">
            <v>Sydney</v>
          </cell>
          <cell r="F274" t="str">
            <v>NSW</v>
          </cell>
          <cell r="G274" t="str">
            <v>Small Business</v>
          </cell>
          <cell r="H274" t="str">
            <v>Natasha Song</v>
          </cell>
          <cell r="I274" t="str">
            <v>Medium</v>
          </cell>
          <cell r="J274" t="str">
            <v>Steady Major Accent Highlighters</v>
          </cell>
          <cell r="K274" t="str">
            <v>Office Supplies</v>
          </cell>
          <cell r="L274" t="str">
            <v>Wrap Bag</v>
          </cell>
          <cell r="M274" t="str">
            <v>Express Air</v>
          </cell>
          <cell r="N274">
            <v>41586</v>
          </cell>
          <cell r="O274">
            <v>3.75</v>
          </cell>
          <cell r="P274">
            <v>7.08</v>
          </cell>
          <cell r="Q274">
            <v>29</v>
          </cell>
          <cell r="R274">
            <v>205.32</v>
          </cell>
          <cell r="S274">
            <v>7.0000000000000007E-2</v>
          </cell>
          <cell r="T274">
            <v>14.372400000000001</v>
          </cell>
          <cell r="U274">
            <v>205.25</v>
          </cell>
          <cell r="V274">
            <v>2.35</v>
          </cell>
          <cell r="W274">
            <v>207.6</v>
          </cell>
        </row>
        <row r="275">
          <cell r="A275" t="str">
            <v>5303-1</v>
          </cell>
          <cell r="B275">
            <v>41587</v>
          </cell>
          <cell r="C275" t="str">
            <v>Tom Prescott</v>
          </cell>
          <cell r="D275" t="str">
            <v>8 Rankins Lane ,Melbourne</v>
          </cell>
          <cell r="E275" t="str">
            <v>Melbourne</v>
          </cell>
          <cell r="F275" t="str">
            <v>VIC</v>
          </cell>
          <cell r="G275" t="str">
            <v>Small Business</v>
          </cell>
          <cell r="H275" t="str">
            <v>Connor Betts</v>
          </cell>
          <cell r="I275" t="str">
            <v>Low</v>
          </cell>
          <cell r="J275" t="str">
            <v>Alto Memo Cubes</v>
          </cell>
          <cell r="K275" t="str">
            <v>Office Supplies</v>
          </cell>
          <cell r="L275" t="str">
            <v>Wrap Bag</v>
          </cell>
          <cell r="M275" t="str">
            <v>Regular Air</v>
          </cell>
          <cell r="N275">
            <v>41587</v>
          </cell>
          <cell r="O275">
            <v>3.32</v>
          </cell>
          <cell r="P275">
            <v>5.18</v>
          </cell>
          <cell r="Q275">
            <v>8</v>
          </cell>
          <cell r="R275">
            <v>41.44</v>
          </cell>
          <cell r="S275">
            <v>0.06</v>
          </cell>
          <cell r="T275">
            <v>2.4863999999999997</v>
          </cell>
          <cell r="U275">
            <v>41.379999999999995</v>
          </cell>
          <cell r="V275">
            <v>2.04</v>
          </cell>
          <cell r="W275">
            <v>43.419999999999995</v>
          </cell>
        </row>
        <row r="276">
          <cell r="A276" t="str">
            <v>5304-1</v>
          </cell>
          <cell r="B276">
            <v>41590</v>
          </cell>
          <cell r="C276" t="str">
            <v>Jas OCarroll</v>
          </cell>
          <cell r="D276" t="str">
            <v>3 Carrington Road ,Box Hill</v>
          </cell>
          <cell r="E276" t="str">
            <v>Melbourne</v>
          </cell>
          <cell r="F276" t="str">
            <v>VIC</v>
          </cell>
          <cell r="G276" t="str">
            <v>Corporate</v>
          </cell>
          <cell r="H276" t="str">
            <v>Yvette Biti</v>
          </cell>
          <cell r="I276" t="str">
            <v>Medium</v>
          </cell>
          <cell r="J276" t="str">
            <v>Artisan Durable Poly Binders</v>
          </cell>
          <cell r="K276" t="str">
            <v>Office Supplies</v>
          </cell>
          <cell r="L276" t="str">
            <v>Small Box</v>
          </cell>
          <cell r="M276" t="str">
            <v>Regular Air</v>
          </cell>
          <cell r="N276">
            <v>41592</v>
          </cell>
          <cell r="O276">
            <v>3.37</v>
          </cell>
          <cell r="P276">
            <v>5.53</v>
          </cell>
          <cell r="Q276">
            <v>17</v>
          </cell>
          <cell r="R276">
            <v>94.01</v>
          </cell>
          <cell r="S276">
            <v>0.02</v>
          </cell>
          <cell r="T276">
            <v>1.8802000000000001</v>
          </cell>
          <cell r="U276">
            <v>93.990000000000009</v>
          </cell>
          <cell r="V276">
            <v>6.98</v>
          </cell>
          <cell r="W276">
            <v>100.97000000000001</v>
          </cell>
        </row>
        <row r="277">
          <cell r="A277" t="str">
            <v>5305-1</v>
          </cell>
          <cell r="B277">
            <v>41593</v>
          </cell>
          <cell r="C277" t="str">
            <v>Liz Price</v>
          </cell>
          <cell r="D277" t="str">
            <v>Sydney Fish Market, Bank Street, Sydney</v>
          </cell>
          <cell r="E277" t="str">
            <v>Sydney</v>
          </cell>
          <cell r="F277" t="str">
            <v>NSW</v>
          </cell>
          <cell r="G277" t="str">
            <v>Consumer</v>
          </cell>
          <cell r="H277" t="str">
            <v>Phoebe Gour</v>
          </cell>
          <cell r="I277" t="str">
            <v>Not Specified</v>
          </cell>
          <cell r="J277" t="str">
            <v>Xit Blank Computer Paper</v>
          </cell>
          <cell r="K277" t="str">
            <v>Office Supplies</v>
          </cell>
          <cell r="L277" t="str">
            <v>Small Box</v>
          </cell>
          <cell r="M277" t="str">
            <v>Regular Air</v>
          </cell>
          <cell r="N277">
            <v>41595</v>
          </cell>
          <cell r="O277">
            <v>12.39</v>
          </cell>
          <cell r="P277">
            <v>19.98</v>
          </cell>
          <cell r="Q277">
            <v>47</v>
          </cell>
          <cell r="R277">
            <v>939.06000000000006</v>
          </cell>
          <cell r="S277">
            <v>0.04</v>
          </cell>
          <cell r="T277">
            <v>37.562400000000004</v>
          </cell>
          <cell r="U277">
            <v>939.0200000000001</v>
          </cell>
          <cell r="V277">
            <v>5.77</v>
          </cell>
          <cell r="W277">
            <v>944.79000000000008</v>
          </cell>
        </row>
        <row r="278">
          <cell r="A278" t="str">
            <v>5307-1</v>
          </cell>
          <cell r="B278">
            <v>41594</v>
          </cell>
          <cell r="C278" t="str">
            <v>Pamela Stobb</v>
          </cell>
          <cell r="D278" t="str">
            <v>273 George Street,Sydney</v>
          </cell>
          <cell r="E278" t="str">
            <v>Sydney</v>
          </cell>
          <cell r="F278" t="str">
            <v>NSW</v>
          </cell>
          <cell r="G278" t="str">
            <v>Consumer</v>
          </cell>
          <cell r="H278" t="str">
            <v>Leighton Forrest</v>
          </cell>
          <cell r="I278" t="str">
            <v>Not Specified</v>
          </cell>
          <cell r="J278" t="str">
            <v>Aluminum Document Frame</v>
          </cell>
          <cell r="K278" t="str">
            <v>Furniture</v>
          </cell>
          <cell r="L278" t="str">
            <v>Small Pack</v>
          </cell>
          <cell r="M278" t="str">
            <v>Regular Air</v>
          </cell>
          <cell r="N278">
            <v>41594</v>
          </cell>
          <cell r="O278">
            <v>5.5</v>
          </cell>
          <cell r="P278">
            <v>12.22</v>
          </cell>
          <cell r="Q278">
            <v>27</v>
          </cell>
          <cell r="R278">
            <v>329.94</v>
          </cell>
          <cell r="S278">
            <v>7.0000000000000007E-2</v>
          </cell>
          <cell r="T278">
            <v>23.095800000000001</v>
          </cell>
          <cell r="U278">
            <v>329.87</v>
          </cell>
          <cell r="V278">
            <v>2.85</v>
          </cell>
          <cell r="W278">
            <v>332.72</v>
          </cell>
        </row>
        <row r="279">
          <cell r="A279" t="str">
            <v>5309-1</v>
          </cell>
          <cell r="B279">
            <v>41594</v>
          </cell>
          <cell r="C279" t="str">
            <v>Peter Fuller</v>
          </cell>
          <cell r="D279" t="str">
            <v>Westfield Miranda, 600 Kingsway,Miranda</v>
          </cell>
          <cell r="E279" t="str">
            <v>Sydney</v>
          </cell>
          <cell r="F279" t="str">
            <v>NSW</v>
          </cell>
          <cell r="G279" t="str">
            <v>Corporate</v>
          </cell>
          <cell r="H279" t="str">
            <v>Preston Senome</v>
          </cell>
          <cell r="I279" t="str">
            <v>Critical</v>
          </cell>
          <cell r="J279" t="str">
            <v>Pizazz Colored Pencils</v>
          </cell>
          <cell r="K279" t="str">
            <v>Office Supplies</v>
          </cell>
          <cell r="L279" t="str">
            <v>Wrap Bag</v>
          </cell>
          <cell r="M279" t="str">
            <v>Regular Air</v>
          </cell>
          <cell r="N279">
            <v>41595</v>
          </cell>
          <cell r="O279">
            <v>1.76</v>
          </cell>
          <cell r="P279">
            <v>2.94</v>
          </cell>
          <cell r="Q279">
            <v>23</v>
          </cell>
          <cell r="R279">
            <v>67.62</v>
          </cell>
          <cell r="S279">
            <v>7.0000000000000007E-2</v>
          </cell>
          <cell r="T279">
            <v>4.7334000000000005</v>
          </cell>
          <cell r="U279">
            <v>67.550000000000011</v>
          </cell>
          <cell r="V279">
            <v>0.81</v>
          </cell>
          <cell r="W279">
            <v>68.360000000000014</v>
          </cell>
        </row>
        <row r="280">
          <cell r="A280" t="str">
            <v>5310-1</v>
          </cell>
          <cell r="B280">
            <v>41595</v>
          </cell>
          <cell r="C280" t="str">
            <v>Erin Ashbrook</v>
          </cell>
          <cell r="D280" t="str">
            <v>61 York St,Sydney</v>
          </cell>
          <cell r="E280" t="str">
            <v>Sydney</v>
          </cell>
          <cell r="F280" t="str">
            <v>NSW</v>
          </cell>
          <cell r="G280" t="str">
            <v>Consumer</v>
          </cell>
          <cell r="H280" t="str">
            <v>Leighton Forrest</v>
          </cell>
          <cell r="I280" t="str">
            <v>Critical</v>
          </cell>
          <cell r="J280" t="str">
            <v>Adesso Programmable 142-Key Keyboard</v>
          </cell>
          <cell r="K280" t="str">
            <v>Technology</v>
          </cell>
          <cell r="L280" t="str">
            <v>Small Box</v>
          </cell>
          <cell r="M280" t="str">
            <v>Express Air</v>
          </cell>
          <cell r="N280">
            <v>41597</v>
          </cell>
          <cell r="O280">
            <v>39.64</v>
          </cell>
          <cell r="P280">
            <v>152.47999999999999</v>
          </cell>
          <cell r="Q280">
            <v>2</v>
          </cell>
          <cell r="R280">
            <v>304.95999999999998</v>
          </cell>
          <cell r="S280">
            <v>0.02</v>
          </cell>
          <cell r="T280">
            <v>6.0991999999999997</v>
          </cell>
          <cell r="U280">
            <v>304.94</v>
          </cell>
          <cell r="V280">
            <v>6.5</v>
          </cell>
          <cell r="W280">
            <v>311.44</v>
          </cell>
        </row>
        <row r="281">
          <cell r="A281" t="str">
            <v>5311-1</v>
          </cell>
          <cell r="B281">
            <v>41595</v>
          </cell>
          <cell r="C281" t="str">
            <v>Allen Armold</v>
          </cell>
          <cell r="D281" t="str">
            <v>224A Gertrude St,Fitzroy</v>
          </cell>
          <cell r="E281" t="str">
            <v>Melbourne</v>
          </cell>
          <cell r="F281" t="str">
            <v>VIC</v>
          </cell>
          <cell r="G281" t="str">
            <v>Home Office</v>
          </cell>
          <cell r="H281" t="str">
            <v>Connor Betts</v>
          </cell>
          <cell r="I281" t="str">
            <v>Critical</v>
          </cell>
          <cell r="J281" t="str">
            <v>Apex Office Executive Series Stainless Steel Trimmers</v>
          </cell>
          <cell r="K281" t="str">
            <v>Office Supplies</v>
          </cell>
          <cell r="L281" t="str">
            <v>Small Pack</v>
          </cell>
          <cell r="M281" t="str">
            <v>Regular Air</v>
          </cell>
          <cell r="N281">
            <v>41596</v>
          </cell>
          <cell r="O281">
            <v>3.51</v>
          </cell>
          <cell r="P281">
            <v>8.57</v>
          </cell>
          <cell r="Q281">
            <v>24</v>
          </cell>
          <cell r="R281">
            <v>205.68</v>
          </cell>
          <cell r="S281">
            <v>0.06</v>
          </cell>
          <cell r="T281">
            <v>12.3408</v>
          </cell>
          <cell r="U281">
            <v>205.62</v>
          </cell>
          <cell r="V281">
            <v>6.14</v>
          </cell>
          <cell r="W281">
            <v>211.76</v>
          </cell>
        </row>
        <row r="282">
          <cell r="A282" t="str">
            <v>5312-1</v>
          </cell>
          <cell r="B282">
            <v>41595</v>
          </cell>
          <cell r="C282" t="str">
            <v>Eugene Barchas</v>
          </cell>
          <cell r="D282" t="str">
            <v>Crown Complex,Southbank</v>
          </cell>
          <cell r="E282" t="str">
            <v>Melbourne</v>
          </cell>
          <cell r="F282" t="str">
            <v>VIC</v>
          </cell>
          <cell r="G282" t="str">
            <v>Corporate</v>
          </cell>
          <cell r="H282" t="str">
            <v>Connor Betts</v>
          </cell>
          <cell r="I282" t="str">
            <v>High</v>
          </cell>
          <cell r="J282" t="str">
            <v>Artisan Binder Labels</v>
          </cell>
          <cell r="K282" t="str">
            <v>Office Supplies</v>
          </cell>
          <cell r="L282" t="str">
            <v>Small Box</v>
          </cell>
          <cell r="M282" t="str">
            <v>Regular Air</v>
          </cell>
          <cell r="N282">
            <v>41595</v>
          </cell>
          <cell r="O282">
            <v>2.4500000000000002</v>
          </cell>
          <cell r="P282">
            <v>3.89</v>
          </cell>
          <cell r="Q282">
            <v>47</v>
          </cell>
          <cell r="R282">
            <v>182.83</v>
          </cell>
          <cell r="S282">
            <v>0</v>
          </cell>
          <cell r="T282">
            <v>0</v>
          </cell>
          <cell r="U282">
            <v>182.83</v>
          </cell>
          <cell r="V282">
            <v>7.01</v>
          </cell>
          <cell r="W282">
            <v>189.84</v>
          </cell>
        </row>
        <row r="283">
          <cell r="A283" t="str">
            <v>5313-1</v>
          </cell>
          <cell r="B283">
            <v>41596</v>
          </cell>
          <cell r="C283" t="str">
            <v>Phillip Flathmann</v>
          </cell>
          <cell r="D283" t="str">
            <v>Macquarie Centre Cnr Herring Road &amp; Waterloo Road,Macquarie Park</v>
          </cell>
          <cell r="E283" t="str">
            <v>Sydney</v>
          </cell>
          <cell r="F283" t="str">
            <v>NSW</v>
          </cell>
          <cell r="G283" t="str">
            <v>Small Business</v>
          </cell>
          <cell r="H283" t="str">
            <v>Nicholas Fernandes</v>
          </cell>
          <cell r="I283" t="str">
            <v>Low</v>
          </cell>
          <cell r="J283" t="str">
            <v>Smiths Metal Binder Clips</v>
          </cell>
          <cell r="K283" t="str">
            <v>Office Supplies</v>
          </cell>
          <cell r="L283" t="str">
            <v>Wrap Bag</v>
          </cell>
          <cell r="M283" t="str">
            <v>Regular Air</v>
          </cell>
          <cell r="N283">
            <v>41598</v>
          </cell>
          <cell r="O283">
            <v>1.6</v>
          </cell>
          <cell r="P283">
            <v>2.62</v>
          </cell>
          <cell r="Q283">
            <v>26</v>
          </cell>
          <cell r="R283">
            <v>68.12</v>
          </cell>
          <cell r="S283">
            <v>0.09</v>
          </cell>
          <cell r="T283">
            <v>6.1307999999999998</v>
          </cell>
          <cell r="U283">
            <v>68.03</v>
          </cell>
          <cell r="V283">
            <v>0.8</v>
          </cell>
          <cell r="W283">
            <v>68.83</v>
          </cell>
        </row>
        <row r="284">
          <cell r="A284" t="str">
            <v>5314-1</v>
          </cell>
          <cell r="B284">
            <v>41596</v>
          </cell>
          <cell r="C284" t="str">
            <v>Thomas Boland</v>
          </cell>
          <cell r="D284" t="str">
            <v>3/219 Canley Vale Road,Canley Heights</v>
          </cell>
          <cell r="E284" t="str">
            <v>Sydney</v>
          </cell>
          <cell r="F284" t="str">
            <v>NSW</v>
          </cell>
          <cell r="G284" t="str">
            <v>Corporate</v>
          </cell>
          <cell r="H284" t="str">
            <v>Mihael Khan</v>
          </cell>
          <cell r="I284" t="str">
            <v>High</v>
          </cell>
          <cell r="J284" t="str">
            <v>TypeRight  Top-Opening Peel &amp; Seel  Envelopes, Gray</v>
          </cell>
          <cell r="K284" t="str">
            <v>Office Supplies</v>
          </cell>
          <cell r="L284" t="str">
            <v>Small Box</v>
          </cell>
          <cell r="M284" t="str">
            <v>Regular Air</v>
          </cell>
          <cell r="N284">
            <v>41598</v>
          </cell>
          <cell r="O284">
            <v>21.56</v>
          </cell>
          <cell r="P284">
            <v>35.94</v>
          </cell>
          <cell r="Q284">
            <v>19</v>
          </cell>
          <cell r="R284">
            <v>682.8599999999999</v>
          </cell>
          <cell r="S284">
            <v>0.09</v>
          </cell>
          <cell r="T284">
            <v>61.457399999999986</v>
          </cell>
          <cell r="U284">
            <v>682.76999999999987</v>
          </cell>
          <cell r="V284">
            <v>6.66</v>
          </cell>
          <cell r="W284">
            <v>689.42999999999984</v>
          </cell>
        </row>
        <row r="285">
          <cell r="A285" t="str">
            <v>5315-1</v>
          </cell>
          <cell r="B285">
            <v>41597</v>
          </cell>
          <cell r="C285" t="str">
            <v>Chuck Magee</v>
          </cell>
          <cell r="D285" t="str">
            <v>1-2/299 Sussex St,Sydney</v>
          </cell>
          <cell r="E285" t="str">
            <v>Sydney</v>
          </cell>
          <cell r="F285" t="str">
            <v>NSW</v>
          </cell>
          <cell r="G285" t="str">
            <v>Corporate</v>
          </cell>
          <cell r="H285" t="str">
            <v>Aanya Zhang</v>
          </cell>
          <cell r="I285" t="str">
            <v>Medium</v>
          </cell>
          <cell r="J285" t="str">
            <v>Alto Parchment Paper, Assorted Colors</v>
          </cell>
          <cell r="K285" t="str">
            <v>Office Supplies</v>
          </cell>
          <cell r="L285" t="str">
            <v>Small Box</v>
          </cell>
          <cell r="M285" t="str">
            <v>Regular Air</v>
          </cell>
          <cell r="N285">
            <v>41599</v>
          </cell>
          <cell r="O285">
            <v>4.59</v>
          </cell>
          <cell r="P285">
            <v>7.28</v>
          </cell>
          <cell r="Q285">
            <v>3</v>
          </cell>
          <cell r="R285">
            <v>21.84</v>
          </cell>
          <cell r="S285">
            <v>0.01</v>
          </cell>
          <cell r="T285">
            <v>0.21840000000000001</v>
          </cell>
          <cell r="U285">
            <v>21.83</v>
          </cell>
          <cell r="V285">
            <v>11.15</v>
          </cell>
          <cell r="W285">
            <v>32.979999999999997</v>
          </cell>
        </row>
        <row r="286">
          <cell r="A286" t="str">
            <v>5316-1</v>
          </cell>
          <cell r="B286">
            <v>41598</v>
          </cell>
          <cell r="C286" t="str">
            <v>Cindy Stewart</v>
          </cell>
          <cell r="D286" t="str">
            <v>1/173-179 Bronte Rd,Waverley</v>
          </cell>
          <cell r="E286" t="str">
            <v>Sydney</v>
          </cell>
          <cell r="F286" t="str">
            <v>NSW</v>
          </cell>
          <cell r="G286" t="str">
            <v>Consumer</v>
          </cell>
          <cell r="H286" t="str">
            <v>Leighton Forrest</v>
          </cell>
          <cell r="I286" t="str">
            <v>Low</v>
          </cell>
          <cell r="J286" t="str">
            <v>Emerson C82 Color Inkjet Printer</v>
          </cell>
          <cell r="K286" t="str">
            <v>Technology</v>
          </cell>
          <cell r="L286" t="str">
            <v>Jumbo Drum</v>
          </cell>
          <cell r="M286" t="str">
            <v>Delivery Truck</v>
          </cell>
          <cell r="N286">
            <v>41605</v>
          </cell>
          <cell r="O286">
            <v>76.790000000000006</v>
          </cell>
          <cell r="P286">
            <v>119.99</v>
          </cell>
          <cell r="Q286">
            <v>4</v>
          </cell>
          <cell r="R286">
            <v>479.96</v>
          </cell>
          <cell r="S286">
            <v>0.06</v>
          </cell>
          <cell r="T286">
            <v>28.797599999999999</v>
          </cell>
          <cell r="U286">
            <v>479.9</v>
          </cell>
          <cell r="V286">
            <v>14</v>
          </cell>
          <cell r="W286">
            <v>493.9</v>
          </cell>
        </row>
        <row r="287">
          <cell r="A287" t="str">
            <v>5318-1</v>
          </cell>
          <cell r="B287">
            <v>41598</v>
          </cell>
          <cell r="C287" t="str">
            <v>Toby Knight</v>
          </cell>
          <cell r="D287" t="str">
            <v>Crown Complex,Southbank</v>
          </cell>
          <cell r="E287" t="str">
            <v>Melbourne</v>
          </cell>
          <cell r="F287" t="str">
            <v>VIC</v>
          </cell>
          <cell r="G287" t="str">
            <v>Corporate</v>
          </cell>
          <cell r="H287" t="str">
            <v>Connor Betts</v>
          </cell>
          <cell r="I287" t="str">
            <v>Not Specified</v>
          </cell>
          <cell r="J287" t="str">
            <v>Steady Liquid Accent Highlighters</v>
          </cell>
          <cell r="K287" t="str">
            <v>Office Supplies</v>
          </cell>
          <cell r="L287" t="str">
            <v>Wrap Bag</v>
          </cell>
          <cell r="M287" t="str">
            <v>Regular Air</v>
          </cell>
          <cell r="N287">
            <v>41599</v>
          </cell>
          <cell r="O287">
            <v>3.47</v>
          </cell>
          <cell r="P287">
            <v>6.68</v>
          </cell>
          <cell r="Q287">
            <v>15</v>
          </cell>
          <cell r="R287">
            <v>100.19999999999999</v>
          </cell>
          <cell r="S287">
            <v>0.03</v>
          </cell>
          <cell r="T287">
            <v>3.0059999999999993</v>
          </cell>
          <cell r="U287">
            <v>100.16999999999999</v>
          </cell>
          <cell r="V287">
            <v>1.5</v>
          </cell>
          <cell r="W287">
            <v>101.66999999999999</v>
          </cell>
        </row>
        <row r="288">
          <cell r="A288" t="str">
            <v>5319-1</v>
          </cell>
          <cell r="B288">
            <v>41601</v>
          </cell>
          <cell r="C288" t="str">
            <v>Justin Hirsh</v>
          </cell>
          <cell r="D288" t="str">
            <v>Qantas Domestic Terminal,Mascot</v>
          </cell>
          <cell r="E288" t="str">
            <v>Sydney</v>
          </cell>
          <cell r="F288" t="str">
            <v>NSW</v>
          </cell>
          <cell r="G288" t="str">
            <v>Consumer</v>
          </cell>
          <cell r="H288" t="str">
            <v>Phoebe Gour</v>
          </cell>
          <cell r="I288" t="str">
            <v>Not Specified</v>
          </cell>
          <cell r="J288" t="str">
            <v>3Max Polarizing Light Filter Sleeves</v>
          </cell>
          <cell r="K288" t="str">
            <v>Furniture</v>
          </cell>
          <cell r="L288" t="str">
            <v>Small Pack</v>
          </cell>
          <cell r="M288" t="str">
            <v>Regular Air</v>
          </cell>
          <cell r="N288">
            <v>41602</v>
          </cell>
          <cell r="O288">
            <v>11.38</v>
          </cell>
          <cell r="P288">
            <v>18.649999999999999</v>
          </cell>
          <cell r="Q288">
            <v>19</v>
          </cell>
          <cell r="R288">
            <v>354.34999999999997</v>
          </cell>
          <cell r="S288">
            <v>7.0000000000000007E-2</v>
          </cell>
          <cell r="T288">
            <v>24.804500000000001</v>
          </cell>
          <cell r="U288">
            <v>354.28</v>
          </cell>
          <cell r="V288">
            <v>3.77</v>
          </cell>
          <cell r="W288">
            <v>358.04999999999995</v>
          </cell>
        </row>
        <row r="289">
          <cell r="A289" t="str">
            <v>5321-1</v>
          </cell>
          <cell r="B289">
            <v>41601</v>
          </cell>
          <cell r="C289" t="str">
            <v>Sarah Foster</v>
          </cell>
          <cell r="D289" t="str">
            <v>Sydney Fish Market, Bank Street, Sydney</v>
          </cell>
          <cell r="E289" t="str">
            <v>Sydney</v>
          </cell>
          <cell r="F289" t="str">
            <v>NSW</v>
          </cell>
          <cell r="G289" t="str">
            <v>Corporate</v>
          </cell>
          <cell r="H289" t="str">
            <v>Phoebe Gour</v>
          </cell>
          <cell r="I289" t="str">
            <v>Medium</v>
          </cell>
          <cell r="J289" t="str">
            <v>Binder Posts</v>
          </cell>
          <cell r="K289" t="str">
            <v>Office Supplies</v>
          </cell>
          <cell r="L289" t="str">
            <v>Small Box</v>
          </cell>
          <cell r="M289" t="str">
            <v>Express Air</v>
          </cell>
          <cell r="N289">
            <v>41603</v>
          </cell>
          <cell r="O289">
            <v>3.5</v>
          </cell>
          <cell r="P289">
            <v>5.74</v>
          </cell>
          <cell r="Q289">
            <v>27</v>
          </cell>
          <cell r="R289">
            <v>154.98000000000002</v>
          </cell>
          <cell r="S289">
            <v>0.08</v>
          </cell>
          <cell r="T289">
            <v>12.398400000000002</v>
          </cell>
          <cell r="U289">
            <v>154.9</v>
          </cell>
          <cell r="V289">
            <v>5.01</v>
          </cell>
          <cell r="W289">
            <v>159.91</v>
          </cell>
        </row>
        <row r="290">
          <cell r="A290" t="str">
            <v>5323-1</v>
          </cell>
          <cell r="B290">
            <v>41605</v>
          </cell>
          <cell r="C290" t="str">
            <v>Tanja Norvell</v>
          </cell>
          <cell r="D290" t="str">
            <v>541 Church St,Richmond</v>
          </cell>
          <cell r="E290" t="str">
            <v>Melbourne</v>
          </cell>
          <cell r="F290" t="str">
            <v>VIC</v>
          </cell>
          <cell r="G290" t="str">
            <v>Consumer</v>
          </cell>
          <cell r="H290" t="str">
            <v>Yvette Biti</v>
          </cell>
          <cell r="I290" t="str">
            <v>Critical</v>
          </cell>
          <cell r="J290" t="str">
            <v>UGen RF Keyboard</v>
          </cell>
          <cell r="K290" t="str">
            <v>Technology</v>
          </cell>
          <cell r="L290" t="str">
            <v>Small Box</v>
          </cell>
          <cell r="M290" t="str">
            <v>Regular Air</v>
          </cell>
          <cell r="N290">
            <v>41607</v>
          </cell>
          <cell r="O290">
            <v>81.59</v>
          </cell>
          <cell r="P290">
            <v>159.99</v>
          </cell>
          <cell r="Q290">
            <v>50</v>
          </cell>
          <cell r="R290">
            <v>7999.5</v>
          </cell>
          <cell r="S290">
            <v>0.05</v>
          </cell>
          <cell r="T290">
            <v>399.97500000000002</v>
          </cell>
          <cell r="U290">
            <v>7999.45</v>
          </cell>
          <cell r="V290">
            <v>5.5</v>
          </cell>
          <cell r="W290">
            <v>8004.95</v>
          </cell>
        </row>
        <row r="291">
          <cell r="A291" t="str">
            <v>5324-1</v>
          </cell>
          <cell r="B291">
            <v>41607</v>
          </cell>
          <cell r="C291" t="str">
            <v>Maya Herman</v>
          </cell>
          <cell r="D291" t="str">
            <v>273 George Street,Sydney</v>
          </cell>
          <cell r="E291" t="str">
            <v>Sydney</v>
          </cell>
          <cell r="F291" t="str">
            <v>NSW</v>
          </cell>
          <cell r="G291" t="str">
            <v>Corporate</v>
          </cell>
          <cell r="H291" t="str">
            <v>Leighton Forrest</v>
          </cell>
          <cell r="I291" t="str">
            <v>High</v>
          </cell>
          <cell r="J291" t="str">
            <v>Emerson C82 Color Inkjet Printer</v>
          </cell>
          <cell r="K291" t="str">
            <v>Technology</v>
          </cell>
          <cell r="L291" t="str">
            <v>Jumbo Drum</v>
          </cell>
          <cell r="M291" t="str">
            <v>Delivery Truck</v>
          </cell>
          <cell r="N291">
            <v>41609</v>
          </cell>
          <cell r="O291">
            <v>76.790000000000006</v>
          </cell>
          <cell r="P291">
            <v>119.99</v>
          </cell>
          <cell r="Q291">
            <v>8</v>
          </cell>
          <cell r="R291">
            <v>959.92</v>
          </cell>
          <cell r="S291">
            <v>0.09</v>
          </cell>
          <cell r="T291">
            <v>86.392799999999994</v>
          </cell>
          <cell r="U291">
            <v>959.82999999999993</v>
          </cell>
          <cell r="V291">
            <v>14</v>
          </cell>
          <cell r="W291">
            <v>973.82999999999993</v>
          </cell>
        </row>
        <row r="292">
          <cell r="A292" t="str">
            <v>5326-1</v>
          </cell>
          <cell r="B292">
            <v>41613</v>
          </cell>
          <cell r="C292" t="str">
            <v>Trudy Brown</v>
          </cell>
          <cell r="D292" t="str">
            <v>180 High Street,Windsor</v>
          </cell>
          <cell r="E292" t="str">
            <v>Melbourne</v>
          </cell>
          <cell r="F292" t="str">
            <v>VIC</v>
          </cell>
          <cell r="G292" t="str">
            <v>Small Business</v>
          </cell>
          <cell r="H292" t="str">
            <v>Connor Betts</v>
          </cell>
          <cell r="I292" t="str">
            <v>Not Specified</v>
          </cell>
          <cell r="J292" t="str">
            <v>Steady 52201 APSCO Electric Pencil Sharpener</v>
          </cell>
          <cell r="K292" t="str">
            <v>Office Supplies</v>
          </cell>
          <cell r="L292" t="str">
            <v>Small Pack</v>
          </cell>
          <cell r="M292" t="str">
            <v>Express Air</v>
          </cell>
          <cell r="N292">
            <v>41615</v>
          </cell>
          <cell r="O292">
            <v>16.8</v>
          </cell>
          <cell r="P292">
            <v>40.97</v>
          </cell>
          <cell r="Q292">
            <v>49</v>
          </cell>
          <cell r="R292">
            <v>2007.53</v>
          </cell>
          <cell r="S292">
            <v>0.09</v>
          </cell>
          <cell r="T292">
            <v>180.67769999999999</v>
          </cell>
          <cell r="U292">
            <v>2007.44</v>
          </cell>
          <cell r="V292">
            <v>8.99</v>
          </cell>
          <cell r="W292">
            <v>2016.43</v>
          </cell>
        </row>
        <row r="293">
          <cell r="A293" t="str">
            <v>5328-1</v>
          </cell>
          <cell r="B293">
            <v>41616</v>
          </cell>
          <cell r="C293" t="str">
            <v>Gary Hwang</v>
          </cell>
          <cell r="D293" t="str">
            <v>60 York St,Sydney</v>
          </cell>
          <cell r="E293" t="str">
            <v>Sydney</v>
          </cell>
          <cell r="F293" t="str">
            <v>NSW</v>
          </cell>
          <cell r="G293" t="str">
            <v>Home Office</v>
          </cell>
          <cell r="H293" t="str">
            <v>Charlie Bui</v>
          </cell>
          <cell r="I293" t="str">
            <v>Low</v>
          </cell>
          <cell r="J293" t="str">
            <v>Smiths Metal Binder Clips</v>
          </cell>
          <cell r="K293" t="str">
            <v>Office Supplies</v>
          </cell>
          <cell r="L293" t="str">
            <v>Wrap Bag</v>
          </cell>
          <cell r="M293" t="str">
            <v>Regular Air</v>
          </cell>
          <cell r="N293">
            <v>41623</v>
          </cell>
          <cell r="O293">
            <v>1.6</v>
          </cell>
          <cell r="P293">
            <v>2.62</v>
          </cell>
          <cell r="Q293">
            <v>47</v>
          </cell>
          <cell r="R293">
            <v>123.14</v>
          </cell>
          <cell r="S293">
            <v>0.1</v>
          </cell>
          <cell r="T293">
            <v>12.314</v>
          </cell>
          <cell r="U293">
            <v>123.04</v>
          </cell>
          <cell r="V293">
            <v>0.8</v>
          </cell>
          <cell r="W293">
            <v>123.84</v>
          </cell>
        </row>
        <row r="294">
          <cell r="A294" t="str">
            <v>5330-1</v>
          </cell>
          <cell r="B294">
            <v>41616</v>
          </cell>
          <cell r="C294" t="str">
            <v>Larry Tron</v>
          </cell>
          <cell r="D294" t="str">
            <v>4A Lyons St,Strathfield</v>
          </cell>
          <cell r="E294" t="str">
            <v>Sydney</v>
          </cell>
          <cell r="F294" t="str">
            <v>NSW</v>
          </cell>
          <cell r="G294" t="str">
            <v>Home Office</v>
          </cell>
          <cell r="H294" t="str">
            <v>Tina Carlton</v>
          </cell>
          <cell r="I294" t="str">
            <v>Medium</v>
          </cell>
          <cell r="J294" t="str">
            <v>Steady Pocket Accent Highlighters</v>
          </cell>
          <cell r="K294" t="str">
            <v>Office Supplies</v>
          </cell>
          <cell r="L294" t="str">
            <v>Wrap Bag</v>
          </cell>
          <cell r="M294" t="str">
            <v>Regular Air</v>
          </cell>
          <cell r="N294">
            <v>41616</v>
          </cell>
          <cell r="O294">
            <v>0.93</v>
          </cell>
          <cell r="P294">
            <v>1.6</v>
          </cell>
          <cell r="Q294">
            <v>25</v>
          </cell>
          <cell r="R294">
            <v>40</v>
          </cell>
          <cell r="S294">
            <v>0.1</v>
          </cell>
          <cell r="T294">
            <v>4</v>
          </cell>
          <cell r="U294">
            <v>39.9</v>
          </cell>
          <cell r="V294">
            <v>1.29</v>
          </cell>
          <cell r="W294">
            <v>41.19</v>
          </cell>
        </row>
        <row r="295">
          <cell r="A295" t="str">
            <v>5332-1</v>
          </cell>
          <cell r="B295">
            <v>41617</v>
          </cell>
          <cell r="C295" t="str">
            <v>Dan Campbell</v>
          </cell>
          <cell r="D295" t="str">
            <v>1/173-179 Bronte Rd,Waverley</v>
          </cell>
          <cell r="E295" t="str">
            <v>Sydney</v>
          </cell>
          <cell r="F295" t="str">
            <v>NSW</v>
          </cell>
          <cell r="G295" t="str">
            <v>Corporate</v>
          </cell>
          <cell r="H295" t="str">
            <v>Leighton Forrest</v>
          </cell>
          <cell r="I295" t="str">
            <v>Critical</v>
          </cell>
          <cell r="J295" t="str">
            <v>Bagged Rubber Bands</v>
          </cell>
          <cell r="K295" t="str">
            <v>Office Supplies</v>
          </cell>
          <cell r="L295" t="str">
            <v>Wrap Bag</v>
          </cell>
          <cell r="M295" t="str">
            <v>Regular Air</v>
          </cell>
          <cell r="N295">
            <v>41617</v>
          </cell>
          <cell r="O295">
            <v>0.24</v>
          </cell>
          <cell r="P295">
            <v>1.26</v>
          </cell>
          <cell r="Q295">
            <v>9</v>
          </cell>
          <cell r="R295">
            <v>11.34</v>
          </cell>
          <cell r="S295">
            <v>0.06</v>
          </cell>
          <cell r="T295">
            <v>0.6804</v>
          </cell>
          <cell r="U295">
            <v>11.28</v>
          </cell>
          <cell r="V295">
            <v>0.7</v>
          </cell>
          <cell r="W295">
            <v>11.979999999999999</v>
          </cell>
        </row>
        <row r="296">
          <cell r="A296" t="str">
            <v>5334-1</v>
          </cell>
          <cell r="B296">
            <v>41618</v>
          </cell>
          <cell r="C296" t="str">
            <v>Eric Barreto</v>
          </cell>
          <cell r="D296" t="str">
            <v>359 Crown Street,Surry Hills</v>
          </cell>
          <cell r="E296" t="str">
            <v>Sydney</v>
          </cell>
          <cell r="F296" t="str">
            <v>NSW</v>
          </cell>
          <cell r="G296" t="str">
            <v>Small Business</v>
          </cell>
          <cell r="H296" t="str">
            <v>Phoebe Gour</v>
          </cell>
          <cell r="I296" t="str">
            <v>Not Specified</v>
          </cell>
          <cell r="J296" t="str">
            <v>Artisan Hanging File Binders</v>
          </cell>
          <cell r="K296" t="str">
            <v>Office Supplies</v>
          </cell>
          <cell r="L296" t="str">
            <v>Small Box</v>
          </cell>
          <cell r="M296" t="str">
            <v>Regular Air</v>
          </cell>
          <cell r="N296">
            <v>41620</v>
          </cell>
          <cell r="O296">
            <v>3.65</v>
          </cell>
          <cell r="P296">
            <v>5.98</v>
          </cell>
          <cell r="Q296">
            <v>25</v>
          </cell>
          <cell r="R296">
            <v>149.5</v>
          </cell>
          <cell r="S296">
            <v>0.03</v>
          </cell>
          <cell r="T296">
            <v>4.4849999999999994</v>
          </cell>
          <cell r="U296">
            <v>149.47</v>
          </cell>
          <cell r="V296">
            <v>1.49</v>
          </cell>
          <cell r="W296">
            <v>150.96</v>
          </cell>
        </row>
        <row r="297">
          <cell r="A297" t="str">
            <v>5336-1</v>
          </cell>
          <cell r="B297">
            <v>41619</v>
          </cell>
          <cell r="C297" t="str">
            <v>Bill Stewart</v>
          </cell>
          <cell r="D297" t="str">
            <v>188 Pitt Street,Sydney</v>
          </cell>
          <cell r="E297" t="str">
            <v>Sydney</v>
          </cell>
          <cell r="F297" t="str">
            <v>NSW</v>
          </cell>
          <cell r="G297" t="str">
            <v>Corporate</v>
          </cell>
          <cell r="H297" t="str">
            <v>Tina Carlton</v>
          </cell>
          <cell r="I297" t="str">
            <v>Low</v>
          </cell>
          <cell r="J297" t="str">
            <v>Binding Machine Supplies</v>
          </cell>
          <cell r="K297" t="str">
            <v>Office Supplies</v>
          </cell>
          <cell r="L297" t="str">
            <v>Small Box</v>
          </cell>
          <cell r="M297" t="str">
            <v>Regular Air</v>
          </cell>
          <cell r="N297">
            <v>41623</v>
          </cell>
          <cell r="O297">
            <v>18.38</v>
          </cell>
          <cell r="P297">
            <v>29.17</v>
          </cell>
          <cell r="Q297">
            <v>16</v>
          </cell>
          <cell r="R297">
            <v>466.72</v>
          </cell>
          <cell r="S297">
            <v>7.0000000000000007E-2</v>
          </cell>
          <cell r="T297">
            <v>32.670400000000008</v>
          </cell>
          <cell r="U297">
            <v>466.65000000000003</v>
          </cell>
          <cell r="V297">
            <v>6.27</v>
          </cell>
          <cell r="W297">
            <v>472.92</v>
          </cell>
        </row>
        <row r="298">
          <cell r="A298" t="str">
            <v>5340-1</v>
          </cell>
          <cell r="B298">
            <v>41621</v>
          </cell>
          <cell r="C298" t="str">
            <v>Joseph Airdo</v>
          </cell>
          <cell r="D298" t="str">
            <v>Westfield Sydney,Sydney</v>
          </cell>
          <cell r="E298" t="str">
            <v>Sydney</v>
          </cell>
          <cell r="F298" t="str">
            <v>NSW</v>
          </cell>
          <cell r="G298" t="str">
            <v>Consumer</v>
          </cell>
          <cell r="H298" t="str">
            <v>Natasha Song</v>
          </cell>
          <cell r="I298" t="str">
            <v>Not Specified</v>
          </cell>
          <cell r="J298" t="str">
            <v>Artisan Binding System Hidden Tab Executive Style Index Sets</v>
          </cell>
          <cell r="K298" t="str">
            <v>Office Supplies</v>
          </cell>
          <cell r="L298" t="str">
            <v>Small Box</v>
          </cell>
          <cell r="M298" t="str">
            <v>Regular Air</v>
          </cell>
          <cell r="N298">
            <v>41622</v>
          </cell>
          <cell r="O298">
            <v>3.75</v>
          </cell>
          <cell r="P298">
            <v>5.77</v>
          </cell>
          <cell r="Q298">
            <v>9</v>
          </cell>
          <cell r="R298">
            <v>51.929999999999993</v>
          </cell>
          <cell r="S298">
            <v>0</v>
          </cell>
          <cell r="T298">
            <v>0</v>
          </cell>
          <cell r="U298">
            <v>51.929999999999993</v>
          </cell>
          <cell r="V298">
            <v>4.97</v>
          </cell>
          <cell r="W298">
            <v>56.899999999999991</v>
          </cell>
        </row>
        <row r="299">
          <cell r="A299" t="str">
            <v>5342-1</v>
          </cell>
          <cell r="B299">
            <v>41621</v>
          </cell>
          <cell r="C299" t="str">
            <v>Ben Peterman</v>
          </cell>
          <cell r="D299" t="str">
            <v>485 Crown St,Surry Hills</v>
          </cell>
          <cell r="E299" t="str">
            <v>Sydney</v>
          </cell>
          <cell r="F299" t="str">
            <v>NSW</v>
          </cell>
          <cell r="G299" t="str">
            <v>Corporate</v>
          </cell>
          <cell r="H299" t="str">
            <v>Leighton Forrest</v>
          </cell>
          <cell r="I299" t="str">
            <v>Critical</v>
          </cell>
          <cell r="J299" t="str">
            <v>Artisan Hi-Liter GlideStik Fluorescent Highlighter, Yellow Ink</v>
          </cell>
          <cell r="K299" t="str">
            <v>Office Supplies</v>
          </cell>
          <cell r="L299" t="str">
            <v>Wrap Bag</v>
          </cell>
          <cell r="M299" t="str">
            <v>Regular Air</v>
          </cell>
          <cell r="N299">
            <v>41623</v>
          </cell>
          <cell r="O299">
            <v>1.92</v>
          </cell>
          <cell r="P299">
            <v>3.26</v>
          </cell>
          <cell r="Q299">
            <v>6</v>
          </cell>
          <cell r="R299">
            <v>19.559999999999999</v>
          </cell>
          <cell r="S299">
            <v>0.01</v>
          </cell>
          <cell r="T299">
            <v>0.1956</v>
          </cell>
          <cell r="U299">
            <v>19.549999999999997</v>
          </cell>
          <cell r="V299">
            <v>1.86</v>
          </cell>
          <cell r="W299">
            <v>21.409999999999997</v>
          </cell>
        </row>
        <row r="300">
          <cell r="A300" t="str">
            <v>5343-1</v>
          </cell>
          <cell r="B300">
            <v>41624</v>
          </cell>
          <cell r="C300" t="str">
            <v>Henry Goldwyn</v>
          </cell>
          <cell r="D300" t="str">
            <v>541 Church St,Richmond</v>
          </cell>
          <cell r="E300" t="str">
            <v>Melbourne</v>
          </cell>
          <cell r="F300" t="str">
            <v>VIC</v>
          </cell>
          <cell r="G300" t="str">
            <v>Small Business</v>
          </cell>
          <cell r="H300" t="str">
            <v>Yvette Biti</v>
          </cell>
          <cell r="I300" t="str">
            <v>Critical</v>
          </cell>
          <cell r="J300" t="str">
            <v>Artisan 487 Labels</v>
          </cell>
          <cell r="K300" t="str">
            <v>Office Supplies</v>
          </cell>
          <cell r="L300" t="str">
            <v>Small Box</v>
          </cell>
          <cell r="M300" t="str">
            <v>Regular Air</v>
          </cell>
          <cell r="N300">
            <v>41627</v>
          </cell>
          <cell r="O300">
            <v>2.29</v>
          </cell>
          <cell r="P300">
            <v>3.69</v>
          </cell>
          <cell r="Q300">
            <v>45</v>
          </cell>
          <cell r="R300">
            <v>166.05</v>
          </cell>
          <cell r="S300">
            <v>0.08</v>
          </cell>
          <cell r="T300">
            <v>13.284000000000001</v>
          </cell>
          <cell r="U300">
            <v>165.97</v>
          </cell>
          <cell r="V300">
            <v>0.5</v>
          </cell>
          <cell r="W300">
            <v>166.47</v>
          </cell>
        </row>
        <row r="301">
          <cell r="A301" t="str">
            <v>5345-1</v>
          </cell>
          <cell r="B301">
            <v>41625</v>
          </cell>
          <cell r="C301" t="str">
            <v>Tony Molinari</v>
          </cell>
          <cell r="D301" t="str">
            <v>85-113 Dunning Ave,Rosebery</v>
          </cell>
          <cell r="E301" t="str">
            <v>Sydney</v>
          </cell>
          <cell r="F301" t="str">
            <v>NSW</v>
          </cell>
          <cell r="G301" t="str">
            <v>Corporate</v>
          </cell>
          <cell r="H301" t="str">
            <v>Mihael Khan</v>
          </cell>
          <cell r="I301" t="str">
            <v>Critical</v>
          </cell>
          <cell r="J301" t="str">
            <v>Artisan Printable Repositionable Plastic Tabs</v>
          </cell>
          <cell r="K301" t="str">
            <v>Office Supplies</v>
          </cell>
          <cell r="L301" t="str">
            <v>Small Box</v>
          </cell>
          <cell r="M301" t="str">
            <v>Regular Air</v>
          </cell>
          <cell r="N301">
            <v>41627</v>
          </cell>
          <cell r="O301">
            <v>5.33</v>
          </cell>
          <cell r="P301">
            <v>8.6</v>
          </cell>
          <cell r="Q301">
            <v>23</v>
          </cell>
          <cell r="R301">
            <v>197.79999999999998</v>
          </cell>
          <cell r="S301">
            <v>0.02</v>
          </cell>
          <cell r="T301">
            <v>3.956</v>
          </cell>
          <cell r="U301">
            <v>197.77999999999997</v>
          </cell>
          <cell r="V301">
            <v>6.19</v>
          </cell>
          <cell r="W301">
            <v>203.96999999999997</v>
          </cell>
        </row>
        <row r="302">
          <cell r="A302" t="str">
            <v>5346-1</v>
          </cell>
          <cell r="B302">
            <v>41627</v>
          </cell>
          <cell r="C302" t="str">
            <v>Joy Smith</v>
          </cell>
          <cell r="D302" t="str">
            <v>221 Barkly St,St Kilda</v>
          </cell>
          <cell r="E302" t="str">
            <v>Melbourne</v>
          </cell>
          <cell r="F302" t="str">
            <v>VIC</v>
          </cell>
          <cell r="G302" t="str">
            <v>Consumer</v>
          </cell>
          <cell r="H302" t="str">
            <v>Yvette Biti</v>
          </cell>
          <cell r="I302" t="str">
            <v>High</v>
          </cell>
          <cell r="J302" t="str">
            <v>TechSavi Cordless Navigator Duo</v>
          </cell>
          <cell r="K302" t="str">
            <v>Technology</v>
          </cell>
          <cell r="L302" t="str">
            <v>Small Box</v>
          </cell>
          <cell r="M302" t="str">
            <v>Regular Air</v>
          </cell>
          <cell r="N302">
            <v>41629</v>
          </cell>
          <cell r="O302">
            <v>42.11</v>
          </cell>
          <cell r="P302">
            <v>80.98</v>
          </cell>
          <cell r="Q302">
            <v>13</v>
          </cell>
          <cell r="R302">
            <v>1052.74</v>
          </cell>
          <cell r="S302">
            <v>0.03</v>
          </cell>
          <cell r="T302">
            <v>31.5822</v>
          </cell>
          <cell r="U302">
            <v>1052.71</v>
          </cell>
          <cell r="V302">
            <v>7.18</v>
          </cell>
          <cell r="W302">
            <v>1059.8900000000001</v>
          </cell>
        </row>
        <row r="303">
          <cell r="A303" t="str">
            <v>5347-1</v>
          </cell>
          <cell r="B303">
            <v>41631</v>
          </cell>
          <cell r="C303" t="str">
            <v>Brian Dahlen</v>
          </cell>
          <cell r="D303" t="str">
            <v>1-2/299 Sussex St,Sydney</v>
          </cell>
          <cell r="E303" t="str">
            <v>Sydney</v>
          </cell>
          <cell r="F303" t="str">
            <v>NSW</v>
          </cell>
          <cell r="G303" t="str">
            <v>Small Business</v>
          </cell>
          <cell r="H303" t="str">
            <v>Aanya Zhang</v>
          </cell>
          <cell r="I303" t="str">
            <v>Critical</v>
          </cell>
          <cell r="J303" t="str">
            <v>Adesso Programmable 142-Key Keyboard</v>
          </cell>
          <cell r="K303" t="str">
            <v>Technology</v>
          </cell>
          <cell r="L303" t="str">
            <v>Small Box</v>
          </cell>
          <cell r="M303" t="str">
            <v>Regular Air</v>
          </cell>
          <cell r="N303">
            <v>41633</v>
          </cell>
          <cell r="O303">
            <v>39.64</v>
          </cell>
          <cell r="P303">
            <v>152.47999999999999</v>
          </cell>
          <cell r="Q303">
            <v>41</v>
          </cell>
          <cell r="R303">
            <v>6251.6799999999994</v>
          </cell>
          <cell r="S303">
            <v>7.0000000000000007E-2</v>
          </cell>
          <cell r="T303">
            <v>437.61759999999998</v>
          </cell>
          <cell r="U303">
            <v>6251.61</v>
          </cell>
          <cell r="V303">
            <v>6.5</v>
          </cell>
          <cell r="W303">
            <v>6258.11</v>
          </cell>
        </row>
        <row r="304">
          <cell r="A304" t="str">
            <v>5349-1</v>
          </cell>
          <cell r="B304">
            <v>41631</v>
          </cell>
          <cell r="C304" t="str">
            <v>Don Miller</v>
          </cell>
          <cell r="D304" t="str">
            <v>120 Hardware St,Melbourne</v>
          </cell>
          <cell r="E304" t="str">
            <v>Melbourne</v>
          </cell>
          <cell r="F304" t="str">
            <v>VIC</v>
          </cell>
          <cell r="G304" t="str">
            <v>Home Office</v>
          </cell>
          <cell r="H304" t="str">
            <v>Connor Betts</v>
          </cell>
          <cell r="I304" t="str">
            <v>Medium</v>
          </cell>
          <cell r="J304" t="str">
            <v>Artisan 478 Labels</v>
          </cell>
          <cell r="K304" t="str">
            <v>Office Supplies</v>
          </cell>
          <cell r="L304" t="str">
            <v>Small Box</v>
          </cell>
          <cell r="M304" t="str">
            <v>Regular Air</v>
          </cell>
          <cell r="N304">
            <v>41631</v>
          </cell>
          <cell r="O304">
            <v>3.14</v>
          </cell>
          <cell r="P304">
            <v>4.91</v>
          </cell>
          <cell r="Q304">
            <v>12</v>
          </cell>
          <cell r="R304">
            <v>58.92</v>
          </cell>
          <cell r="S304">
            <v>0.04</v>
          </cell>
          <cell r="T304">
            <v>2.3568000000000002</v>
          </cell>
          <cell r="U304">
            <v>58.88</v>
          </cell>
          <cell r="V304">
            <v>0.5</v>
          </cell>
          <cell r="W304">
            <v>59.38</v>
          </cell>
        </row>
        <row r="305">
          <cell r="A305" t="str">
            <v>5350-1</v>
          </cell>
          <cell r="B305">
            <v>41635</v>
          </cell>
          <cell r="C305" t="str">
            <v>Denise Monton</v>
          </cell>
          <cell r="D305" t="str">
            <v>2/797 Botany Rd,Rosebery</v>
          </cell>
          <cell r="E305" t="str">
            <v>Sydney</v>
          </cell>
          <cell r="F305" t="str">
            <v>NSW</v>
          </cell>
          <cell r="G305" t="str">
            <v>Home Office</v>
          </cell>
          <cell r="H305" t="str">
            <v>Samantha Chairs</v>
          </cell>
          <cell r="I305" t="str">
            <v>Low</v>
          </cell>
          <cell r="J305" t="str">
            <v>Binding Machine Supplies</v>
          </cell>
          <cell r="K305" t="str">
            <v>Office Supplies</v>
          </cell>
          <cell r="L305" t="str">
            <v>Small Box</v>
          </cell>
          <cell r="M305" t="str">
            <v>Regular Air</v>
          </cell>
          <cell r="N305">
            <v>41637</v>
          </cell>
          <cell r="O305">
            <v>18.38</v>
          </cell>
          <cell r="P305">
            <v>29.17</v>
          </cell>
          <cell r="Q305">
            <v>37</v>
          </cell>
          <cell r="R305">
            <v>1079.29</v>
          </cell>
          <cell r="S305">
            <v>0.09</v>
          </cell>
          <cell r="T305">
            <v>97.136099999999999</v>
          </cell>
          <cell r="U305">
            <v>1079.2</v>
          </cell>
          <cell r="V305">
            <v>6.27</v>
          </cell>
          <cell r="W305">
            <v>1085.47</v>
          </cell>
        </row>
        <row r="306">
          <cell r="A306" t="str">
            <v>5352-1</v>
          </cell>
          <cell r="B306">
            <v>41637</v>
          </cell>
          <cell r="C306" t="str">
            <v>Christy Brittain</v>
          </cell>
          <cell r="D306" t="str">
            <v>Shop 1, 186-190 Church Street,Parramatta;46a Macleay Street,Potts Point</v>
          </cell>
          <cell r="E306" t="str">
            <v>Sydney</v>
          </cell>
          <cell r="F306" t="str">
            <v>NSW</v>
          </cell>
          <cell r="G306" t="str">
            <v>Consumer</v>
          </cell>
          <cell r="H306" t="str">
            <v>Mihael Khan</v>
          </cell>
          <cell r="I306" t="str">
            <v>Medium</v>
          </cell>
          <cell r="J306" t="str">
            <v>DrawIt Pizazz Watercolor Pencils, 10-Color Set with Brush</v>
          </cell>
          <cell r="K306" t="str">
            <v>Office Supplies</v>
          </cell>
          <cell r="L306" t="str">
            <v>Wrap Bag</v>
          </cell>
          <cell r="M306" t="str">
            <v>Regular Air</v>
          </cell>
          <cell r="N306">
            <v>41638</v>
          </cell>
          <cell r="O306">
            <v>2.39</v>
          </cell>
          <cell r="P306">
            <v>4.26</v>
          </cell>
          <cell r="Q306">
            <v>26</v>
          </cell>
          <cell r="R306">
            <v>110.75999999999999</v>
          </cell>
          <cell r="S306">
            <v>0.1</v>
          </cell>
          <cell r="T306">
            <v>11.076000000000001</v>
          </cell>
          <cell r="U306">
            <v>110.66</v>
          </cell>
          <cell r="V306">
            <v>1.2</v>
          </cell>
          <cell r="W306">
            <v>111.86</v>
          </cell>
        </row>
        <row r="307">
          <cell r="A307" t="str">
            <v>5354-1</v>
          </cell>
          <cell r="B307">
            <v>41637</v>
          </cell>
          <cell r="C307" t="str">
            <v>John Castell</v>
          </cell>
          <cell r="D307" t="str">
            <v>38/133-145 Castlereagh St,Sydney</v>
          </cell>
          <cell r="E307" t="str">
            <v>Sydney</v>
          </cell>
          <cell r="F307" t="str">
            <v>NSW</v>
          </cell>
          <cell r="G307" t="str">
            <v>Small Business</v>
          </cell>
          <cell r="H307" t="str">
            <v>Natasha Song</v>
          </cell>
          <cell r="I307" t="str">
            <v>Not Specified</v>
          </cell>
          <cell r="J307" t="str">
            <v>TechSavi Cordless Elite Duo</v>
          </cell>
          <cell r="K307" t="str">
            <v>Technology</v>
          </cell>
          <cell r="L307" t="str">
            <v>Small Box</v>
          </cell>
          <cell r="M307" t="str">
            <v>Regular Air</v>
          </cell>
          <cell r="N307">
            <v>41638</v>
          </cell>
          <cell r="O307">
            <v>60.59</v>
          </cell>
          <cell r="P307">
            <v>100.98</v>
          </cell>
          <cell r="Q307">
            <v>1</v>
          </cell>
          <cell r="R307">
            <v>100.98</v>
          </cell>
          <cell r="S307">
            <v>0.1</v>
          </cell>
          <cell r="T307">
            <v>10.098000000000001</v>
          </cell>
          <cell r="U307">
            <v>100.88000000000001</v>
          </cell>
          <cell r="V307">
            <v>7.18</v>
          </cell>
          <cell r="W307">
            <v>108.06</v>
          </cell>
        </row>
        <row r="308">
          <cell r="A308" t="str">
            <v>5355-1</v>
          </cell>
          <cell r="B308">
            <v>41638</v>
          </cell>
          <cell r="C308" t="str">
            <v>Duane Huffman</v>
          </cell>
          <cell r="D308" t="str">
            <v>98 Holdsworth Street,Woollahra</v>
          </cell>
          <cell r="E308" t="str">
            <v>Sydney</v>
          </cell>
          <cell r="F308" t="str">
            <v>NSW</v>
          </cell>
          <cell r="G308" t="str">
            <v>Small Business</v>
          </cell>
          <cell r="H308" t="str">
            <v>Natasha Song</v>
          </cell>
          <cell r="I308" t="str">
            <v>High</v>
          </cell>
          <cell r="J308" t="str">
            <v>Apex Forged Steel Scissors with Black Enamel Handles</v>
          </cell>
          <cell r="K308" t="str">
            <v>Office Supplies</v>
          </cell>
          <cell r="L308" t="str">
            <v>Small Pack</v>
          </cell>
          <cell r="M308" t="str">
            <v>Regular Air</v>
          </cell>
          <cell r="N308">
            <v>41639</v>
          </cell>
          <cell r="O308">
            <v>4.0999999999999996</v>
          </cell>
          <cell r="P308">
            <v>9.31</v>
          </cell>
          <cell r="Q308">
            <v>18</v>
          </cell>
          <cell r="R308">
            <v>167.58</v>
          </cell>
          <cell r="S308">
            <v>0.01</v>
          </cell>
          <cell r="T308">
            <v>1.6758000000000002</v>
          </cell>
          <cell r="U308">
            <v>167.57000000000002</v>
          </cell>
          <cell r="V308">
            <v>3.98</v>
          </cell>
          <cell r="W308">
            <v>171.55</v>
          </cell>
        </row>
        <row r="309">
          <cell r="A309" t="str">
            <v>5357-1</v>
          </cell>
          <cell r="B309">
            <v>41638</v>
          </cell>
          <cell r="C309" t="str">
            <v>Trudy Brown</v>
          </cell>
          <cell r="D309" t="str">
            <v>180 High Street,Windsor</v>
          </cell>
          <cell r="E309" t="str">
            <v>Melbourne</v>
          </cell>
          <cell r="F309" t="str">
            <v>VIC</v>
          </cell>
          <cell r="G309" t="str">
            <v>Small Business</v>
          </cell>
          <cell r="H309" t="str">
            <v>Connor Betts</v>
          </cell>
          <cell r="I309" t="str">
            <v>Low</v>
          </cell>
          <cell r="J309" t="str">
            <v>Artisan Legal 4-Ring Binder</v>
          </cell>
          <cell r="K309" t="str">
            <v>Office Supplies</v>
          </cell>
          <cell r="L309" t="str">
            <v>Small Box</v>
          </cell>
          <cell r="M309" t="str">
            <v>Regular Air</v>
          </cell>
          <cell r="N309">
            <v>41638</v>
          </cell>
          <cell r="O309">
            <v>13.64</v>
          </cell>
          <cell r="P309">
            <v>20.98</v>
          </cell>
          <cell r="Q309">
            <v>23</v>
          </cell>
          <cell r="R309">
            <v>482.54</v>
          </cell>
          <cell r="S309">
            <v>0.03</v>
          </cell>
          <cell r="T309">
            <v>14.4762</v>
          </cell>
          <cell r="U309">
            <v>482.51000000000005</v>
          </cell>
          <cell r="V309">
            <v>1.49</v>
          </cell>
          <cell r="W309">
            <v>484.00000000000006</v>
          </cell>
        </row>
        <row r="310">
          <cell r="A310" t="str">
            <v>5360-1</v>
          </cell>
          <cell r="B310">
            <v>41646</v>
          </cell>
          <cell r="C310" t="str">
            <v>Philip Fox</v>
          </cell>
          <cell r="D310" t="str">
            <v>73 York St,Sydney</v>
          </cell>
          <cell r="E310" t="str">
            <v>Sydney</v>
          </cell>
          <cell r="F310" t="str">
            <v>NSW</v>
          </cell>
          <cell r="G310" t="str">
            <v>Home Office</v>
          </cell>
          <cell r="H310" t="str">
            <v>Tina Carlton</v>
          </cell>
          <cell r="I310" t="str">
            <v>High</v>
          </cell>
          <cell r="J310" t="str">
            <v>Economy Rollaway Files</v>
          </cell>
          <cell r="K310" t="str">
            <v>Office Supplies</v>
          </cell>
          <cell r="L310" t="str">
            <v>Small Box</v>
          </cell>
          <cell r="M310" t="str">
            <v>Regular Air</v>
          </cell>
          <cell r="N310">
            <v>41646</v>
          </cell>
          <cell r="O310">
            <v>67.73</v>
          </cell>
          <cell r="P310">
            <v>165.2</v>
          </cell>
          <cell r="Q310">
            <v>49</v>
          </cell>
          <cell r="R310">
            <v>8094.7999999999993</v>
          </cell>
          <cell r="S310">
            <v>0.05</v>
          </cell>
          <cell r="T310">
            <v>404.74</v>
          </cell>
          <cell r="U310">
            <v>8094.7499999999991</v>
          </cell>
          <cell r="V310">
            <v>19.989999999999998</v>
          </cell>
          <cell r="W310">
            <v>8114.7399999999989</v>
          </cell>
        </row>
        <row r="311">
          <cell r="A311" t="str">
            <v>5362-1</v>
          </cell>
          <cell r="B311">
            <v>41646</v>
          </cell>
          <cell r="C311" t="str">
            <v>Charlotte Melton</v>
          </cell>
          <cell r="D311" t="str">
            <v>211/25-29 Dixon St,Haymarket</v>
          </cell>
          <cell r="E311" t="str">
            <v>Sydney</v>
          </cell>
          <cell r="F311" t="str">
            <v>NSW</v>
          </cell>
          <cell r="G311" t="str">
            <v>Home Office</v>
          </cell>
          <cell r="H311" t="str">
            <v>Preston Senome</v>
          </cell>
          <cell r="I311" t="str">
            <v>Medium</v>
          </cell>
          <cell r="J311" t="str">
            <v>Smiths Bulldog Clip</v>
          </cell>
          <cell r="K311" t="str">
            <v>Office Supplies</v>
          </cell>
          <cell r="L311" t="str">
            <v>Wrap Bag</v>
          </cell>
          <cell r="M311" t="str">
            <v>Regular Air</v>
          </cell>
          <cell r="N311">
            <v>41647</v>
          </cell>
          <cell r="O311">
            <v>2.31</v>
          </cell>
          <cell r="P311">
            <v>3.78</v>
          </cell>
          <cell r="Q311">
            <v>47</v>
          </cell>
          <cell r="R311">
            <v>177.66</v>
          </cell>
          <cell r="S311">
            <v>0.02</v>
          </cell>
          <cell r="T311">
            <v>3.5531999999999999</v>
          </cell>
          <cell r="U311">
            <v>177.64</v>
          </cell>
          <cell r="V311">
            <v>0.71</v>
          </cell>
          <cell r="W311">
            <v>178.35</v>
          </cell>
        </row>
        <row r="312">
          <cell r="A312" t="str">
            <v>5364-1</v>
          </cell>
          <cell r="B312">
            <v>41647</v>
          </cell>
          <cell r="C312" t="str">
            <v>Dionis Lloyd</v>
          </cell>
          <cell r="D312" t="str">
            <v>85-113 Dunning Ave,Rosebery</v>
          </cell>
          <cell r="E312" t="str">
            <v>Sydney</v>
          </cell>
          <cell r="F312" t="str">
            <v>NSW</v>
          </cell>
          <cell r="G312" t="str">
            <v>Small Business</v>
          </cell>
          <cell r="H312" t="str">
            <v>Mihael Khan</v>
          </cell>
          <cell r="I312" t="str">
            <v>Low</v>
          </cell>
          <cell r="J312" t="str">
            <v>Artisan Flip-Chart Easel Binder, Black</v>
          </cell>
          <cell r="K312" t="str">
            <v>Office Supplies</v>
          </cell>
          <cell r="L312" t="str">
            <v>Small Box</v>
          </cell>
          <cell r="M312" t="str">
            <v>Regular Air</v>
          </cell>
          <cell r="N312">
            <v>41654</v>
          </cell>
          <cell r="O312">
            <v>13.88</v>
          </cell>
          <cell r="P312">
            <v>22.38</v>
          </cell>
          <cell r="Q312">
            <v>21</v>
          </cell>
          <cell r="R312">
            <v>469.97999999999996</v>
          </cell>
          <cell r="S312">
            <v>0.04</v>
          </cell>
          <cell r="T312">
            <v>18.799199999999999</v>
          </cell>
          <cell r="U312">
            <v>469.93999999999994</v>
          </cell>
          <cell r="V312">
            <v>15.1</v>
          </cell>
          <cell r="W312">
            <v>485.03999999999996</v>
          </cell>
        </row>
        <row r="313">
          <cell r="A313" t="str">
            <v>5365-1</v>
          </cell>
          <cell r="B313">
            <v>41647</v>
          </cell>
          <cell r="C313" t="str">
            <v>Sean ODonnell</v>
          </cell>
          <cell r="D313" t="str">
            <v>541 Church St ,Richmond</v>
          </cell>
          <cell r="E313" t="str">
            <v>Melbourne</v>
          </cell>
          <cell r="F313" t="str">
            <v>VIC</v>
          </cell>
          <cell r="G313" t="str">
            <v>Corporate</v>
          </cell>
          <cell r="H313" t="str">
            <v>Yvette Biti</v>
          </cell>
          <cell r="I313" t="str">
            <v>Low</v>
          </cell>
          <cell r="J313" t="str">
            <v>Steady Colorific Colored Pencils, 12/Box</v>
          </cell>
          <cell r="K313" t="str">
            <v>Office Supplies</v>
          </cell>
          <cell r="L313" t="str">
            <v>Wrap Bag</v>
          </cell>
          <cell r="M313" t="str">
            <v>Regular Air</v>
          </cell>
          <cell r="N313">
            <v>41651</v>
          </cell>
          <cell r="O313">
            <v>1.3</v>
          </cell>
          <cell r="P313">
            <v>2.88</v>
          </cell>
          <cell r="Q313">
            <v>46</v>
          </cell>
          <cell r="R313">
            <v>132.47999999999999</v>
          </cell>
          <cell r="S313">
            <v>0.04</v>
          </cell>
          <cell r="T313">
            <v>5.2991999999999999</v>
          </cell>
          <cell r="U313">
            <v>132.44</v>
          </cell>
          <cell r="V313">
            <v>1.01</v>
          </cell>
          <cell r="W313">
            <v>133.44999999999999</v>
          </cell>
        </row>
        <row r="314">
          <cell r="A314" t="str">
            <v>5369-1</v>
          </cell>
          <cell r="B314">
            <v>41649</v>
          </cell>
          <cell r="C314" t="str">
            <v>Nick Zandusky</v>
          </cell>
          <cell r="D314" t="str">
            <v>224A Gertrude St,Fitzroy</v>
          </cell>
          <cell r="E314" t="str">
            <v>Melbourne</v>
          </cell>
          <cell r="F314" t="str">
            <v>VIC</v>
          </cell>
          <cell r="G314" t="str">
            <v>Small Business</v>
          </cell>
          <cell r="H314" t="str">
            <v>Connor Betts</v>
          </cell>
          <cell r="I314" t="str">
            <v>Not Specified</v>
          </cell>
          <cell r="J314" t="str">
            <v>3Max Polarizing Task Lamp with Clamp Arm, Light Gray</v>
          </cell>
          <cell r="K314" t="str">
            <v>Furniture</v>
          </cell>
          <cell r="L314" t="str">
            <v>Large Box</v>
          </cell>
          <cell r="M314" t="str">
            <v>Express Air</v>
          </cell>
          <cell r="N314">
            <v>41650</v>
          </cell>
          <cell r="O314">
            <v>56.16</v>
          </cell>
          <cell r="P314">
            <v>136.97999999999999</v>
          </cell>
          <cell r="Q314">
            <v>18</v>
          </cell>
          <cell r="R314">
            <v>2465.64</v>
          </cell>
          <cell r="S314">
            <v>0.02</v>
          </cell>
          <cell r="T314">
            <v>49.312799999999996</v>
          </cell>
          <cell r="U314">
            <v>2465.62</v>
          </cell>
          <cell r="V314">
            <v>24.49</v>
          </cell>
          <cell r="W314">
            <v>2490.1099999999997</v>
          </cell>
        </row>
        <row r="315">
          <cell r="A315" t="str">
            <v>5373-1</v>
          </cell>
          <cell r="B315">
            <v>41652</v>
          </cell>
          <cell r="C315" t="str">
            <v>Ashley Jarboe</v>
          </cell>
          <cell r="D315" t="str">
            <v>180 High Street,Windsor</v>
          </cell>
          <cell r="E315" t="str">
            <v>Melbourne</v>
          </cell>
          <cell r="F315" t="str">
            <v>VIC</v>
          </cell>
          <cell r="G315" t="str">
            <v>Home Office</v>
          </cell>
          <cell r="H315" t="str">
            <v>Connor Betts</v>
          </cell>
          <cell r="I315" t="str">
            <v>Low</v>
          </cell>
          <cell r="J315" t="str">
            <v>TypeRight  Top-Opening Peel &amp; Seel  Envelopes, Gray</v>
          </cell>
          <cell r="K315" t="str">
            <v>Office Supplies</v>
          </cell>
          <cell r="L315" t="str">
            <v>Small Box</v>
          </cell>
          <cell r="M315" t="str">
            <v>Regular Air</v>
          </cell>
          <cell r="N315">
            <v>41657</v>
          </cell>
          <cell r="O315">
            <v>21.56</v>
          </cell>
          <cell r="P315">
            <v>35.94</v>
          </cell>
          <cell r="Q315">
            <v>13</v>
          </cell>
          <cell r="R315">
            <v>467.21999999999997</v>
          </cell>
          <cell r="S315">
            <v>0.09</v>
          </cell>
          <cell r="T315">
            <v>42.049799999999998</v>
          </cell>
          <cell r="U315">
            <v>467.13</v>
          </cell>
          <cell r="V315">
            <v>6.66</v>
          </cell>
          <cell r="W315">
            <v>473.79</v>
          </cell>
        </row>
        <row r="316">
          <cell r="A316" t="str">
            <v>5375-1</v>
          </cell>
          <cell r="B316">
            <v>41653</v>
          </cell>
          <cell r="C316" t="str">
            <v>Nat Gilpin</v>
          </cell>
          <cell r="D316" t="str">
            <v>274 Canley Vale Rd,Canley Heights</v>
          </cell>
          <cell r="E316" t="str">
            <v>Sydney</v>
          </cell>
          <cell r="F316" t="str">
            <v>NSW</v>
          </cell>
          <cell r="G316" t="str">
            <v>Consumer</v>
          </cell>
          <cell r="H316" t="str">
            <v>Leighton Forrest</v>
          </cell>
          <cell r="I316" t="str">
            <v>Not Specified</v>
          </cell>
          <cell r="J316" t="str">
            <v>3Max Organizer Strips</v>
          </cell>
          <cell r="K316" t="str">
            <v>Office Supplies</v>
          </cell>
          <cell r="L316" t="str">
            <v>Small Box</v>
          </cell>
          <cell r="M316" t="str">
            <v>Express Air</v>
          </cell>
          <cell r="N316">
            <v>41655</v>
          </cell>
          <cell r="O316">
            <v>3.4</v>
          </cell>
          <cell r="P316">
            <v>5.4</v>
          </cell>
          <cell r="Q316">
            <v>14</v>
          </cell>
          <cell r="R316">
            <v>75.600000000000009</v>
          </cell>
          <cell r="S316">
            <v>0.09</v>
          </cell>
          <cell r="T316">
            <v>6.8040000000000003</v>
          </cell>
          <cell r="U316">
            <v>75.510000000000005</v>
          </cell>
          <cell r="V316">
            <v>7.78</v>
          </cell>
          <cell r="W316">
            <v>83.29</v>
          </cell>
        </row>
        <row r="317">
          <cell r="A317" t="str">
            <v>5377-1</v>
          </cell>
          <cell r="B317">
            <v>41653</v>
          </cell>
          <cell r="C317" t="str">
            <v>Fred Wasserman</v>
          </cell>
          <cell r="D317" t="str">
            <v>61 York St,Sydney</v>
          </cell>
          <cell r="E317" t="str">
            <v>Sydney</v>
          </cell>
          <cell r="F317" t="str">
            <v>NSW</v>
          </cell>
          <cell r="G317" t="str">
            <v>Home Office</v>
          </cell>
          <cell r="H317" t="str">
            <v>Leighton Forrest</v>
          </cell>
          <cell r="I317" t="str">
            <v>Not Specified</v>
          </cell>
          <cell r="J317" t="str">
            <v>Fluorescent Highlighters by DrawIt</v>
          </cell>
          <cell r="K317" t="str">
            <v>Office Supplies</v>
          </cell>
          <cell r="L317" t="str">
            <v>Wrap Bag</v>
          </cell>
          <cell r="M317" t="str">
            <v>Regular Air</v>
          </cell>
          <cell r="N317">
            <v>41656</v>
          </cell>
          <cell r="O317">
            <v>1.95</v>
          </cell>
          <cell r="P317">
            <v>3.98</v>
          </cell>
          <cell r="Q317">
            <v>41</v>
          </cell>
          <cell r="R317">
            <v>163.18</v>
          </cell>
          <cell r="S317">
            <v>7.0000000000000007E-2</v>
          </cell>
          <cell r="T317">
            <v>11.422600000000001</v>
          </cell>
          <cell r="U317">
            <v>163.11000000000001</v>
          </cell>
          <cell r="V317">
            <v>0.83</v>
          </cell>
          <cell r="W317">
            <v>163.94000000000003</v>
          </cell>
        </row>
        <row r="318">
          <cell r="A318" t="str">
            <v>5379-1</v>
          </cell>
          <cell r="B318">
            <v>41654</v>
          </cell>
          <cell r="C318" t="str">
            <v>Aleksandra Gannaway</v>
          </cell>
          <cell r="D318" t="str">
            <v>Hoyts Entertainment Quarter 122 Lang Road,Moore Park</v>
          </cell>
          <cell r="E318" t="str">
            <v>Sydney</v>
          </cell>
          <cell r="F318" t="str">
            <v>NSW</v>
          </cell>
          <cell r="G318" t="str">
            <v>Corporate</v>
          </cell>
          <cell r="H318" t="str">
            <v>Tina Carlton</v>
          </cell>
          <cell r="I318" t="str">
            <v>Medium</v>
          </cell>
          <cell r="J318" t="str">
            <v>Apex Straight Scissors</v>
          </cell>
          <cell r="K318" t="str">
            <v>Office Supplies</v>
          </cell>
          <cell r="L318" t="str">
            <v>Small Pack</v>
          </cell>
          <cell r="M318" t="str">
            <v>Express Air</v>
          </cell>
          <cell r="N318">
            <v>41656</v>
          </cell>
          <cell r="O318">
            <v>5.19</v>
          </cell>
          <cell r="P318">
            <v>12.98</v>
          </cell>
          <cell r="Q318">
            <v>34</v>
          </cell>
          <cell r="R318">
            <v>441.32</v>
          </cell>
          <cell r="S318">
            <v>0.04</v>
          </cell>
          <cell r="T318">
            <v>17.652799999999999</v>
          </cell>
          <cell r="U318">
            <v>441.28</v>
          </cell>
          <cell r="V318">
            <v>3.14</v>
          </cell>
          <cell r="W318">
            <v>444.41999999999996</v>
          </cell>
        </row>
        <row r="319">
          <cell r="A319" t="str">
            <v>5381-1</v>
          </cell>
          <cell r="B319">
            <v>41654</v>
          </cell>
          <cell r="C319" t="str">
            <v>Sanjit Engle</v>
          </cell>
          <cell r="D319" t="str">
            <v>12 Princess Hwy,Sylvania</v>
          </cell>
          <cell r="E319" t="str">
            <v>Sydney</v>
          </cell>
          <cell r="F319" t="str">
            <v>NSW</v>
          </cell>
          <cell r="G319" t="str">
            <v>Home Office</v>
          </cell>
          <cell r="H319" t="str">
            <v>Nicholas Fernandes</v>
          </cell>
          <cell r="I319" t="str">
            <v>Medium</v>
          </cell>
          <cell r="J319" t="str">
            <v>Emerson LQ-870 Dot Matrix Printer</v>
          </cell>
          <cell r="K319" t="str">
            <v>Technology</v>
          </cell>
          <cell r="L319" t="str">
            <v>Jumbo Drum</v>
          </cell>
          <cell r="M319" t="str">
            <v>Delivery Truck</v>
          </cell>
          <cell r="N319">
            <v>41656</v>
          </cell>
          <cell r="O319">
            <v>219.61</v>
          </cell>
          <cell r="P319">
            <v>535.64</v>
          </cell>
          <cell r="Q319">
            <v>1</v>
          </cell>
          <cell r="R319">
            <v>535.64</v>
          </cell>
          <cell r="S319">
            <v>0.05</v>
          </cell>
          <cell r="T319">
            <v>26.782</v>
          </cell>
          <cell r="U319">
            <v>535.59</v>
          </cell>
          <cell r="V319">
            <v>14.7</v>
          </cell>
          <cell r="W319">
            <v>550.29000000000008</v>
          </cell>
        </row>
        <row r="320">
          <cell r="A320" t="str">
            <v>5383-1</v>
          </cell>
          <cell r="B320">
            <v>41656</v>
          </cell>
          <cell r="C320" t="str">
            <v>Patrick OBrill</v>
          </cell>
          <cell r="D320" t="str">
            <v>53 Riley Street,Woolloomooloo</v>
          </cell>
          <cell r="E320" t="str">
            <v>Sydney</v>
          </cell>
          <cell r="F320" t="str">
            <v>NSW</v>
          </cell>
          <cell r="G320" t="str">
            <v>Home Office</v>
          </cell>
          <cell r="H320" t="str">
            <v>Tina Carlton</v>
          </cell>
          <cell r="I320" t="str">
            <v>Critical</v>
          </cell>
          <cell r="J320" t="str">
            <v>Artisan 48 Labels</v>
          </cell>
          <cell r="K320" t="str">
            <v>Office Supplies</v>
          </cell>
          <cell r="L320" t="str">
            <v>Small Box</v>
          </cell>
          <cell r="M320" t="str">
            <v>Regular Air</v>
          </cell>
          <cell r="N320">
            <v>41658</v>
          </cell>
          <cell r="O320">
            <v>3.84</v>
          </cell>
          <cell r="P320">
            <v>6.3</v>
          </cell>
          <cell r="Q320">
            <v>32</v>
          </cell>
          <cell r="R320">
            <v>201.6</v>
          </cell>
          <cell r="S320">
            <v>0.04</v>
          </cell>
          <cell r="T320">
            <v>8.0640000000000001</v>
          </cell>
          <cell r="U320">
            <v>201.56</v>
          </cell>
          <cell r="V320">
            <v>0.5</v>
          </cell>
          <cell r="W320">
            <v>202.06</v>
          </cell>
        </row>
        <row r="321">
          <cell r="A321" t="str">
            <v>5384-1</v>
          </cell>
          <cell r="B321">
            <v>41662</v>
          </cell>
          <cell r="C321" t="str">
            <v>Mark Van Huff</v>
          </cell>
          <cell r="D321" t="str">
            <v>1 John Street,Waterloo</v>
          </cell>
          <cell r="E321" t="str">
            <v>Sydney</v>
          </cell>
          <cell r="F321" t="str">
            <v>NSW</v>
          </cell>
          <cell r="G321" t="str">
            <v>Home Office</v>
          </cell>
          <cell r="H321" t="str">
            <v>Charlie Bui</v>
          </cell>
          <cell r="I321" t="str">
            <v>Not Specified</v>
          </cell>
          <cell r="J321" t="str">
            <v>Binder Clips by OIC</v>
          </cell>
          <cell r="K321" t="str">
            <v>Office Supplies</v>
          </cell>
          <cell r="L321" t="str">
            <v>Wrap Bag</v>
          </cell>
          <cell r="M321" t="str">
            <v>Regular Air</v>
          </cell>
          <cell r="N321">
            <v>41664</v>
          </cell>
          <cell r="O321">
            <v>0.93</v>
          </cell>
          <cell r="P321">
            <v>1.48</v>
          </cell>
          <cell r="Q321">
            <v>27</v>
          </cell>
          <cell r="R321">
            <v>39.96</v>
          </cell>
          <cell r="S321">
            <v>0</v>
          </cell>
          <cell r="T321">
            <v>0</v>
          </cell>
          <cell r="U321">
            <v>39.96</v>
          </cell>
          <cell r="V321">
            <v>0.7</v>
          </cell>
          <cell r="W321">
            <v>40.660000000000004</v>
          </cell>
        </row>
        <row r="322">
          <cell r="A322" t="str">
            <v>5386-1</v>
          </cell>
          <cell r="B322">
            <v>41663</v>
          </cell>
          <cell r="C322" t="str">
            <v>Helen Andreada</v>
          </cell>
          <cell r="D322" t="str">
            <v>470 Anzac Parade,Kingsford</v>
          </cell>
          <cell r="E322" t="str">
            <v>Sydney</v>
          </cell>
          <cell r="F322" t="str">
            <v>NSW</v>
          </cell>
          <cell r="G322" t="str">
            <v>Corporate</v>
          </cell>
          <cell r="H322" t="str">
            <v>Tina Carlton</v>
          </cell>
          <cell r="I322" t="str">
            <v>High</v>
          </cell>
          <cell r="J322" t="str">
            <v>Emerson C82 Color Inkjet Printer</v>
          </cell>
          <cell r="K322" t="str">
            <v>Technology</v>
          </cell>
          <cell r="L322" t="str">
            <v>Jumbo Drum</v>
          </cell>
          <cell r="M322" t="str">
            <v>Delivery Truck</v>
          </cell>
          <cell r="N322">
            <v>41665</v>
          </cell>
          <cell r="O322">
            <v>76.790000000000006</v>
          </cell>
          <cell r="P322">
            <v>119.99</v>
          </cell>
          <cell r="Q322">
            <v>13</v>
          </cell>
          <cell r="R322">
            <v>1559.87</v>
          </cell>
          <cell r="S322">
            <v>0.04</v>
          </cell>
          <cell r="T322">
            <v>62.394799999999996</v>
          </cell>
          <cell r="U322">
            <v>1559.83</v>
          </cell>
          <cell r="V322">
            <v>14</v>
          </cell>
          <cell r="W322">
            <v>1573.83</v>
          </cell>
        </row>
        <row r="323">
          <cell r="A323" t="str">
            <v>5388-1</v>
          </cell>
          <cell r="B323">
            <v>41664</v>
          </cell>
          <cell r="C323" t="str">
            <v>Darrin Van Huff</v>
          </cell>
          <cell r="D323" t="str">
            <v>53-55 Liverpool St,Sydney</v>
          </cell>
          <cell r="E323" t="str">
            <v>Sydney</v>
          </cell>
          <cell r="F323" t="str">
            <v>NSW</v>
          </cell>
          <cell r="G323" t="str">
            <v>Home Office</v>
          </cell>
          <cell r="H323" t="str">
            <v>Tina Carlton</v>
          </cell>
          <cell r="I323" t="str">
            <v>Medium</v>
          </cell>
          <cell r="J323" t="str">
            <v>12 Colored Short Pencils</v>
          </cell>
          <cell r="K323" t="str">
            <v>Office Supplies</v>
          </cell>
          <cell r="L323" t="str">
            <v>Wrap Bag</v>
          </cell>
          <cell r="M323" t="str">
            <v>Regular Air</v>
          </cell>
          <cell r="N323">
            <v>41666</v>
          </cell>
          <cell r="O323">
            <v>1.0900000000000001</v>
          </cell>
          <cell r="P323">
            <v>2.6</v>
          </cell>
          <cell r="Q323">
            <v>27</v>
          </cell>
          <cell r="R323">
            <v>70.2</v>
          </cell>
          <cell r="S323">
            <v>0.09</v>
          </cell>
          <cell r="T323">
            <v>6.3179999999999996</v>
          </cell>
          <cell r="U323">
            <v>70.11</v>
          </cell>
          <cell r="V323">
            <v>2.4</v>
          </cell>
          <cell r="W323">
            <v>72.510000000000005</v>
          </cell>
        </row>
        <row r="324">
          <cell r="A324" t="str">
            <v>5389-1</v>
          </cell>
          <cell r="B324">
            <v>41665</v>
          </cell>
          <cell r="C324" t="str">
            <v>Sarah Jordon</v>
          </cell>
          <cell r="D324" t="str">
            <v>180 High Street,Windsor</v>
          </cell>
          <cell r="E324" t="str">
            <v>Melbourne</v>
          </cell>
          <cell r="F324" t="str">
            <v>VIC</v>
          </cell>
          <cell r="G324" t="str">
            <v>Consumer</v>
          </cell>
          <cell r="H324" t="str">
            <v>Connor Betts</v>
          </cell>
          <cell r="I324" t="str">
            <v>Low</v>
          </cell>
          <cell r="J324" t="str">
            <v>Aluminum Document Frame</v>
          </cell>
          <cell r="K324" t="str">
            <v>Furniture</v>
          </cell>
          <cell r="L324" t="str">
            <v>Small Pack</v>
          </cell>
          <cell r="M324" t="str">
            <v>Regular Air</v>
          </cell>
          <cell r="N324">
            <v>41672</v>
          </cell>
          <cell r="O324">
            <v>5.5</v>
          </cell>
          <cell r="P324">
            <v>12.22</v>
          </cell>
          <cell r="Q324">
            <v>19</v>
          </cell>
          <cell r="R324">
            <v>232.18</v>
          </cell>
          <cell r="S324">
            <v>0.09</v>
          </cell>
          <cell r="T324">
            <v>20.8962</v>
          </cell>
          <cell r="U324">
            <v>232.09</v>
          </cell>
          <cell r="V324">
            <v>2.85</v>
          </cell>
          <cell r="W324">
            <v>234.94</v>
          </cell>
        </row>
        <row r="325">
          <cell r="A325" t="str">
            <v>5391-1</v>
          </cell>
          <cell r="B325">
            <v>41665</v>
          </cell>
          <cell r="C325" t="str">
            <v>Bill Eplett</v>
          </cell>
          <cell r="D325" t="str">
            <v>188 Pitt Street,Sydney</v>
          </cell>
          <cell r="E325" t="str">
            <v>Sydney</v>
          </cell>
          <cell r="F325" t="str">
            <v>NSW</v>
          </cell>
          <cell r="G325" t="str">
            <v>Corporate</v>
          </cell>
          <cell r="H325" t="str">
            <v>Tina Carlton</v>
          </cell>
          <cell r="I325" t="str">
            <v>Critical</v>
          </cell>
          <cell r="J325" t="str">
            <v>TechSavi Access Keyboard</v>
          </cell>
          <cell r="K325" t="str">
            <v>Technology</v>
          </cell>
          <cell r="L325" t="str">
            <v>Small Box</v>
          </cell>
          <cell r="M325" t="str">
            <v>Regular Air</v>
          </cell>
          <cell r="N325">
            <v>41666</v>
          </cell>
          <cell r="O325">
            <v>10.07</v>
          </cell>
          <cell r="P325">
            <v>15.98</v>
          </cell>
          <cell r="Q325">
            <v>8</v>
          </cell>
          <cell r="R325">
            <v>127.84</v>
          </cell>
          <cell r="S325">
            <v>0.04</v>
          </cell>
          <cell r="T325">
            <v>5.1135999999999999</v>
          </cell>
          <cell r="U325">
            <v>127.8</v>
          </cell>
          <cell r="V325">
            <v>4</v>
          </cell>
          <cell r="W325">
            <v>131.80000000000001</v>
          </cell>
        </row>
        <row r="326">
          <cell r="A326" t="str">
            <v>5392-1</v>
          </cell>
          <cell r="B326">
            <v>41666</v>
          </cell>
          <cell r="C326" t="str">
            <v>Ken Lonsdale</v>
          </cell>
          <cell r="D326" t="str">
            <v>99 Lygon Street,East Brunswick</v>
          </cell>
          <cell r="E326" t="str">
            <v>Melbourne</v>
          </cell>
          <cell r="F326" t="str">
            <v>VIC</v>
          </cell>
          <cell r="G326" t="str">
            <v>Consumer</v>
          </cell>
          <cell r="H326" t="str">
            <v>Connor Betts</v>
          </cell>
          <cell r="I326" t="str">
            <v>High</v>
          </cell>
          <cell r="J326" t="str">
            <v>Artisan Printable Repositionable Plastic Tabs</v>
          </cell>
          <cell r="K326" t="str">
            <v>Office Supplies</v>
          </cell>
          <cell r="L326" t="str">
            <v>Small Box</v>
          </cell>
          <cell r="M326" t="str">
            <v>Regular Air</v>
          </cell>
          <cell r="N326">
            <v>41666</v>
          </cell>
          <cell r="O326">
            <v>5.33</v>
          </cell>
          <cell r="P326">
            <v>8.6</v>
          </cell>
          <cell r="Q326">
            <v>4</v>
          </cell>
          <cell r="R326">
            <v>34.4</v>
          </cell>
          <cell r="S326">
            <v>0.04</v>
          </cell>
          <cell r="T326">
            <v>1.3759999999999999</v>
          </cell>
          <cell r="U326">
            <v>34.36</v>
          </cell>
          <cell r="V326">
            <v>6.19</v>
          </cell>
          <cell r="W326">
            <v>40.549999999999997</v>
          </cell>
        </row>
        <row r="327">
          <cell r="A327" t="str">
            <v>5393-1</v>
          </cell>
          <cell r="B327">
            <v>41668</v>
          </cell>
          <cell r="C327" t="str">
            <v>Michael Nguyen</v>
          </cell>
          <cell r="D327" t="str">
            <v>48 Albion St,Surry Hills</v>
          </cell>
          <cell r="E327" t="str">
            <v>Sydney</v>
          </cell>
          <cell r="F327" t="str">
            <v>NSW</v>
          </cell>
          <cell r="G327" t="str">
            <v>Small Business</v>
          </cell>
          <cell r="H327" t="str">
            <v>Natasha Song</v>
          </cell>
          <cell r="I327" t="str">
            <v>High</v>
          </cell>
          <cell r="J327" t="str">
            <v>TypeRight Side-Opening Peel &amp; Seel Expanding Envelopes</v>
          </cell>
          <cell r="K327" t="str">
            <v>Office Supplies</v>
          </cell>
          <cell r="L327" t="str">
            <v>Small Box</v>
          </cell>
          <cell r="M327" t="str">
            <v>Regular Air</v>
          </cell>
          <cell r="N327">
            <v>41671</v>
          </cell>
          <cell r="O327">
            <v>54.29</v>
          </cell>
          <cell r="P327">
            <v>90.48</v>
          </cell>
          <cell r="Q327">
            <v>27</v>
          </cell>
          <cell r="R327">
            <v>2442.96</v>
          </cell>
          <cell r="S327">
            <v>0</v>
          </cell>
          <cell r="T327">
            <v>0</v>
          </cell>
          <cell r="U327">
            <v>2442.96</v>
          </cell>
          <cell r="V327">
            <v>19.989999999999998</v>
          </cell>
          <cell r="W327">
            <v>2462.9499999999998</v>
          </cell>
        </row>
        <row r="328">
          <cell r="A328" t="str">
            <v>5394-1</v>
          </cell>
          <cell r="B328">
            <v>41669</v>
          </cell>
          <cell r="C328" t="str">
            <v>Hilary Holden</v>
          </cell>
          <cell r="D328" t="str">
            <v>2a/285A Crown St,Surry Hills</v>
          </cell>
          <cell r="E328" t="str">
            <v>Sydney</v>
          </cell>
          <cell r="F328" t="str">
            <v>NSW</v>
          </cell>
          <cell r="G328" t="str">
            <v>Corporate</v>
          </cell>
          <cell r="H328" t="str">
            <v>Phoebe Gour</v>
          </cell>
          <cell r="I328" t="str">
            <v>Critical</v>
          </cell>
          <cell r="J328" t="str">
            <v>Artisan Legal 4-Ring Binder</v>
          </cell>
          <cell r="K328" t="str">
            <v>Office Supplies</v>
          </cell>
          <cell r="L328" t="str">
            <v>Small Box</v>
          </cell>
          <cell r="M328" t="str">
            <v>Regular Air</v>
          </cell>
          <cell r="N328">
            <v>41671</v>
          </cell>
          <cell r="O328">
            <v>13.64</v>
          </cell>
          <cell r="P328">
            <v>20.98</v>
          </cell>
          <cell r="Q328">
            <v>31</v>
          </cell>
          <cell r="R328">
            <v>650.38</v>
          </cell>
          <cell r="S328">
            <v>0.09</v>
          </cell>
          <cell r="T328">
            <v>58.534199999999998</v>
          </cell>
          <cell r="U328">
            <v>650.29</v>
          </cell>
          <cell r="V328">
            <v>1.49</v>
          </cell>
          <cell r="W328">
            <v>651.78</v>
          </cell>
        </row>
        <row r="329">
          <cell r="A329" t="str">
            <v>5395-1</v>
          </cell>
          <cell r="B329">
            <v>41669</v>
          </cell>
          <cell r="C329" t="str">
            <v>Brooke Gillingham</v>
          </cell>
          <cell r="D329" t="str">
            <v>21 Wentworth St,Parramatta</v>
          </cell>
          <cell r="E329" t="str">
            <v>Sydney</v>
          </cell>
          <cell r="F329" t="str">
            <v>NSW</v>
          </cell>
          <cell r="G329" t="str">
            <v>Small Business</v>
          </cell>
          <cell r="H329" t="str">
            <v>Aanya Zhang</v>
          </cell>
          <cell r="I329" t="str">
            <v>Medium</v>
          </cell>
          <cell r="J329" t="str">
            <v>Wirebound Message Book, 4 per Page</v>
          </cell>
          <cell r="K329" t="str">
            <v>Office Supplies</v>
          </cell>
          <cell r="L329" t="str">
            <v>Wrap Bag</v>
          </cell>
          <cell r="M329" t="str">
            <v>Regular Air</v>
          </cell>
          <cell r="N329">
            <v>41671</v>
          </cell>
          <cell r="O329">
            <v>3.48</v>
          </cell>
          <cell r="P329">
            <v>5.43</v>
          </cell>
          <cell r="Q329">
            <v>2</v>
          </cell>
          <cell r="R329">
            <v>10.86</v>
          </cell>
          <cell r="S329">
            <v>0.1</v>
          </cell>
          <cell r="T329">
            <v>1.0860000000000001</v>
          </cell>
          <cell r="U329">
            <v>10.76</v>
          </cell>
          <cell r="V329">
            <v>0.95</v>
          </cell>
          <cell r="W329">
            <v>11.709999999999999</v>
          </cell>
        </row>
        <row r="330">
          <cell r="A330" t="str">
            <v>5396-1</v>
          </cell>
          <cell r="B330">
            <v>41672</v>
          </cell>
          <cell r="C330" t="str">
            <v>Suzanne McNair</v>
          </cell>
          <cell r="D330" t="str">
            <v>Crown Complex,Southbank</v>
          </cell>
          <cell r="E330" t="str">
            <v>Melbourne</v>
          </cell>
          <cell r="F330" t="str">
            <v>VIC</v>
          </cell>
          <cell r="G330" t="str">
            <v>Small Business</v>
          </cell>
          <cell r="H330" t="str">
            <v>Connor Betts</v>
          </cell>
          <cell r="I330" t="str">
            <v>Low</v>
          </cell>
          <cell r="J330" t="str">
            <v>Colored Envelopes</v>
          </cell>
          <cell r="K330" t="str">
            <v>Office Supplies</v>
          </cell>
          <cell r="L330" t="str">
            <v>Small Box</v>
          </cell>
          <cell r="M330" t="str">
            <v>Regular Air</v>
          </cell>
          <cell r="N330">
            <v>41677</v>
          </cell>
          <cell r="O330">
            <v>2.25</v>
          </cell>
          <cell r="P330">
            <v>3.69</v>
          </cell>
          <cell r="Q330">
            <v>20</v>
          </cell>
          <cell r="R330">
            <v>73.8</v>
          </cell>
          <cell r="S330">
            <v>0.08</v>
          </cell>
          <cell r="T330">
            <v>5.9039999999999999</v>
          </cell>
          <cell r="U330">
            <v>73.72</v>
          </cell>
          <cell r="V330">
            <v>2.5</v>
          </cell>
          <cell r="W330">
            <v>76.22</v>
          </cell>
        </row>
        <row r="331">
          <cell r="A331" t="str">
            <v>5398-1</v>
          </cell>
          <cell r="B331">
            <v>41673</v>
          </cell>
          <cell r="C331" t="str">
            <v>Mathew Reese</v>
          </cell>
          <cell r="D331" t="str">
            <v>27 Greenfield Parade,Bankstown</v>
          </cell>
          <cell r="E331" t="str">
            <v>Sydney</v>
          </cell>
          <cell r="F331" t="str">
            <v>NSW</v>
          </cell>
          <cell r="G331" t="str">
            <v>Small Business</v>
          </cell>
          <cell r="H331" t="str">
            <v>Nicholas Fernandes</v>
          </cell>
          <cell r="I331" t="str">
            <v>Critical</v>
          </cell>
          <cell r="J331" t="str">
            <v>UGen Ultra Cordless Optical Suite</v>
          </cell>
          <cell r="K331" t="str">
            <v>Technology</v>
          </cell>
          <cell r="L331" t="str">
            <v>Small Box</v>
          </cell>
          <cell r="M331" t="str">
            <v>Regular Air</v>
          </cell>
          <cell r="N331">
            <v>41674</v>
          </cell>
          <cell r="O331">
            <v>54.52</v>
          </cell>
          <cell r="P331">
            <v>100.97</v>
          </cell>
          <cell r="Q331">
            <v>15</v>
          </cell>
          <cell r="R331">
            <v>1514.55</v>
          </cell>
          <cell r="S331">
            <v>0.08</v>
          </cell>
          <cell r="T331">
            <v>121.164</v>
          </cell>
          <cell r="U331">
            <v>1514.47</v>
          </cell>
          <cell r="V331">
            <v>7.18</v>
          </cell>
          <cell r="W331">
            <v>1521.65</v>
          </cell>
        </row>
        <row r="332">
          <cell r="A332" t="str">
            <v>5400-1</v>
          </cell>
          <cell r="B332">
            <v>41675</v>
          </cell>
          <cell r="C332" t="str">
            <v>Dennis Kane</v>
          </cell>
          <cell r="D332" t="str">
            <v>33/4 Barangaroo Avenue,Sydney</v>
          </cell>
          <cell r="E332" t="str">
            <v>Sydney</v>
          </cell>
          <cell r="F332" t="str">
            <v>NSW</v>
          </cell>
          <cell r="G332" t="str">
            <v>Small Business</v>
          </cell>
          <cell r="H332" t="str">
            <v>Natasha Song</v>
          </cell>
          <cell r="I332" t="str">
            <v>Medium</v>
          </cell>
          <cell r="J332" t="str">
            <v>Cando PC940 Copier</v>
          </cell>
          <cell r="K332" t="str">
            <v>Technology</v>
          </cell>
          <cell r="L332" t="str">
            <v>Jumbo Drum</v>
          </cell>
          <cell r="M332" t="str">
            <v>Delivery Truck</v>
          </cell>
          <cell r="N332">
            <v>41676</v>
          </cell>
          <cell r="O332">
            <v>278.99</v>
          </cell>
          <cell r="P332">
            <v>449.99</v>
          </cell>
          <cell r="Q332">
            <v>39</v>
          </cell>
          <cell r="R332">
            <v>17549.61</v>
          </cell>
          <cell r="S332">
            <v>0.08</v>
          </cell>
          <cell r="T332">
            <v>1403.9688000000001</v>
          </cell>
          <cell r="U332">
            <v>17549.53</v>
          </cell>
          <cell r="V332">
            <v>49</v>
          </cell>
          <cell r="W332">
            <v>17598.53</v>
          </cell>
        </row>
        <row r="333">
          <cell r="A333" t="str">
            <v>5404-1</v>
          </cell>
          <cell r="B333">
            <v>41679</v>
          </cell>
          <cell r="C333" t="str">
            <v>Susan MacKendrick</v>
          </cell>
          <cell r="D333" t="str">
            <v>53 Riley Street,Woolloomooloo</v>
          </cell>
          <cell r="E333" t="str">
            <v>Sydney</v>
          </cell>
          <cell r="F333" t="str">
            <v>NSW</v>
          </cell>
          <cell r="G333" t="str">
            <v>Corporate</v>
          </cell>
          <cell r="H333" t="str">
            <v>Tina Carlton</v>
          </cell>
          <cell r="I333" t="str">
            <v>Low</v>
          </cell>
          <cell r="J333" t="str">
            <v>Artisan Poly Binder Pockets</v>
          </cell>
          <cell r="K333" t="str">
            <v>Office Supplies</v>
          </cell>
          <cell r="L333" t="str">
            <v>Small Box</v>
          </cell>
          <cell r="M333" t="str">
            <v>Regular Air</v>
          </cell>
          <cell r="N333">
            <v>41683</v>
          </cell>
          <cell r="O333">
            <v>2.2599999999999998</v>
          </cell>
          <cell r="P333">
            <v>3.58</v>
          </cell>
          <cell r="Q333">
            <v>42</v>
          </cell>
          <cell r="R333">
            <v>150.36000000000001</v>
          </cell>
          <cell r="S333">
            <v>0.01</v>
          </cell>
          <cell r="T333">
            <v>1.5036000000000003</v>
          </cell>
          <cell r="U333">
            <v>150.35000000000002</v>
          </cell>
          <cell r="V333">
            <v>5.47</v>
          </cell>
          <cell r="W333">
            <v>155.82000000000002</v>
          </cell>
        </row>
        <row r="334">
          <cell r="A334" t="str">
            <v>5405-1</v>
          </cell>
          <cell r="B334">
            <v>41680</v>
          </cell>
          <cell r="C334" t="str">
            <v>Dennis Pardue</v>
          </cell>
          <cell r="D334" t="str">
            <v>412 Brunswick St,Fitzroy</v>
          </cell>
          <cell r="E334" t="str">
            <v>Melbourne</v>
          </cell>
          <cell r="F334" t="str">
            <v>VIC</v>
          </cell>
          <cell r="G334" t="str">
            <v>Small Business</v>
          </cell>
          <cell r="H334" t="str">
            <v>Connor Betts</v>
          </cell>
          <cell r="I334" t="str">
            <v>Critical</v>
          </cell>
          <cell r="J334" t="str">
            <v>1726 Digital Answering Machine</v>
          </cell>
          <cell r="K334" t="str">
            <v>Technology</v>
          </cell>
          <cell r="L334" t="str">
            <v>Medium Box</v>
          </cell>
          <cell r="M334" t="str">
            <v>Regular Air</v>
          </cell>
          <cell r="N334">
            <v>41681</v>
          </cell>
          <cell r="O334">
            <v>8.82</v>
          </cell>
          <cell r="P334">
            <v>20.99</v>
          </cell>
          <cell r="Q334">
            <v>42</v>
          </cell>
          <cell r="R334">
            <v>881.57999999999993</v>
          </cell>
          <cell r="S334">
            <v>7.0000000000000007E-2</v>
          </cell>
          <cell r="T334">
            <v>61.710599999999999</v>
          </cell>
          <cell r="U334">
            <v>881.50999999999988</v>
          </cell>
          <cell r="V334">
            <v>4.8099999999999996</v>
          </cell>
          <cell r="W334">
            <v>886.31999999999982</v>
          </cell>
        </row>
        <row r="335">
          <cell r="A335" t="str">
            <v>5407-1</v>
          </cell>
          <cell r="B335">
            <v>41680</v>
          </cell>
          <cell r="C335" t="str">
            <v>Elpida Rittenbach</v>
          </cell>
          <cell r="D335" t="str">
            <v>163 Concord Road,North Strathfield</v>
          </cell>
          <cell r="E335" t="str">
            <v>Sydney</v>
          </cell>
          <cell r="F335" t="str">
            <v>NSW</v>
          </cell>
          <cell r="G335" t="str">
            <v>Consumer</v>
          </cell>
          <cell r="H335" t="str">
            <v>Charlie Bui</v>
          </cell>
          <cell r="I335" t="str">
            <v>Low</v>
          </cell>
          <cell r="J335" t="str">
            <v>Ames Color-File Green Diamond Border X-ray Mailers</v>
          </cell>
          <cell r="K335" t="str">
            <v>Office Supplies</v>
          </cell>
          <cell r="L335" t="str">
            <v>Small Box</v>
          </cell>
          <cell r="M335" t="str">
            <v>Express Air</v>
          </cell>
          <cell r="N335">
            <v>41682</v>
          </cell>
          <cell r="O335">
            <v>52.07</v>
          </cell>
          <cell r="P335">
            <v>83.98</v>
          </cell>
          <cell r="Q335">
            <v>9</v>
          </cell>
          <cell r="R335">
            <v>755.82</v>
          </cell>
          <cell r="S335">
            <v>0.05</v>
          </cell>
          <cell r="T335">
            <v>37.791000000000004</v>
          </cell>
          <cell r="U335">
            <v>755.7700000000001</v>
          </cell>
          <cell r="V335">
            <v>5.01</v>
          </cell>
          <cell r="W335">
            <v>760.78000000000009</v>
          </cell>
        </row>
        <row r="336">
          <cell r="A336" t="str">
            <v>5409-1</v>
          </cell>
          <cell r="B336">
            <v>41682</v>
          </cell>
          <cell r="C336" t="str">
            <v>Julie Prescott</v>
          </cell>
          <cell r="D336" t="str">
            <v>438 Victoria Avenue,Chatswood</v>
          </cell>
          <cell r="E336" t="str">
            <v>Sydney</v>
          </cell>
          <cell r="F336" t="str">
            <v>NSW</v>
          </cell>
          <cell r="G336" t="str">
            <v>Home Office</v>
          </cell>
          <cell r="H336" t="str">
            <v>Natasha Song</v>
          </cell>
          <cell r="I336" t="str">
            <v>High</v>
          </cell>
          <cell r="J336" t="str">
            <v>Cando PC940 Copier</v>
          </cell>
          <cell r="K336" t="str">
            <v>Technology</v>
          </cell>
          <cell r="L336" t="str">
            <v>Large Box</v>
          </cell>
          <cell r="M336" t="str">
            <v>Regular Air</v>
          </cell>
          <cell r="N336">
            <v>41683</v>
          </cell>
          <cell r="O336">
            <v>216</v>
          </cell>
          <cell r="P336">
            <v>449.99</v>
          </cell>
          <cell r="Q336">
            <v>5</v>
          </cell>
          <cell r="R336">
            <v>2249.9499999999998</v>
          </cell>
          <cell r="S336">
            <v>0.02</v>
          </cell>
          <cell r="T336">
            <v>44.998999999999995</v>
          </cell>
          <cell r="U336">
            <v>2249.9299999999998</v>
          </cell>
          <cell r="V336">
            <v>24.49</v>
          </cell>
          <cell r="W336">
            <v>2274.4199999999996</v>
          </cell>
        </row>
        <row r="337">
          <cell r="A337" t="str">
            <v>5411-1</v>
          </cell>
          <cell r="B337">
            <v>41683</v>
          </cell>
          <cell r="C337" t="str">
            <v>Steve Nguyen</v>
          </cell>
          <cell r="D337" t="str">
            <v>61 York St,Sydney</v>
          </cell>
          <cell r="E337" t="str">
            <v>Sydney</v>
          </cell>
          <cell r="F337" t="str">
            <v>NSW</v>
          </cell>
          <cell r="G337" t="str">
            <v>Consumer</v>
          </cell>
          <cell r="H337" t="str">
            <v>Leighton Forrest</v>
          </cell>
          <cell r="I337" t="str">
            <v>High</v>
          </cell>
          <cell r="J337" t="str">
            <v>Artisan Hi-Liter Pen Style Six-Color Fluorescent Set</v>
          </cell>
          <cell r="K337" t="str">
            <v>Office Supplies</v>
          </cell>
          <cell r="L337" t="str">
            <v>Wrap Bag</v>
          </cell>
          <cell r="M337" t="str">
            <v>Regular Air</v>
          </cell>
          <cell r="N337">
            <v>41683</v>
          </cell>
          <cell r="O337">
            <v>2.16</v>
          </cell>
          <cell r="P337">
            <v>3.85</v>
          </cell>
          <cell r="Q337">
            <v>31</v>
          </cell>
          <cell r="R337">
            <v>119.35000000000001</v>
          </cell>
          <cell r="S337">
            <v>0.09</v>
          </cell>
          <cell r="T337">
            <v>10.7415</v>
          </cell>
          <cell r="U337">
            <v>119.26</v>
          </cell>
          <cell r="V337">
            <v>0.7</v>
          </cell>
          <cell r="W337">
            <v>119.96000000000001</v>
          </cell>
        </row>
        <row r="338">
          <cell r="A338" t="str">
            <v>5413-1</v>
          </cell>
          <cell r="B338">
            <v>41685</v>
          </cell>
          <cell r="C338" t="str">
            <v>Sandra Glassco</v>
          </cell>
          <cell r="D338" t="str">
            <v>224A Gertrude St,Fitzroy</v>
          </cell>
          <cell r="E338" t="str">
            <v>Melbourne</v>
          </cell>
          <cell r="F338" t="str">
            <v>VIC</v>
          </cell>
          <cell r="G338" t="str">
            <v>Home Office</v>
          </cell>
          <cell r="H338" t="str">
            <v>Connor Betts</v>
          </cell>
          <cell r="I338" t="str">
            <v>Medium</v>
          </cell>
          <cell r="J338" t="str">
            <v>Blackstonian Pencils</v>
          </cell>
          <cell r="K338" t="str">
            <v>Office Supplies</v>
          </cell>
          <cell r="L338" t="str">
            <v>Wrap Bag</v>
          </cell>
          <cell r="M338" t="str">
            <v>Regular Air</v>
          </cell>
          <cell r="N338">
            <v>41686</v>
          </cell>
          <cell r="O338">
            <v>1.1499999999999999</v>
          </cell>
          <cell r="P338">
            <v>2.67</v>
          </cell>
          <cell r="Q338">
            <v>19</v>
          </cell>
          <cell r="R338">
            <v>50.73</v>
          </cell>
          <cell r="S338">
            <v>0.03</v>
          </cell>
          <cell r="T338">
            <v>1.5218999999999998</v>
          </cell>
          <cell r="U338">
            <v>50.699999999999996</v>
          </cell>
          <cell r="V338">
            <v>0.86</v>
          </cell>
          <cell r="W338">
            <v>51.559999999999995</v>
          </cell>
        </row>
        <row r="339">
          <cell r="A339" t="str">
            <v>5415-1</v>
          </cell>
          <cell r="B339">
            <v>41685</v>
          </cell>
          <cell r="C339" t="str">
            <v>Yana Sorensen</v>
          </cell>
          <cell r="D339" t="str">
            <v>53-55 Liverpool St,Sydney</v>
          </cell>
          <cell r="E339" t="str">
            <v>Sydney</v>
          </cell>
          <cell r="F339" t="str">
            <v>NSW</v>
          </cell>
          <cell r="G339" t="str">
            <v>Corporate</v>
          </cell>
          <cell r="H339" t="str">
            <v>Tina Carlton</v>
          </cell>
          <cell r="I339" t="str">
            <v>Low</v>
          </cell>
          <cell r="J339" t="str">
            <v>Creator Colored Pencils</v>
          </cell>
          <cell r="K339" t="str">
            <v>Office Supplies</v>
          </cell>
          <cell r="L339" t="str">
            <v>Wrap Bag</v>
          </cell>
          <cell r="M339" t="str">
            <v>Express Air</v>
          </cell>
          <cell r="N339">
            <v>41690</v>
          </cell>
          <cell r="O339">
            <v>1.57</v>
          </cell>
          <cell r="P339">
            <v>3.28</v>
          </cell>
          <cell r="Q339">
            <v>44</v>
          </cell>
          <cell r="R339">
            <v>144.32</v>
          </cell>
          <cell r="S339">
            <v>0</v>
          </cell>
          <cell r="T339">
            <v>0</v>
          </cell>
          <cell r="U339">
            <v>144.32</v>
          </cell>
          <cell r="V339">
            <v>0.98</v>
          </cell>
          <cell r="W339">
            <v>145.29999999999998</v>
          </cell>
        </row>
        <row r="340">
          <cell r="A340" t="str">
            <v>5416-1</v>
          </cell>
          <cell r="B340">
            <v>41686</v>
          </cell>
          <cell r="C340" t="str">
            <v>Pamela Coakley</v>
          </cell>
          <cell r="D340" t="str">
            <v>120 Hardware St,Melbourne</v>
          </cell>
          <cell r="E340" t="str">
            <v>Melbourne</v>
          </cell>
          <cell r="F340" t="str">
            <v>VIC</v>
          </cell>
          <cell r="G340" t="str">
            <v>Corporate</v>
          </cell>
          <cell r="H340" t="str">
            <v>Yvette Biti</v>
          </cell>
          <cell r="I340" t="str">
            <v>High</v>
          </cell>
          <cell r="J340" t="str">
            <v>1726 Digital Answering Machine</v>
          </cell>
          <cell r="K340" t="str">
            <v>Technology</v>
          </cell>
          <cell r="L340" t="str">
            <v>Medium Box</v>
          </cell>
          <cell r="M340" t="str">
            <v>Regular Air</v>
          </cell>
          <cell r="N340">
            <v>41688</v>
          </cell>
          <cell r="O340">
            <v>8.82</v>
          </cell>
          <cell r="P340">
            <v>20.99</v>
          </cell>
          <cell r="Q340">
            <v>24</v>
          </cell>
          <cell r="R340">
            <v>503.76</v>
          </cell>
          <cell r="S340">
            <v>0.01</v>
          </cell>
          <cell r="T340">
            <v>5.0376000000000003</v>
          </cell>
          <cell r="U340">
            <v>503.75</v>
          </cell>
          <cell r="V340">
            <v>4.8099999999999996</v>
          </cell>
          <cell r="W340">
            <v>508.56</v>
          </cell>
        </row>
        <row r="341">
          <cell r="A341" t="str">
            <v>5418-1</v>
          </cell>
          <cell r="B341">
            <v>41692</v>
          </cell>
          <cell r="C341" t="str">
            <v>Amy Cox</v>
          </cell>
          <cell r="D341" t="str">
            <v>523 King St,Newtown</v>
          </cell>
          <cell r="E341" t="str">
            <v>Sydney</v>
          </cell>
          <cell r="F341" t="str">
            <v>NSW</v>
          </cell>
          <cell r="G341" t="str">
            <v>Corporate</v>
          </cell>
          <cell r="H341" t="str">
            <v>Aanya Zhang</v>
          </cell>
          <cell r="I341" t="str">
            <v>Critical</v>
          </cell>
          <cell r="J341" t="str">
            <v>Apex Box Cutter Scissors</v>
          </cell>
          <cell r="K341" t="str">
            <v>Office Supplies</v>
          </cell>
          <cell r="L341" t="str">
            <v>Small Pack</v>
          </cell>
          <cell r="M341" t="str">
            <v>Regular Air</v>
          </cell>
          <cell r="N341">
            <v>41693</v>
          </cell>
          <cell r="O341">
            <v>4.1900000000000004</v>
          </cell>
          <cell r="P341">
            <v>10.23</v>
          </cell>
          <cell r="Q341">
            <v>9</v>
          </cell>
          <cell r="R341">
            <v>92.070000000000007</v>
          </cell>
          <cell r="S341">
            <v>7.0000000000000007E-2</v>
          </cell>
          <cell r="T341">
            <v>6.4449000000000014</v>
          </cell>
          <cell r="U341">
            <v>92.000000000000014</v>
          </cell>
          <cell r="V341">
            <v>4.68</v>
          </cell>
          <cell r="W341">
            <v>96.68</v>
          </cell>
        </row>
        <row r="342">
          <cell r="A342" t="str">
            <v>5420-1</v>
          </cell>
          <cell r="B342">
            <v>41692</v>
          </cell>
          <cell r="C342" t="str">
            <v>Sanjit Jacobs</v>
          </cell>
          <cell r="D342" t="str">
            <v>541 Church St,Richmond</v>
          </cell>
          <cell r="E342" t="str">
            <v>Melbourne</v>
          </cell>
          <cell r="F342" t="str">
            <v>VIC</v>
          </cell>
          <cell r="G342" t="str">
            <v>Consumer</v>
          </cell>
          <cell r="H342" t="str">
            <v>Yvette Biti</v>
          </cell>
          <cell r="I342" t="str">
            <v>High</v>
          </cell>
          <cell r="J342" t="str">
            <v>Binder Clips by OIC</v>
          </cell>
          <cell r="K342" t="str">
            <v>Office Supplies</v>
          </cell>
          <cell r="L342" t="str">
            <v>Wrap Bag</v>
          </cell>
          <cell r="M342" t="str">
            <v>Regular Air</v>
          </cell>
          <cell r="N342">
            <v>41693</v>
          </cell>
          <cell r="O342">
            <v>0.93</v>
          </cell>
          <cell r="P342">
            <v>1.48</v>
          </cell>
          <cell r="Q342">
            <v>46</v>
          </cell>
          <cell r="R342">
            <v>68.08</v>
          </cell>
          <cell r="S342">
            <v>0</v>
          </cell>
          <cell r="T342">
            <v>0</v>
          </cell>
          <cell r="U342">
            <v>68.08</v>
          </cell>
          <cell r="V342">
            <v>0.7</v>
          </cell>
          <cell r="W342">
            <v>68.78</v>
          </cell>
        </row>
        <row r="343">
          <cell r="A343" t="str">
            <v>5421-1</v>
          </cell>
          <cell r="B343">
            <v>41692</v>
          </cell>
          <cell r="C343" t="str">
            <v>Grant Thornton</v>
          </cell>
          <cell r="D343" t="str">
            <v>98 Holdsworth Street,Woollahra</v>
          </cell>
          <cell r="E343" t="str">
            <v>Sydney</v>
          </cell>
          <cell r="F343" t="str">
            <v>NSW</v>
          </cell>
          <cell r="G343" t="str">
            <v>Corporate</v>
          </cell>
          <cell r="H343" t="str">
            <v>Natasha Song</v>
          </cell>
          <cell r="I343" t="str">
            <v>High</v>
          </cell>
          <cell r="J343" t="str">
            <v>TypeRight  Top-Opening Peel &amp; Seel  Envelopes, Gray</v>
          </cell>
          <cell r="K343" t="str">
            <v>Office Supplies</v>
          </cell>
          <cell r="L343" t="str">
            <v>Small Box</v>
          </cell>
          <cell r="M343" t="str">
            <v>Regular Air</v>
          </cell>
          <cell r="N343">
            <v>41693</v>
          </cell>
          <cell r="O343">
            <v>21.56</v>
          </cell>
          <cell r="P343">
            <v>35.94</v>
          </cell>
          <cell r="Q343">
            <v>13</v>
          </cell>
          <cell r="R343">
            <v>467.21999999999997</v>
          </cell>
          <cell r="S343">
            <v>0.03</v>
          </cell>
          <cell r="T343">
            <v>14.016599999999999</v>
          </cell>
          <cell r="U343">
            <v>467.19</v>
          </cell>
          <cell r="V343">
            <v>6.66</v>
          </cell>
          <cell r="W343">
            <v>473.85</v>
          </cell>
        </row>
        <row r="344">
          <cell r="A344" t="str">
            <v>5423-1</v>
          </cell>
          <cell r="B344">
            <v>41693</v>
          </cell>
          <cell r="C344" t="str">
            <v>Erica Hackney</v>
          </cell>
          <cell r="D344" t="str">
            <v>221 Barkly St,St Kilda</v>
          </cell>
          <cell r="E344" t="str">
            <v>Melbourne</v>
          </cell>
          <cell r="F344" t="str">
            <v>VIC</v>
          </cell>
          <cell r="G344" t="str">
            <v>Small Business</v>
          </cell>
          <cell r="H344" t="str">
            <v>Yvette Biti</v>
          </cell>
          <cell r="I344" t="str">
            <v>Medium</v>
          </cell>
          <cell r="J344" t="str">
            <v>TechSavi Cordless Navigator Duo</v>
          </cell>
          <cell r="K344" t="str">
            <v>Technology</v>
          </cell>
          <cell r="L344" t="str">
            <v>Small Box</v>
          </cell>
          <cell r="M344" t="str">
            <v>Regular Air</v>
          </cell>
          <cell r="N344">
            <v>41696</v>
          </cell>
          <cell r="O344">
            <v>42.11</v>
          </cell>
          <cell r="P344">
            <v>80.98</v>
          </cell>
          <cell r="Q344">
            <v>45</v>
          </cell>
          <cell r="R344">
            <v>3644.1000000000004</v>
          </cell>
          <cell r="S344">
            <v>0</v>
          </cell>
          <cell r="T344">
            <v>0</v>
          </cell>
          <cell r="U344">
            <v>3644.1000000000004</v>
          </cell>
          <cell r="V344">
            <v>7.18</v>
          </cell>
          <cell r="W344">
            <v>3651.28</v>
          </cell>
        </row>
        <row r="345">
          <cell r="A345" t="str">
            <v>5424-1</v>
          </cell>
          <cell r="B345">
            <v>41694</v>
          </cell>
          <cell r="C345" t="str">
            <v>Chad McGuire</v>
          </cell>
          <cell r="D345" t="str">
            <v>73 MacLeay St,Potts Point</v>
          </cell>
          <cell r="E345" t="str">
            <v>Sydney</v>
          </cell>
          <cell r="F345" t="str">
            <v>NSW</v>
          </cell>
          <cell r="G345" t="str">
            <v>Small Business</v>
          </cell>
          <cell r="H345" t="str">
            <v>Natasha Song</v>
          </cell>
          <cell r="I345" t="str">
            <v>Critical</v>
          </cell>
          <cell r="J345" t="str">
            <v>Artisan Non-Stick Binders</v>
          </cell>
          <cell r="K345" t="str">
            <v>Office Supplies</v>
          </cell>
          <cell r="L345" t="str">
            <v>Small Box</v>
          </cell>
          <cell r="M345" t="str">
            <v>Regular Air</v>
          </cell>
          <cell r="N345">
            <v>41695</v>
          </cell>
          <cell r="O345">
            <v>2.74</v>
          </cell>
          <cell r="P345">
            <v>4.49</v>
          </cell>
          <cell r="Q345">
            <v>6</v>
          </cell>
          <cell r="R345">
            <v>26.94</v>
          </cell>
          <cell r="S345">
            <v>0.03</v>
          </cell>
          <cell r="T345">
            <v>0.80820000000000003</v>
          </cell>
          <cell r="U345">
            <v>26.91</v>
          </cell>
          <cell r="V345">
            <v>1.49</v>
          </cell>
          <cell r="W345">
            <v>28.4</v>
          </cell>
        </row>
        <row r="346">
          <cell r="A346" t="str">
            <v>5426-1</v>
          </cell>
          <cell r="B346">
            <v>41694</v>
          </cell>
          <cell r="C346" t="str">
            <v>Pauline Chand</v>
          </cell>
          <cell r="D346" t="str">
            <v>501 George St,Sydney</v>
          </cell>
          <cell r="E346" t="str">
            <v>Sydney</v>
          </cell>
          <cell r="F346" t="str">
            <v>NSW</v>
          </cell>
          <cell r="G346" t="str">
            <v>Small Business</v>
          </cell>
          <cell r="H346" t="str">
            <v>Samantha Chairs</v>
          </cell>
          <cell r="I346" t="str">
            <v>Not Specified</v>
          </cell>
          <cell r="J346" t="str">
            <v>EcoTones Memo Sheets</v>
          </cell>
          <cell r="K346" t="str">
            <v>Office Supplies</v>
          </cell>
          <cell r="L346" t="str">
            <v>Wrap Bag</v>
          </cell>
          <cell r="M346" t="str">
            <v>Regular Air</v>
          </cell>
          <cell r="N346">
            <v>41696</v>
          </cell>
          <cell r="O346">
            <v>2.52</v>
          </cell>
          <cell r="P346">
            <v>4</v>
          </cell>
          <cell r="Q346">
            <v>33</v>
          </cell>
          <cell r="R346">
            <v>132</v>
          </cell>
          <cell r="S346">
            <v>0.08</v>
          </cell>
          <cell r="T346">
            <v>10.56</v>
          </cell>
          <cell r="U346">
            <v>131.91999999999999</v>
          </cell>
          <cell r="V346">
            <v>1.3</v>
          </cell>
          <cell r="W346">
            <v>133.22</v>
          </cell>
        </row>
        <row r="347">
          <cell r="A347" t="str">
            <v>5428-1</v>
          </cell>
          <cell r="B347">
            <v>41695</v>
          </cell>
          <cell r="C347" t="str">
            <v>Bobby Elias</v>
          </cell>
          <cell r="D347" t="str">
            <v>506 Swan Street,Richmond</v>
          </cell>
          <cell r="E347" t="str">
            <v>Melbourne</v>
          </cell>
          <cell r="F347" t="str">
            <v>VIC</v>
          </cell>
          <cell r="G347" t="str">
            <v>Small Business</v>
          </cell>
          <cell r="H347" t="str">
            <v>Connor Betts</v>
          </cell>
          <cell r="I347" t="str">
            <v>Not Specified</v>
          </cell>
          <cell r="J347" t="str">
            <v>Creator Colored Pencils</v>
          </cell>
          <cell r="K347" t="str">
            <v>Office Supplies</v>
          </cell>
          <cell r="L347" t="str">
            <v>Wrap Bag</v>
          </cell>
          <cell r="M347" t="str">
            <v>Regular Air</v>
          </cell>
          <cell r="N347">
            <v>41696</v>
          </cell>
          <cell r="O347">
            <v>1.57</v>
          </cell>
          <cell r="P347">
            <v>3.28</v>
          </cell>
          <cell r="Q347">
            <v>26</v>
          </cell>
          <cell r="R347">
            <v>85.28</v>
          </cell>
          <cell r="S347">
            <v>0.08</v>
          </cell>
          <cell r="T347">
            <v>6.8224</v>
          </cell>
          <cell r="U347">
            <v>85.2</v>
          </cell>
          <cell r="V347">
            <v>0.98</v>
          </cell>
          <cell r="W347">
            <v>86.18</v>
          </cell>
        </row>
        <row r="348">
          <cell r="A348" t="str">
            <v>5430-1</v>
          </cell>
          <cell r="B348">
            <v>41695</v>
          </cell>
          <cell r="C348" t="str">
            <v>Gary Hwang</v>
          </cell>
          <cell r="D348" t="str">
            <v>60 York St,Sydney</v>
          </cell>
          <cell r="E348" t="str">
            <v>Sydney</v>
          </cell>
          <cell r="F348" t="str">
            <v>NSW</v>
          </cell>
          <cell r="G348" t="str">
            <v>Home Office</v>
          </cell>
          <cell r="H348" t="str">
            <v>Charlie Bui</v>
          </cell>
          <cell r="I348" t="str">
            <v>Critical</v>
          </cell>
          <cell r="J348" t="str">
            <v>Steady Liquid Accent Highlighters</v>
          </cell>
          <cell r="K348" t="str">
            <v>Office Supplies</v>
          </cell>
          <cell r="L348" t="str">
            <v>Wrap Bag</v>
          </cell>
          <cell r="M348" t="str">
            <v>Regular Air</v>
          </cell>
          <cell r="N348">
            <v>41697</v>
          </cell>
          <cell r="O348">
            <v>3.47</v>
          </cell>
          <cell r="P348">
            <v>6.68</v>
          </cell>
          <cell r="Q348">
            <v>33</v>
          </cell>
          <cell r="R348">
            <v>220.44</v>
          </cell>
          <cell r="S348">
            <v>0.03</v>
          </cell>
          <cell r="T348">
            <v>6.6132</v>
          </cell>
          <cell r="U348">
            <v>220.41</v>
          </cell>
          <cell r="V348">
            <v>1.5</v>
          </cell>
          <cell r="W348">
            <v>221.91</v>
          </cell>
        </row>
        <row r="349">
          <cell r="A349" t="str">
            <v>5432-1</v>
          </cell>
          <cell r="B349">
            <v>41698</v>
          </cell>
          <cell r="C349" t="str">
            <v>Lena Radford</v>
          </cell>
          <cell r="D349" t="str">
            <v>4A Lyons St,Strathfield</v>
          </cell>
          <cell r="E349" t="str">
            <v>Sydney</v>
          </cell>
          <cell r="F349" t="str">
            <v>NSW</v>
          </cell>
          <cell r="G349" t="str">
            <v>Small Business</v>
          </cell>
          <cell r="H349" t="str">
            <v>Tina Carlton</v>
          </cell>
          <cell r="I349" t="str">
            <v>Medium</v>
          </cell>
          <cell r="J349" t="str">
            <v>Steady EarthWrite Recycled Pencils, Medium Soft, #2</v>
          </cell>
          <cell r="K349" t="str">
            <v>Office Supplies</v>
          </cell>
          <cell r="L349" t="str">
            <v>Wrap Bag</v>
          </cell>
          <cell r="M349" t="str">
            <v>Regular Air</v>
          </cell>
          <cell r="N349">
            <v>41699</v>
          </cell>
          <cell r="O349">
            <v>0.9</v>
          </cell>
          <cell r="P349">
            <v>2.1</v>
          </cell>
          <cell r="Q349">
            <v>21</v>
          </cell>
          <cell r="R349">
            <v>44.1</v>
          </cell>
          <cell r="S349">
            <v>0.04</v>
          </cell>
          <cell r="T349">
            <v>1.764</v>
          </cell>
          <cell r="U349">
            <v>44.06</v>
          </cell>
          <cell r="V349">
            <v>0.7</v>
          </cell>
          <cell r="W349">
            <v>44.760000000000005</v>
          </cell>
        </row>
        <row r="350">
          <cell r="A350" t="str">
            <v>5433-1</v>
          </cell>
          <cell r="B350">
            <v>41700</v>
          </cell>
          <cell r="C350" t="str">
            <v>Edward Nazzal</v>
          </cell>
          <cell r="D350" t="str">
            <v>2a/285A Crown St,Surry Hills</v>
          </cell>
          <cell r="E350" t="str">
            <v>Sydney</v>
          </cell>
          <cell r="F350" t="str">
            <v>NSW</v>
          </cell>
          <cell r="G350" t="str">
            <v>Home Office</v>
          </cell>
          <cell r="H350" t="str">
            <v>Phoebe Gour</v>
          </cell>
          <cell r="I350" t="str">
            <v>Medium</v>
          </cell>
          <cell r="J350" t="str">
            <v>Binding Machine Supplies</v>
          </cell>
          <cell r="K350" t="str">
            <v>Office Supplies</v>
          </cell>
          <cell r="L350" t="str">
            <v>Small Box</v>
          </cell>
          <cell r="M350" t="str">
            <v>Regular Air</v>
          </cell>
          <cell r="N350">
            <v>41701</v>
          </cell>
          <cell r="O350">
            <v>18.38</v>
          </cell>
          <cell r="P350">
            <v>29.17</v>
          </cell>
          <cell r="Q350">
            <v>1</v>
          </cell>
          <cell r="R350">
            <v>29.17</v>
          </cell>
          <cell r="S350">
            <v>0.02</v>
          </cell>
          <cell r="T350">
            <v>0.58340000000000003</v>
          </cell>
          <cell r="U350">
            <v>29.150000000000002</v>
          </cell>
          <cell r="V350">
            <v>6.27</v>
          </cell>
          <cell r="W350">
            <v>35.42</v>
          </cell>
        </row>
        <row r="351">
          <cell r="A351" t="str">
            <v>5434-1</v>
          </cell>
          <cell r="B351">
            <v>41704</v>
          </cell>
          <cell r="C351" t="str">
            <v>Delfina Latchford</v>
          </cell>
          <cell r="D351" t="str">
            <v>8 Rankins Lane ,Melbourne</v>
          </cell>
          <cell r="E351" t="str">
            <v>Melbourne</v>
          </cell>
          <cell r="F351" t="str">
            <v>VIC</v>
          </cell>
          <cell r="G351" t="str">
            <v>Small Business</v>
          </cell>
          <cell r="H351" t="str">
            <v>Connor Betts</v>
          </cell>
          <cell r="I351" t="str">
            <v>Critical</v>
          </cell>
          <cell r="J351" t="str">
            <v>Beekin 6 Outlet Metallic Surge Strip</v>
          </cell>
          <cell r="K351" t="str">
            <v>Office Supplies</v>
          </cell>
          <cell r="L351" t="str">
            <v>Small Box</v>
          </cell>
          <cell r="M351" t="str">
            <v>Regular Air</v>
          </cell>
          <cell r="N351">
            <v>41705</v>
          </cell>
          <cell r="O351">
            <v>4.46</v>
          </cell>
          <cell r="P351">
            <v>10.89</v>
          </cell>
          <cell r="Q351">
            <v>32</v>
          </cell>
          <cell r="R351">
            <v>348.48</v>
          </cell>
          <cell r="S351">
            <v>0.1</v>
          </cell>
          <cell r="T351">
            <v>34.848000000000006</v>
          </cell>
          <cell r="U351">
            <v>348.38</v>
          </cell>
          <cell r="V351">
            <v>4.5</v>
          </cell>
          <cell r="W351">
            <v>352.88</v>
          </cell>
        </row>
        <row r="352">
          <cell r="A352" t="str">
            <v>5435-1</v>
          </cell>
          <cell r="B352">
            <v>41708</v>
          </cell>
          <cell r="C352" t="str">
            <v>Adam Hart</v>
          </cell>
          <cell r="D352" t="str">
            <v>2a/285A Crown St,Surry Hills</v>
          </cell>
          <cell r="E352" t="str">
            <v>Sydney</v>
          </cell>
          <cell r="F352" t="str">
            <v>NSW</v>
          </cell>
          <cell r="G352" t="str">
            <v>Corporate</v>
          </cell>
          <cell r="H352" t="str">
            <v>Phoebe Gour</v>
          </cell>
          <cell r="I352" t="str">
            <v>Not Specified</v>
          </cell>
          <cell r="J352" t="str">
            <v>Artisan 481 Labels</v>
          </cell>
          <cell r="K352" t="str">
            <v>Office Supplies</v>
          </cell>
          <cell r="L352" t="str">
            <v>Small Box</v>
          </cell>
          <cell r="M352" t="str">
            <v>Regular Air</v>
          </cell>
          <cell r="N352">
            <v>41709</v>
          </cell>
          <cell r="O352">
            <v>1.94</v>
          </cell>
          <cell r="P352">
            <v>3.08</v>
          </cell>
          <cell r="Q352">
            <v>1</v>
          </cell>
          <cell r="R352">
            <v>3.08</v>
          </cell>
          <cell r="S352">
            <v>0.08</v>
          </cell>
          <cell r="T352">
            <v>0.24640000000000001</v>
          </cell>
          <cell r="U352">
            <v>3</v>
          </cell>
          <cell r="V352">
            <v>0.99</v>
          </cell>
          <cell r="W352">
            <v>3.99</v>
          </cell>
        </row>
        <row r="353">
          <cell r="A353" t="str">
            <v>5436-1</v>
          </cell>
          <cell r="B353">
            <v>41709</v>
          </cell>
          <cell r="C353" t="str">
            <v>Rick Duston</v>
          </cell>
          <cell r="D353" t="str">
            <v>260 Marrickville Rd,Marrickville</v>
          </cell>
          <cell r="E353" t="str">
            <v>Sydney</v>
          </cell>
          <cell r="F353" t="str">
            <v>NSW</v>
          </cell>
          <cell r="G353" t="str">
            <v>Corporate</v>
          </cell>
          <cell r="H353" t="str">
            <v>Nicholas Fernandes</v>
          </cell>
          <cell r="I353" t="str">
            <v>Medium</v>
          </cell>
          <cell r="J353" t="str">
            <v>Airmail Envelopes</v>
          </cell>
          <cell r="K353" t="str">
            <v>Office Supplies</v>
          </cell>
          <cell r="L353" t="str">
            <v>Small Box</v>
          </cell>
          <cell r="M353" t="str">
            <v>Regular Air</v>
          </cell>
          <cell r="N353">
            <v>41710</v>
          </cell>
          <cell r="O353">
            <v>52.04</v>
          </cell>
          <cell r="P353">
            <v>83.93</v>
          </cell>
          <cell r="Q353">
            <v>50</v>
          </cell>
          <cell r="R353">
            <v>4196.5</v>
          </cell>
          <cell r="S353">
            <v>0.1</v>
          </cell>
          <cell r="T353">
            <v>419.65000000000003</v>
          </cell>
          <cell r="U353">
            <v>4196.3999999999996</v>
          </cell>
          <cell r="V353">
            <v>19.989999999999998</v>
          </cell>
          <cell r="W353">
            <v>4216.3899999999994</v>
          </cell>
        </row>
        <row r="354">
          <cell r="A354" t="str">
            <v>5438-1</v>
          </cell>
          <cell r="B354">
            <v>41710</v>
          </cell>
          <cell r="C354" t="str">
            <v>Matt Collister</v>
          </cell>
          <cell r="D354" t="str">
            <v>99 Glebe Point Rd,Glebe</v>
          </cell>
          <cell r="E354" t="str">
            <v>Sydney</v>
          </cell>
          <cell r="F354" t="str">
            <v>NSW</v>
          </cell>
          <cell r="G354" t="str">
            <v>Home Office</v>
          </cell>
          <cell r="H354" t="str">
            <v>Natasha Song</v>
          </cell>
          <cell r="I354" t="str">
            <v>High</v>
          </cell>
          <cell r="J354" t="str">
            <v>TechSavi Cordless Elite Duo</v>
          </cell>
          <cell r="K354" t="str">
            <v>Technology</v>
          </cell>
          <cell r="L354" t="str">
            <v>Small Box</v>
          </cell>
          <cell r="M354" t="str">
            <v>Express Air</v>
          </cell>
          <cell r="N354">
            <v>41711</v>
          </cell>
          <cell r="O354">
            <v>60.59</v>
          </cell>
          <cell r="P354">
            <v>100.98</v>
          </cell>
          <cell r="Q354">
            <v>5</v>
          </cell>
          <cell r="R354">
            <v>504.90000000000003</v>
          </cell>
          <cell r="S354">
            <v>0.02</v>
          </cell>
          <cell r="T354">
            <v>10.098000000000001</v>
          </cell>
          <cell r="U354">
            <v>504.88000000000005</v>
          </cell>
          <cell r="V354">
            <v>7.18</v>
          </cell>
          <cell r="W354">
            <v>512.06000000000006</v>
          </cell>
        </row>
        <row r="355">
          <cell r="A355" t="str">
            <v>5439-1</v>
          </cell>
          <cell r="B355">
            <v>41711</v>
          </cell>
          <cell r="C355" t="str">
            <v>Dennis Pardue</v>
          </cell>
          <cell r="D355" t="str">
            <v>412 Brunswick St,Fitzroy</v>
          </cell>
          <cell r="E355" t="str">
            <v>Melbourne</v>
          </cell>
          <cell r="F355" t="str">
            <v>VIC</v>
          </cell>
          <cell r="G355" t="str">
            <v>Corporate</v>
          </cell>
          <cell r="H355" t="str">
            <v>Connor Betts</v>
          </cell>
          <cell r="I355" t="str">
            <v>Low</v>
          </cell>
          <cell r="J355" t="str">
            <v>Steady Major Accent Highlighters</v>
          </cell>
          <cell r="K355" t="str">
            <v>Office Supplies</v>
          </cell>
          <cell r="L355" t="str">
            <v>Wrap Bag</v>
          </cell>
          <cell r="M355" t="str">
            <v>Regular Air</v>
          </cell>
          <cell r="N355">
            <v>41711</v>
          </cell>
          <cell r="O355">
            <v>3.75</v>
          </cell>
          <cell r="P355">
            <v>7.08</v>
          </cell>
          <cell r="Q355">
            <v>34</v>
          </cell>
          <cell r="R355">
            <v>240.72</v>
          </cell>
          <cell r="S355">
            <v>0.03</v>
          </cell>
          <cell r="T355">
            <v>7.2215999999999996</v>
          </cell>
          <cell r="U355">
            <v>240.69</v>
          </cell>
          <cell r="V355">
            <v>2.35</v>
          </cell>
          <cell r="W355">
            <v>243.04</v>
          </cell>
        </row>
        <row r="356">
          <cell r="A356" t="str">
            <v>5440-1</v>
          </cell>
          <cell r="B356">
            <v>41713</v>
          </cell>
          <cell r="C356" t="str">
            <v>Toby Swindell</v>
          </cell>
          <cell r="D356" t="str">
            <v>273 George Street,Sydney</v>
          </cell>
          <cell r="E356" t="str">
            <v>Sydney</v>
          </cell>
          <cell r="F356" t="str">
            <v>NSW</v>
          </cell>
          <cell r="G356" t="str">
            <v>Small Business</v>
          </cell>
          <cell r="H356" t="str">
            <v>Leighton Forrest</v>
          </cell>
          <cell r="I356" t="str">
            <v>Critical</v>
          </cell>
          <cell r="J356" t="str">
            <v>Binder Posts</v>
          </cell>
          <cell r="K356" t="str">
            <v>Office Supplies</v>
          </cell>
          <cell r="L356" t="str">
            <v>Small Box</v>
          </cell>
          <cell r="M356" t="str">
            <v>Regular Air</v>
          </cell>
          <cell r="N356">
            <v>41713</v>
          </cell>
          <cell r="O356">
            <v>3.5</v>
          </cell>
          <cell r="P356">
            <v>5.74</v>
          </cell>
          <cell r="Q356">
            <v>45</v>
          </cell>
          <cell r="R356">
            <v>258.3</v>
          </cell>
          <cell r="S356">
            <v>0</v>
          </cell>
          <cell r="T356">
            <v>0</v>
          </cell>
          <cell r="U356">
            <v>258.3</v>
          </cell>
          <cell r="V356">
            <v>5.01</v>
          </cell>
          <cell r="W356">
            <v>263.31</v>
          </cell>
        </row>
        <row r="357">
          <cell r="A357" t="str">
            <v>5442-1</v>
          </cell>
          <cell r="B357">
            <v>41715</v>
          </cell>
          <cell r="C357" t="str">
            <v>Troy Blackwell</v>
          </cell>
          <cell r="D357" t="str">
            <v>3/219 Canley Vale Road,Canley Heights</v>
          </cell>
          <cell r="E357" t="str">
            <v>Sydney</v>
          </cell>
          <cell r="F357" t="str">
            <v>NSW</v>
          </cell>
          <cell r="G357" t="str">
            <v>Home Office</v>
          </cell>
          <cell r="H357" t="str">
            <v>Mihael Khan</v>
          </cell>
          <cell r="I357" t="str">
            <v>Critical</v>
          </cell>
          <cell r="J357" t="str">
            <v>12 Colored Short Pencils</v>
          </cell>
          <cell r="K357" t="str">
            <v>Office Supplies</v>
          </cell>
          <cell r="L357" t="str">
            <v>Wrap Bag</v>
          </cell>
          <cell r="M357" t="str">
            <v>Regular Air</v>
          </cell>
          <cell r="N357">
            <v>41716</v>
          </cell>
          <cell r="O357">
            <v>1.0900000000000001</v>
          </cell>
          <cell r="P357">
            <v>2.6</v>
          </cell>
          <cell r="Q357">
            <v>43</v>
          </cell>
          <cell r="R357">
            <v>111.8</v>
          </cell>
          <cell r="S357">
            <v>0.01</v>
          </cell>
          <cell r="T357">
            <v>1.1180000000000001</v>
          </cell>
          <cell r="U357">
            <v>111.78999999999999</v>
          </cell>
          <cell r="V357">
            <v>2.4</v>
          </cell>
          <cell r="W357">
            <v>114.19</v>
          </cell>
        </row>
        <row r="358">
          <cell r="A358" t="str">
            <v>5444-1</v>
          </cell>
          <cell r="B358">
            <v>41715</v>
          </cell>
          <cell r="C358" t="str">
            <v>Carl Ludwig</v>
          </cell>
          <cell r="D358" t="str">
            <v>1/173-179 Bronte Rd,Waverley</v>
          </cell>
          <cell r="E358" t="str">
            <v>Sydney</v>
          </cell>
          <cell r="F358" t="str">
            <v>NSW</v>
          </cell>
          <cell r="G358" t="str">
            <v>Corporate</v>
          </cell>
          <cell r="H358" t="str">
            <v>Leighton Forrest</v>
          </cell>
          <cell r="I358" t="str">
            <v>Not Specified</v>
          </cell>
          <cell r="J358" t="str">
            <v>Alto Perma 2700 Stacking Storage Drawers</v>
          </cell>
          <cell r="K358" t="str">
            <v>Office Supplies</v>
          </cell>
          <cell r="L358" t="str">
            <v>Small Box</v>
          </cell>
          <cell r="M358" t="str">
            <v>Regular Air</v>
          </cell>
          <cell r="N358">
            <v>41716</v>
          </cell>
          <cell r="O358">
            <v>8.92</v>
          </cell>
          <cell r="P358">
            <v>29.74</v>
          </cell>
          <cell r="Q358">
            <v>25</v>
          </cell>
          <cell r="R358">
            <v>743.5</v>
          </cell>
          <cell r="S358">
            <v>0</v>
          </cell>
          <cell r="T358">
            <v>0</v>
          </cell>
          <cell r="U358">
            <v>743.5</v>
          </cell>
          <cell r="V358">
            <v>6.64</v>
          </cell>
          <cell r="W358">
            <v>750.14</v>
          </cell>
        </row>
        <row r="359">
          <cell r="A359" t="str">
            <v>5445-1</v>
          </cell>
          <cell r="B359">
            <v>41715</v>
          </cell>
          <cell r="C359" t="str">
            <v>Chad Cunningham</v>
          </cell>
          <cell r="D359" t="str">
            <v>499-501 Lygon Street,Carlton North</v>
          </cell>
          <cell r="E359" t="str">
            <v>Melbourne</v>
          </cell>
          <cell r="F359" t="str">
            <v>VIC</v>
          </cell>
          <cell r="G359" t="str">
            <v>Small Business</v>
          </cell>
          <cell r="H359" t="str">
            <v>Yvette Biti</v>
          </cell>
          <cell r="I359" t="str">
            <v>Not Specified</v>
          </cell>
          <cell r="J359" t="str">
            <v>Smiths Colored Bar Computer Paper</v>
          </cell>
          <cell r="K359" t="str">
            <v>Office Supplies</v>
          </cell>
          <cell r="L359" t="str">
            <v>Small Box</v>
          </cell>
          <cell r="M359" t="str">
            <v>Regular Air</v>
          </cell>
          <cell r="N359">
            <v>41716</v>
          </cell>
          <cell r="O359">
            <v>21.97</v>
          </cell>
          <cell r="P359">
            <v>35.44</v>
          </cell>
          <cell r="Q359">
            <v>21</v>
          </cell>
          <cell r="R359">
            <v>744.24</v>
          </cell>
          <cell r="S359">
            <v>0</v>
          </cell>
          <cell r="T359">
            <v>0</v>
          </cell>
          <cell r="U359">
            <v>744.24</v>
          </cell>
          <cell r="V359">
            <v>4.92</v>
          </cell>
          <cell r="W359">
            <v>749.16</v>
          </cell>
        </row>
        <row r="360">
          <cell r="A360" t="str">
            <v>5446-1</v>
          </cell>
          <cell r="B360">
            <v>41717</v>
          </cell>
          <cell r="C360" t="str">
            <v>Michael Paige</v>
          </cell>
          <cell r="D360" t="str">
            <v>506 Swan Street,Richmond</v>
          </cell>
          <cell r="E360" t="str">
            <v>Melbourne</v>
          </cell>
          <cell r="F360" t="str">
            <v>VIC</v>
          </cell>
          <cell r="G360" t="str">
            <v>Small Business</v>
          </cell>
          <cell r="H360" t="str">
            <v>Connor Betts</v>
          </cell>
          <cell r="I360" t="str">
            <v>Critical</v>
          </cell>
          <cell r="J360" t="str">
            <v>Artisan Poly Binder Pockets</v>
          </cell>
          <cell r="K360" t="str">
            <v>Office Supplies</v>
          </cell>
          <cell r="L360" t="str">
            <v>Small Box</v>
          </cell>
          <cell r="M360" t="str">
            <v>Regular Air</v>
          </cell>
          <cell r="N360">
            <v>41719</v>
          </cell>
          <cell r="O360">
            <v>2.2599999999999998</v>
          </cell>
          <cell r="P360">
            <v>3.58</v>
          </cell>
          <cell r="Q360">
            <v>39</v>
          </cell>
          <cell r="R360">
            <v>139.62</v>
          </cell>
          <cell r="S360">
            <v>0</v>
          </cell>
          <cell r="T360">
            <v>0</v>
          </cell>
          <cell r="U360">
            <v>139.62</v>
          </cell>
          <cell r="V360">
            <v>5.47</v>
          </cell>
          <cell r="W360">
            <v>145.09</v>
          </cell>
        </row>
        <row r="361">
          <cell r="A361" t="str">
            <v>5448-1</v>
          </cell>
          <cell r="B361">
            <v>41719</v>
          </cell>
          <cell r="C361" t="str">
            <v>Justin Ellison</v>
          </cell>
          <cell r="D361" t="str">
            <v>163 Concord Road,North Strathfield</v>
          </cell>
          <cell r="E361" t="str">
            <v>Sydney</v>
          </cell>
          <cell r="F361" t="str">
            <v>NSW</v>
          </cell>
          <cell r="G361" t="str">
            <v>Home Office</v>
          </cell>
          <cell r="H361" t="str">
            <v>Charlie Bui</v>
          </cell>
          <cell r="I361" t="str">
            <v>Low</v>
          </cell>
          <cell r="J361" t="str">
            <v>Artisan 481 Labels</v>
          </cell>
          <cell r="K361" t="str">
            <v>Office Supplies</v>
          </cell>
          <cell r="L361" t="str">
            <v>Small Box</v>
          </cell>
          <cell r="M361" t="str">
            <v>Regular Air</v>
          </cell>
          <cell r="N361">
            <v>41724</v>
          </cell>
          <cell r="O361">
            <v>1.94</v>
          </cell>
          <cell r="P361">
            <v>3.08</v>
          </cell>
          <cell r="Q361">
            <v>5</v>
          </cell>
          <cell r="R361">
            <v>15.4</v>
          </cell>
          <cell r="S361">
            <v>0.06</v>
          </cell>
          <cell r="T361">
            <v>0.92399999999999993</v>
          </cell>
          <cell r="U361">
            <v>15.34</v>
          </cell>
          <cell r="V361">
            <v>0.99</v>
          </cell>
          <cell r="W361">
            <v>16.329999999999998</v>
          </cell>
        </row>
        <row r="362">
          <cell r="A362" t="str">
            <v>5449-1</v>
          </cell>
          <cell r="B362">
            <v>41726</v>
          </cell>
          <cell r="C362" t="str">
            <v>Dionis Lloyd</v>
          </cell>
          <cell r="D362" t="str">
            <v>85-113 Dunning Ave,Rosebery</v>
          </cell>
          <cell r="E362" t="str">
            <v>Sydney</v>
          </cell>
          <cell r="F362" t="str">
            <v>NSW</v>
          </cell>
          <cell r="G362" t="str">
            <v>Small Business</v>
          </cell>
          <cell r="H362" t="str">
            <v>Mihael Khan</v>
          </cell>
          <cell r="I362" t="str">
            <v>High</v>
          </cell>
          <cell r="J362" t="str">
            <v>Brown Kraft Recycled Envelopes</v>
          </cell>
          <cell r="K362" t="str">
            <v>Office Supplies</v>
          </cell>
          <cell r="L362" t="str">
            <v>Small Box</v>
          </cell>
          <cell r="M362" t="str">
            <v>Regular Air</v>
          </cell>
          <cell r="N362">
            <v>41726</v>
          </cell>
          <cell r="O362">
            <v>11.04</v>
          </cell>
          <cell r="P362">
            <v>16.98</v>
          </cell>
          <cell r="Q362">
            <v>31</v>
          </cell>
          <cell r="R362">
            <v>526.38</v>
          </cell>
          <cell r="S362">
            <v>0.03</v>
          </cell>
          <cell r="T362">
            <v>15.791399999999999</v>
          </cell>
          <cell r="U362">
            <v>526.35</v>
          </cell>
          <cell r="V362">
            <v>12.39</v>
          </cell>
          <cell r="W362">
            <v>538.74</v>
          </cell>
        </row>
        <row r="363">
          <cell r="A363" t="str">
            <v>5450-1</v>
          </cell>
          <cell r="B363">
            <v>41727</v>
          </cell>
          <cell r="C363" t="str">
            <v>Ralph Knight</v>
          </cell>
          <cell r="D363" t="str">
            <v>5/63-71 Enmore Rd,Newtown</v>
          </cell>
          <cell r="E363" t="str">
            <v>Sydney</v>
          </cell>
          <cell r="F363" t="str">
            <v>NSW</v>
          </cell>
          <cell r="G363" t="str">
            <v>Consumer</v>
          </cell>
          <cell r="H363" t="str">
            <v>Charlie Bui</v>
          </cell>
          <cell r="I363" t="str">
            <v>Not Specified</v>
          </cell>
          <cell r="J363" t="str">
            <v>Angle-D Binders with Locking Rings, Label Holders</v>
          </cell>
          <cell r="K363" t="str">
            <v>Office Supplies</v>
          </cell>
          <cell r="L363" t="str">
            <v>Small Box</v>
          </cell>
          <cell r="M363" t="str">
            <v>Regular Air</v>
          </cell>
          <cell r="N363">
            <v>41728</v>
          </cell>
          <cell r="O363">
            <v>4.53</v>
          </cell>
          <cell r="P363">
            <v>7.3</v>
          </cell>
          <cell r="Q363">
            <v>18</v>
          </cell>
          <cell r="R363">
            <v>131.4</v>
          </cell>
          <cell r="S363">
            <v>0.05</v>
          </cell>
          <cell r="T363">
            <v>6.57</v>
          </cell>
          <cell r="U363">
            <v>131.35</v>
          </cell>
          <cell r="V363">
            <v>7.72</v>
          </cell>
          <cell r="W363">
            <v>139.07</v>
          </cell>
        </row>
        <row r="364">
          <cell r="A364" t="str">
            <v>5451-1</v>
          </cell>
          <cell r="B364">
            <v>41729</v>
          </cell>
          <cell r="C364" t="str">
            <v>Roland Murray</v>
          </cell>
          <cell r="D364" t="str">
            <v>Westfield 1 Anderson St,Chatswood</v>
          </cell>
          <cell r="E364" t="str">
            <v>Sydney</v>
          </cell>
          <cell r="F364" t="str">
            <v>NSW</v>
          </cell>
          <cell r="G364" t="str">
            <v>Home Office</v>
          </cell>
          <cell r="H364" t="str">
            <v>Nicholas Fernandes</v>
          </cell>
          <cell r="I364" t="str">
            <v>Not Specified</v>
          </cell>
          <cell r="J364" t="str">
            <v>DrawIt Colored Pencils</v>
          </cell>
          <cell r="K364" t="str">
            <v>Office Supplies</v>
          </cell>
          <cell r="L364" t="str">
            <v>Wrap Bag</v>
          </cell>
          <cell r="M364" t="str">
            <v>Regular Air</v>
          </cell>
          <cell r="N364">
            <v>41729</v>
          </cell>
          <cell r="O364">
            <v>4.37</v>
          </cell>
          <cell r="P364">
            <v>9.11</v>
          </cell>
          <cell r="Q364">
            <v>1</v>
          </cell>
          <cell r="R364">
            <v>9.11</v>
          </cell>
          <cell r="S364">
            <v>0.1</v>
          </cell>
          <cell r="T364">
            <v>0.91100000000000003</v>
          </cell>
          <cell r="U364">
            <v>9.01</v>
          </cell>
          <cell r="V364">
            <v>2.25</v>
          </cell>
          <cell r="W364">
            <v>11.26</v>
          </cell>
        </row>
        <row r="365">
          <cell r="A365" t="str">
            <v>5453-1</v>
          </cell>
          <cell r="B365">
            <v>41730</v>
          </cell>
          <cell r="C365" t="str">
            <v>Anne Pryor</v>
          </cell>
          <cell r="D365" t="str">
            <v>1-2/299 Sussex St,Sydney</v>
          </cell>
          <cell r="E365" t="str">
            <v>Sydney</v>
          </cell>
          <cell r="F365" t="str">
            <v>NSW</v>
          </cell>
          <cell r="G365" t="str">
            <v>Consumer</v>
          </cell>
          <cell r="H365" t="str">
            <v>Aanya Zhang</v>
          </cell>
          <cell r="I365" t="str">
            <v>Critical</v>
          </cell>
          <cell r="J365" t="str">
            <v>Steady 52201 APSCO Electric Pencil Sharpener</v>
          </cell>
          <cell r="K365" t="str">
            <v>Office Supplies</v>
          </cell>
          <cell r="L365" t="str">
            <v>Small Pack</v>
          </cell>
          <cell r="M365" t="str">
            <v>Regular Air</v>
          </cell>
          <cell r="N365">
            <v>41731</v>
          </cell>
          <cell r="O365">
            <v>16.8</v>
          </cell>
          <cell r="P365">
            <v>40.97</v>
          </cell>
          <cell r="Q365">
            <v>44</v>
          </cell>
          <cell r="R365">
            <v>1802.6799999999998</v>
          </cell>
          <cell r="S365">
            <v>0.08</v>
          </cell>
          <cell r="T365">
            <v>144.21439999999998</v>
          </cell>
          <cell r="U365">
            <v>1802.6</v>
          </cell>
          <cell r="V365">
            <v>8.99</v>
          </cell>
          <cell r="W365">
            <v>1811.59</v>
          </cell>
        </row>
        <row r="366">
          <cell r="A366" t="str">
            <v>5455-1</v>
          </cell>
          <cell r="B366">
            <v>41731</v>
          </cell>
          <cell r="C366" t="str">
            <v>Rob Haberlin</v>
          </cell>
          <cell r="D366" t="str">
            <v>8 Rankins Lane ,Melbourne</v>
          </cell>
          <cell r="E366" t="str">
            <v>Melbourne</v>
          </cell>
          <cell r="F366" t="str">
            <v>VIC</v>
          </cell>
          <cell r="G366" t="str">
            <v>Corporate</v>
          </cell>
          <cell r="H366" t="str">
            <v>Connor Betts</v>
          </cell>
          <cell r="I366" t="str">
            <v>Medium</v>
          </cell>
          <cell r="J366" t="str">
            <v>Alto Perma 3000 Stacking Storage Drawers</v>
          </cell>
          <cell r="K366" t="str">
            <v>Office Supplies</v>
          </cell>
          <cell r="L366" t="str">
            <v>Small Box</v>
          </cell>
          <cell r="M366" t="str">
            <v>Regular Air</v>
          </cell>
          <cell r="N366">
            <v>41733</v>
          </cell>
          <cell r="O366">
            <v>7.13</v>
          </cell>
          <cell r="P366">
            <v>20.98</v>
          </cell>
          <cell r="Q366">
            <v>39</v>
          </cell>
          <cell r="R366">
            <v>818.22</v>
          </cell>
          <cell r="S366">
            <v>0.04</v>
          </cell>
          <cell r="T366">
            <v>32.7288</v>
          </cell>
          <cell r="U366">
            <v>818.18000000000006</v>
          </cell>
          <cell r="V366">
            <v>5.42</v>
          </cell>
          <cell r="W366">
            <v>823.6</v>
          </cell>
        </row>
        <row r="367">
          <cell r="A367" t="str">
            <v>5456-1</v>
          </cell>
          <cell r="B367">
            <v>41731</v>
          </cell>
          <cell r="C367" t="str">
            <v>Patrick Bzostek</v>
          </cell>
          <cell r="D367" t="str">
            <v>1/50-58 Hunter St,Sydney</v>
          </cell>
          <cell r="E367" t="str">
            <v>Sydney</v>
          </cell>
          <cell r="F367" t="str">
            <v>NSW</v>
          </cell>
          <cell r="G367" t="str">
            <v>Consumer</v>
          </cell>
          <cell r="H367" t="str">
            <v>Preston Senome</v>
          </cell>
          <cell r="I367" t="str">
            <v>Critical</v>
          </cell>
          <cell r="J367" t="str">
            <v>Barrel Sharpener</v>
          </cell>
          <cell r="K367" t="str">
            <v>Office Supplies</v>
          </cell>
          <cell r="L367" t="str">
            <v>Small Pack</v>
          </cell>
          <cell r="M367" t="str">
            <v>Regular Air</v>
          </cell>
          <cell r="N367">
            <v>41733</v>
          </cell>
          <cell r="O367">
            <v>1.46</v>
          </cell>
          <cell r="P367">
            <v>3.57</v>
          </cell>
          <cell r="Q367">
            <v>41</v>
          </cell>
          <cell r="R367">
            <v>146.37</v>
          </cell>
          <cell r="S367">
            <v>0.03</v>
          </cell>
          <cell r="T367">
            <v>4.3910999999999998</v>
          </cell>
          <cell r="U367">
            <v>146.34</v>
          </cell>
          <cell r="V367">
            <v>4.17</v>
          </cell>
          <cell r="W367">
            <v>150.51</v>
          </cell>
        </row>
        <row r="368">
          <cell r="A368" t="str">
            <v>5457-1</v>
          </cell>
          <cell r="B368">
            <v>41732</v>
          </cell>
          <cell r="C368" t="str">
            <v>Alex Grayson</v>
          </cell>
          <cell r="D368" t="str">
            <v>644 George St,Sydney</v>
          </cell>
          <cell r="E368" t="str">
            <v>Sydney</v>
          </cell>
          <cell r="F368" t="str">
            <v>NSW</v>
          </cell>
          <cell r="G368" t="str">
            <v>Consumer</v>
          </cell>
          <cell r="H368" t="str">
            <v>Radhya Staples</v>
          </cell>
          <cell r="I368" t="str">
            <v>Medium</v>
          </cell>
          <cell r="J368" t="str">
            <v>OIC Bulk Pack Metal Binder Clips</v>
          </cell>
          <cell r="K368" t="str">
            <v>Office Supplies</v>
          </cell>
          <cell r="L368" t="str">
            <v>Wrap Bag</v>
          </cell>
          <cell r="M368" t="str">
            <v>Regular Air</v>
          </cell>
          <cell r="N368">
            <v>41734</v>
          </cell>
          <cell r="O368">
            <v>2.13</v>
          </cell>
          <cell r="P368">
            <v>3.49</v>
          </cell>
          <cell r="Q368">
            <v>46</v>
          </cell>
          <cell r="R368">
            <v>160.54000000000002</v>
          </cell>
          <cell r="S368">
            <v>0.01</v>
          </cell>
          <cell r="T368">
            <v>1.6054000000000002</v>
          </cell>
          <cell r="U368">
            <v>160.53000000000003</v>
          </cell>
          <cell r="V368">
            <v>0.76</v>
          </cell>
          <cell r="W368">
            <v>161.29000000000002</v>
          </cell>
        </row>
        <row r="369">
          <cell r="A369" t="str">
            <v>5458-1</v>
          </cell>
          <cell r="B369">
            <v>41733</v>
          </cell>
          <cell r="C369" t="str">
            <v>Jesus Ocampo</v>
          </cell>
          <cell r="D369" t="str">
            <v>60 Commercial Rd,Prahran</v>
          </cell>
          <cell r="E369" t="str">
            <v>Melbourne</v>
          </cell>
          <cell r="F369" t="str">
            <v>VIC</v>
          </cell>
          <cell r="G369" t="str">
            <v>Small Business</v>
          </cell>
          <cell r="H369" t="str">
            <v>Yvette Biti</v>
          </cell>
          <cell r="I369" t="str">
            <v>Not Specified</v>
          </cell>
          <cell r="J369" t="str">
            <v>Artisan 48 Labels</v>
          </cell>
          <cell r="K369" t="str">
            <v>Office Supplies</v>
          </cell>
          <cell r="L369" t="str">
            <v>Small Box</v>
          </cell>
          <cell r="M369" t="str">
            <v>Regular Air</v>
          </cell>
          <cell r="N369">
            <v>41734</v>
          </cell>
          <cell r="O369">
            <v>3.84</v>
          </cell>
          <cell r="P369">
            <v>6.3</v>
          </cell>
          <cell r="Q369">
            <v>18</v>
          </cell>
          <cell r="R369">
            <v>113.39999999999999</v>
          </cell>
          <cell r="S369">
            <v>0.1</v>
          </cell>
          <cell r="T369">
            <v>11.34</v>
          </cell>
          <cell r="U369">
            <v>113.3</v>
          </cell>
          <cell r="V369">
            <v>0.5</v>
          </cell>
          <cell r="W369">
            <v>113.8</v>
          </cell>
        </row>
        <row r="370">
          <cell r="A370" t="str">
            <v>5460-1</v>
          </cell>
          <cell r="B370">
            <v>41735</v>
          </cell>
          <cell r="C370" t="str">
            <v>Steve Chapman</v>
          </cell>
          <cell r="D370" t="str">
            <v>1/50-58 Hunter St,Sydney</v>
          </cell>
          <cell r="E370" t="str">
            <v>Sydney</v>
          </cell>
          <cell r="F370" t="str">
            <v>NSW</v>
          </cell>
          <cell r="G370" t="str">
            <v>Corporate</v>
          </cell>
          <cell r="H370" t="str">
            <v>Preston Senome</v>
          </cell>
          <cell r="I370" t="str">
            <v>Low</v>
          </cell>
          <cell r="J370" t="str">
            <v>Artisan Hi-Liter Comfort Grip Fluorescent Highlighter, Yellow Ink</v>
          </cell>
          <cell r="K370" t="str">
            <v>Office Supplies</v>
          </cell>
          <cell r="L370" t="str">
            <v>Wrap Bag</v>
          </cell>
          <cell r="M370" t="str">
            <v>Regular Air</v>
          </cell>
          <cell r="N370">
            <v>41740</v>
          </cell>
          <cell r="O370">
            <v>1.05</v>
          </cell>
          <cell r="P370">
            <v>1.95</v>
          </cell>
          <cell r="Q370">
            <v>31</v>
          </cell>
          <cell r="R370">
            <v>60.449999999999996</v>
          </cell>
          <cell r="S370">
            <v>0.02</v>
          </cell>
          <cell r="T370">
            <v>1.2089999999999999</v>
          </cell>
          <cell r="U370">
            <v>60.429999999999993</v>
          </cell>
          <cell r="V370">
            <v>1.63</v>
          </cell>
          <cell r="W370">
            <v>62.059999999999995</v>
          </cell>
        </row>
        <row r="371">
          <cell r="A371" t="str">
            <v>5461-1</v>
          </cell>
          <cell r="B371">
            <v>41736</v>
          </cell>
          <cell r="C371" t="str">
            <v>Mike Kennedy</v>
          </cell>
          <cell r="D371" t="str">
            <v>99 Lygon Street,East Brunswick</v>
          </cell>
          <cell r="E371" t="str">
            <v>Melbourne</v>
          </cell>
          <cell r="F371" t="str">
            <v>VIC</v>
          </cell>
          <cell r="G371" t="str">
            <v>Corporate</v>
          </cell>
          <cell r="H371" t="str">
            <v>Connor Betts</v>
          </cell>
          <cell r="I371" t="str">
            <v>Critical</v>
          </cell>
          <cell r="J371" t="str">
            <v>Bagged Rubber Bands</v>
          </cell>
          <cell r="K371" t="str">
            <v>Office Supplies</v>
          </cell>
          <cell r="L371" t="str">
            <v>Wrap Bag</v>
          </cell>
          <cell r="M371" t="str">
            <v>Regular Air</v>
          </cell>
          <cell r="N371">
            <v>41736</v>
          </cell>
          <cell r="O371">
            <v>0.24</v>
          </cell>
          <cell r="P371">
            <v>1.26</v>
          </cell>
          <cell r="Q371">
            <v>35</v>
          </cell>
          <cell r="R371">
            <v>44.1</v>
          </cell>
          <cell r="S371">
            <v>0.09</v>
          </cell>
          <cell r="T371">
            <v>3.9689999999999999</v>
          </cell>
          <cell r="U371">
            <v>44.01</v>
          </cell>
          <cell r="V371">
            <v>0.7</v>
          </cell>
          <cell r="W371">
            <v>44.71</v>
          </cell>
        </row>
        <row r="372">
          <cell r="A372" t="str">
            <v>5463-1</v>
          </cell>
          <cell r="B372">
            <v>41736</v>
          </cell>
          <cell r="C372" t="str">
            <v>Carlos Daly</v>
          </cell>
          <cell r="D372" t="str">
            <v>5/63-71 Enmore Rd,Newtown</v>
          </cell>
          <cell r="E372" t="str">
            <v>Sydney</v>
          </cell>
          <cell r="F372" t="str">
            <v>NSW</v>
          </cell>
          <cell r="G372" t="str">
            <v>Home Office</v>
          </cell>
          <cell r="H372" t="str">
            <v>Charlie Bui</v>
          </cell>
          <cell r="I372" t="str">
            <v>Not Specified</v>
          </cell>
          <cell r="J372" t="str">
            <v>Emerson Stylus 1520 Color Inkjet Printer</v>
          </cell>
          <cell r="K372" t="str">
            <v>Technology</v>
          </cell>
          <cell r="L372" t="str">
            <v>Jumbo Drum</v>
          </cell>
          <cell r="M372" t="str">
            <v>Delivery Truck</v>
          </cell>
          <cell r="N372">
            <v>41736</v>
          </cell>
          <cell r="O372">
            <v>315.61</v>
          </cell>
          <cell r="P372">
            <v>500.97</v>
          </cell>
          <cell r="Q372">
            <v>31</v>
          </cell>
          <cell r="R372">
            <v>15530.070000000002</v>
          </cell>
          <cell r="S372">
            <v>0.06</v>
          </cell>
          <cell r="T372">
            <v>931.80420000000004</v>
          </cell>
          <cell r="U372">
            <v>15530.010000000002</v>
          </cell>
          <cell r="V372">
            <v>69.3</v>
          </cell>
          <cell r="W372">
            <v>15599.310000000001</v>
          </cell>
        </row>
        <row r="373">
          <cell r="A373" t="str">
            <v>5465-1</v>
          </cell>
          <cell r="B373">
            <v>41736</v>
          </cell>
          <cell r="C373" t="str">
            <v>Harold Dahlen</v>
          </cell>
          <cell r="D373" t="str">
            <v>53-55 Liverpool St,Sydney</v>
          </cell>
          <cell r="E373" t="str">
            <v>Sydney</v>
          </cell>
          <cell r="F373" t="str">
            <v>NSW</v>
          </cell>
          <cell r="G373" t="str">
            <v>Corporate</v>
          </cell>
          <cell r="H373" t="str">
            <v>Tina Carlton</v>
          </cell>
          <cell r="I373" t="str">
            <v>Medium</v>
          </cell>
          <cell r="J373" t="str">
            <v>HFX LaserJet 3310 Copier</v>
          </cell>
          <cell r="K373" t="str">
            <v>Technology</v>
          </cell>
          <cell r="L373" t="str">
            <v>Large Box</v>
          </cell>
          <cell r="M373" t="str">
            <v>Regular Air</v>
          </cell>
          <cell r="N373">
            <v>41738</v>
          </cell>
          <cell r="O373">
            <v>377.99</v>
          </cell>
          <cell r="P373">
            <v>599.99</v>
          </cell>
          <cell r="Q373">
            <v>30</v>
          </cell>
          <cell r="R373">
            <v>17999.7</v>
          </cell>
          <cell r="S373">
            <v>0.09</v>
          </cell>
          <cell r="T373">
            <v>1619.973</v>
          </cell>
          <cell r="U373">
            <v>17999.61</v>
          </cell>
          <cell r="V373">
            <v>24.49</v>
          </cell>
          <cell r="W373">
            <v>18024.100000000002</v>
          </cell>
        </row>
        <row r="374">
          <cell r="A374" t="str">
            <v>5467-1</v>
          </cell>
          <cell r="B374">
            <v>41740</v>
          </cell>
          <cell r="C374" t="str">
            <v>Brenda Bowman</v>
          </cell>
          <cell r="D374" t="str">
            <v>73 York St,Sydney</v>
          </cell>
          <cell r="E374" t="str">
            <v>Sydney</v>
          </cell>
          <cell r="F374" t="str">
            <v>NSW</v>
          </cell>
          <cell r="G374" t="str">
            <v>Small Business</v>
          </cell>
          <cell r="H374" t="str">
            <v>Tina Carlton</v>
          </cell>
          <cell r="I374" t="str">
            <v>Medium</v>
          </cell>
          <cell r="J374" t="str">
            <v>12 Colored Short Pencils</v>
          </cell>
          <cell r="K374" t="str">
            <v>Office Supplies</v>
          </cell>
          <cell r="L374" t="str">
            <v>Wrap Bag</v>
          </cell>
          <cell r="M374" t="str">
            <v>Regular Air</v>
          </cell>
          <cell r="N374">
            <v>41741</v>
          </cell>
          <cell r="O374">
            <v>1.0900000000000001</v>
          </cell>
          <cell r="P374">
            <v>2.6</v>
          </cell>
          <cell r="Q374">
            <v>2</v>
          </cell>
          <cell r="R374">
            <v>5.2</v>
          </cell>
          <cell r="S374">
            <v>0.03</v>
          </cell>
          <cell r="T374">
            <v>0.156</v>
          </cell>
          <cell r="U374">
            <v>5.17</v>
          </cell>
          <cell r="V374">
            <v>2.4</v>
          </cell>
          <cell r="W374">
            <v>7.57</v>
          </cell>
        </row>
        <row r="375">
          <cell r="A375" t="str">
            <v>5469-1</v>
          </cell>
          <cell r="B375">
            <v>41744</v>
          </cell>
          <cell r="C375" t="str">
            <v>Xylona Price</v>
          </cell>
          <cell r="D375" t="str">
            <v>98-104 Parramatta Rd,Camperdown</v>
          </cell>
          <cell r="E375" t="str">
            <v>Sydney</v>
          </cell>
          <cell r="F375" t="str">
            <v>NSW</v>
          </cell>
          <cell r="G375" t="str">
            <v>Corporate</v>
          </cell>
          <cell r="H375" t="str">
            <v>Phoebe Gour</v>
          </cell>
          <cell r="I375" t="str">
            <v>High</v>
          </cell>
          <cell r="J375" t="str">
            <v>TechSavi Internet Navigator Keyboard</v>
          </cell>
          <cell r="K375" t="str">
            <v>Technology</v>
          </cell>
          <cell r="L375" t="str">
            <v>Small Box</v>
          </cell>
          <cell r="M375" t="str">
            <v>Regular Air</v>
          </cell>
          <cell r="N375">
            <v>41745</v>
          </cell>
          <cell r="O375">
            <v>6.51</v>
          </cell>
          <cell r="P375">
            <v>30.98</v>
          </cell>
          <cell r="Q375">
            <v>36</v>
          </cell>
          <cell r="R375">
            <v>1115.28</v>
          </cell>
          <cell r="S375">
            <v>0</v>
          </cell>
          <cell r="T375">
            <v>0</v>
          </cell>
          <cell r="U375">
            <v>1115.28</v>
          </cell>
          <cell r="V375">
            <v>6.5</v>
          </cell>
          <cell r="W375">
            <v>1121.78</v>
          </cell>
        </row>
        <row r="376">
          <cell r="A376" t="str">
            <v>5470-1</v>
          </cell>
          <cell r="B376">
            <v>41746</v>
          </cell>
          <cell r="C376" t="str">
            <v>Kelly Collister</v>
          </cell>
          <cell r="D376" t="str">
            <v>499-501 Lygon Street,Carlton North</v>
          </cell>
          <cell r="E376" t="str">
            <v>Melbourne</v>
          </cell>
          <cell r="F376" t="str">
            <v>VIC</v>
          </cell>
          <cell r="G376" t="str">
            <v>Consumer</v>
          </cell>
          <cell r="H376" t="str">
            <v>Yvette Biti</v>
          </cell>
          <cell r="I376" t="str">
            <v>High</v>
          </cell>
          <cell r="J376" t="str">
            <v>Alto Parchment Paper, Assorted Colors</v>
          </cell>
          <cell r="K376" t="str">
            <v>Office Supplies</v>
          </cell>
          <cell r="L376" t="str">
            <v>Small Box</v>
          </cell>
          <cell r="M376" t="str">
            <v>Regular Air</v>
          </cell>
          <cell r="N376">
            <v>41748</v>
          </cell>
          <cell r="O376">
            <v>4.59</v>
          </cell>
          <cell r="P376">
            <v>7.28</v>
          </cell>
          <cell r="Q376">
            <v>11</v>
          </cell>
          <cell r="R376">
            <v>80.08</v>
          </cell>
          <cell r="S376">
            <v>7.0000000000000007E-2</v>
          </cell>
          <cell r="T376">
            <v>5.6056000000000008</v>
          </cell>
          <cell r="U376">
            <v>80.010000000000005</v>
          </cell>
          <cell r="V376">
            <v>11.15</v>
          </cell>
          <cell r="W376">
            <v>91.160000000000011</v>
          </cell>
        </row>
        <row r="377">
          <cell r="A377" t="str">
            <v>5471-1</v>
          </cell>
          <cell r="B377">
            <v>41746</v>
          </cell>
          <cell r="C377" t="str">
            <v>Dean Percer</v>
          </cell>
          <cell r="D377" t="str">
            <v>222 Barkly St,St Kilda</v>
          </cell>
          <cell r="E377" t="str">
            <v>Melbourne</v>
          </cell>
          <cell r="F377" t="str">
            <v>VIC</v>
          </cell>
          <cell r="G377" t="str">
            <v>Home Office</v>
          </cell>
          <cell r="H377" t="str">
            <v>Yvette Biti</v>
          </cell>
          <cell r="I377" t="str">
            <v>Medium</v>
          </cell>
          <cell r="J377" t="str">
            <v>Apex Box Cutter Scissors</v>
          </cell>
          <cell r="K377" t="str">
            <v>Office Supplies</v>
          </cell>
          <cell r="L377" t="str">
            <v>Small Pack</v>
          </cell>
          <cell r="M377" t="str">
            <v>Regular Air</v>
          </cell>
          <cell r="N377">
            <v>41747</v>
          </cell>
          <cell r="O377">
            <v>4.1900000000000004</v>
          </cell>
          <cell r="P377">
            <v>10.23</v>
          </cell>
          <cell r="Q377">
            <v>22</v>
          </cell>
          <cell r="R377">
            <v>225.06</v>
          </cell>
          <cell r="S377">
            <v>7.0000000000000007E-2</v>
          </cell>
          <cell r="T377">
            <v>15.754200000000001</v>
          </cell>
          <cell r="U377">
            <v>224.99</v>
          </cell>
          <cell r="V377">
            <v>4.68</v>
          </cell>
          <cell r="W377">
            <v>229.67000000000002</v>
          </cell>
        </row>
        <row r="378">
          <cell r="A378" t="str">
            <v>5473-1</v>
          </cell>
          <cell r="B378">
            <v>41746</v>
          </cell>
          <cell r="C378" t="str">
            <v>Anemone Ratner</v>
          </cell>
          <cell r="D378" t="str">
            <v>157 Norton St,Leichhardt</v>
          </cell>
          <cell r="E378" t="str">
            <v>Sydney</v>
          </cell>
          <cell r="F378" t="str">
            <v>NSW</v>
          </cell>
          <cell r="G378" t="str">
            <v>Small Business</v>
          </cell>
          <cell r="H378" t="str">
            <v>Stevie Bacata</v>
          </cell>
          <cell r="I378" t="str">
            <v>Critical</v>
          </cell>
          <cell r="J378" t="str">
            <v>Apex Elite Stainless Steel Scissors</v>
          </cell>
          <cell r="K378" t="str">
            <v>Office Supplies</v>
          </cell>
          <cell r="L378" t="str">
            <v>Small Pack</v>
          </cell>
          <cell r="M378" t="str">
            <v>Express Air</v>
          </cell>
          <cell r="N378">
            <v>41747</v>
          </cell>
          <cell r="O378">
            <v>3.42</v>
          </cell>
          <cell r="P378">
            <v>8.34</v>
          </cell>
          <cell r="Q378">
            <v>16</v>
          </cell>
          <cell r="R378">
            <v>133.44</v>
          </cell>
          <cell r="S378">
            <v>0.04</v>
          </cell>
          <cell r="T378">
            <v>5.3376000000000001</v>
          </cell>
          <cell r="U378">
            <v>133.4</v>
          </cell>
          <cell r="V378">
            <v>2.64</v>
          </cell>
          <cell r="W378">
            <v>136.04</v>
          </cell>
        </row>
        <row r="379">
          <cell r="A379" t="str">
            <v>5475-1</v>
          </cell>
          <cell r="B379">
            <v>41761</v>
          </cell>
          <cell r="C379" t="str">
            <v>Brian Stugart</v>
          </cell>
          <cell r="D379" t="str">
            <v>88 Oxford St,Woollahra</v>
          </cell>
          <cell r="E379" t="str">
            <v>Sydney</v>
          </cell>
          <cell r="F379" t="str">
            <v>NSW</v>
          </cell>
          <cell r="G379" t="str">
            <v>Consumer</v>
          </cell>
          <cell r="H379" t="str">
            <v>Charlie Bui</v>
          </cell>
          <cell r="I379" t="str">
            <v>Low</v>
          </cell>
          <cell r="J379" t="str">
            <v>24 Capacity Maxi Data Binder Racks, Pearl</v>
          </cell>
          <cell r="K379" t="str">
            <v>Office Supplies</v>
          </cell>
          <cell r="L379" t="str">
            <v>Small Box</v>
          </cell>
          <cell r="M379" t="str">
            <v>Regular Air</v>
          </cell>
          <cell r="N379">
            <v>41763</v>
          </cell>
          <cell r="O379">
            <v>84.22</v>
          </cell>
          <cell r="P379">
            <v>210.55</v>
          </cell>
          <cell r="Q379">
            <v>32</v>
          </cell>
          <cell r="R379">
            <v>6737.6</v>
          </cell>
          <cell r="S379">
            <v>0.1</v>
          </cell>
          <cell r="T379">
            <v>673.7600000000001</v>
          </cell>
          <cell r="U379">
            <v>6737.5</v>
          </cell>
          <cell r="V379">
            <v>9.99</v>
          </cell>
          <cell r="W379">
            <v>6747.49</v>
          </cell>
        </row>
        <row r="380">
          <cell r="A380" t="str">
            <v>5476-1</v>
          </cell>
          <cell r="B380">
            <v>41761</v>
          </cell>
          <cell r="C380" t="str">
            <v>Michelle Tran</v>
          </cell>
          <cell r="D380" t="str">
            <v>85-113 Dunning Ave,Roseberry</v>
          </cell>
          <cell r="E380" t="str">
            <v>Sydney</v>
          </cell>
          <cell r="F380" t="str">
            <v>NSW</v>
          </cell>
          <cell r="G380" t="str">
            <v>Corporate</v>
          </cell>
          <cell r="H380" t="str">
            <v>Mihael Khan</v>
          </cell>
          <cell r="I380" t="str">
            <v>Not Specified</v>
          </cell>
          <cell r="J380" t="str">
            <v>Alto Perma 3000 Stacking Storage Drawers</v>
          </cell>
          <cell r="K380" t="str">
            <v>Office Supplies</v>
          </cell>
          <cell r="L380" t="str">
            <v>Small Box</v>
          </cell>
          <cell r="M380" t="str">
            <v>Express Air</v>
          </cell>
          <cell r="N380">
            <v>41762</v>
          </cell>
          <cell r="O380">
            <v>7.13</v>
          </cell>
          <cell r="P380">
            <v>20.98</v>
          </cell>
          <cell r="Q380">
            <v>14</v>
          </cell>
          <cell r="R380">
            <v>293.72000000000003</v>
          </cell>
          <cell r="S380">
            <v>0.1</v>
          </cell>
          <cell r="T380">
            <v>29.372000000000003</v>
          </cell>
          <cell r="U380">
            <v>293.62</v>
          </cell>
          <cell r="V380">
            <v>5.42</v>
          </cell>
          <cell r="W380">
            <v>299.04000000000002</v>
          </cell>
        </row>
        <row r="381">
          <cell r="A381" t="str">
            <v>5477-1</v>
          </cell>
          <cell r="B381">
            <v>41761</v>
          </cell>
          <cell r="C381" t="str">
            <v>Vivek Sundaresam</v>
          </cell>
          <cell r="D381" t="str">
            <v>152 Bunnerong Road,Eastgardens</v>
          </cell>
          <cell r="E381" t="str">
            <v>Sydney</v>
          </cell>
          <cell r="F381" t="str">
            <v>NSW</v>
          </cell>
          <cell r="G381" t="str">
            <v>Home Office</v>
          </cell>
          <cell r="H381" t="str">
            <v>Tina Carlton</v>
          </cell>
          <cell r="I381" t="str">
            <v>Critical</v>
          </cell>
          <cell r="J381" t="str">
            <v>OIC Colored Binder Clips, Assorted Sizes</v>
          </cell>
          <cell r="K381" t="str">
            <v>Office Supplies</v>
          </cell>
          <cell r="L381" t="str">
            <v>Wrap Bag</v>
          </cell>
          <cell r="M381" t="str">
            <v>Regular Air</v>
          </cell>
          <cell r="N381">
            <v>41762</v>
          </cell>
          <cell r="O381">
            <v>2.29</v>
          </cell>
          <cell r="P381">
            <v>3.58</v>
          </cell>
          <cell r="Q381">
            <v>15</v>
          </cell>
          <cell r="R381">
            <v>53.7</v>
          </cell>
          <cell r="S381">
            <v>0.05</v>
          </cell>
          <cell r="T381">
            <v>2.6850000000000005</v>
          </cell>
          <cell r="U381">
            <v>53.650000000000006</v>
          </cell>
          <cell r="V381">
            <v>1.63</v>
          </cell>
          <cell r="W381">
            <v>55.280000000000008</v>
          </cell>
        </row>
        <row r="382">
          <cell r="A382" t="str">
            <v>5478-1</v>
          </cell>
          <cell r="B382">
            <v>41762</v>
          </cell>
          <cell r="C382" t="str">
            <v>Liz Willingham</v>
          </cell>
          <cell r="D382" t="str">
            <v>60 Commercial Rd,Prahran</v>
          </cell>
          <cell r="E382" t="str">
            <v>Melbourne</v>
          </cell>
          <cell r="F382" t="str">
            <v>VIC</v>
          </cell>
          <cell r="G382" t="str">
            <v>Home Office</v>
          </cell>
          <cell r="H382" t="str">
            <v>Yvette Biti</v>
          </cell>
          <cell r="I382" t="str">
            <v>Low</v>
          </cell>
          <cell r="J382" t="str">
            <v>Steady Liquid Accent Tank-Style Highlighters</v>
          </cell>
          <cell r="K382" t="str">
            <v>Office Supplies</v>
          </cell>
          <cell r="L382" t="str">
            <v>Wrap Bag</v>
          </cell>
          <cell r="M382" t="str">
            <v>Regular Air</v>
          </cell>
          <cell r="N382">
            <v>41766</v>
          </cell>
          <cell r="O382">
            <v>1.31</v>
          </cell>
          <cell r="P382">
            <v>2.84</v>
          </cell>
          <cell r="Q382">
            <v>48</v>
          </cell>
          <cell r="R382">
            <v>136.32</v>
          </cell>
          <cell r="S382">
            <v>0.1</v>
          </cell>
          <cell r="T382">
            <v>13.632</v>
          </cell>
          <cell r="U382">
            <v>136.22</v>
          </cell>
          <cell r="V382">
            <v>0.93</v>
          </cell>
          <cell r="W382">
            <v>137.15</v>
          </cell>
        </row>
        <row r="383">
          <cell r="A383" t="str">
            <v>5483-1</v>
          </cell>
          <cell r="B383">
            <v>41767</v>
          </cell>
          <cell r="C383" t="str">
            <v>Ritsa Hightower</v>
          </cell>
          <cell r="D383" t="str">
            <v>1/160 Anzac Parade,Kensington</v>
          </cell>
          <cell r="E383" t="str">
            <v>Sydney</v>
          </cell>
          <cell r="F383" t="str">
            <v>NSW</v>
          </cell>
          <cell r="G383" t="str">
            <v>Corporate</v>
          </cell>
          <cell r="H383" t="str">
            <v>Natasha Song</v>
          </cell>
          <cell r="I383" t="str">
            <v>Low</v>
          </cell>
          <cell r="J383" t="str">
            <v>Binder Clips by OIC</v>
          </cell>
          <cell r="K383" t="str">
            <v>Office Supplies</v>
          </cell>
          <cell r="L383" t="str">
            <v>Wrap Bag</v>
          </cell>
          <cell r="M383" t="str">
            <v>Regular Air</v>
          </cell>
          <cell r="N383">
            <v>41772</v>
          </cell>
          <cell r="O383">
            <v>0.93</v>
          </cell>
          <cell r="P383">
            <v>1.48</v>
          </cell>
          <cell r="Q383">
            <v>33</v>
          </cell>
          <cell r="R383">
            <v>48.839999999999996</v>
          </cell>
          <cell r="S383">
            <v>7.0000000000000007E-2</v>
          </cell>
          <cell r="T383">
            <v>3.4188000000000001</v>
          </cell>
          <cell r="U383">
            <v>48.769999999999996</v>
          </cell>
          <cell r="V383">
            <v>0.7</v>
          </cell>
          <cell r="W383">
            <v>49.47</v>
          </cell>
        </row>
        <row r="384">
          <cell r="A384" t="str">
            <v>5485-1</v>
          </cell>
          <cell r="B384">
            <v>41767</v>
          </cell>
          <cell r="C384" t="str">
            <v>Michelle Moray</v>
          </cell>
          <cell r="D384" t="str">
            <v>310 Wattle St,Ultimo</v>
          </cell>
          <cell r="E384" t="str">
            <v>Sydney</v>
          </cell>
          <cell r="F384" t="str">
            <v>NSW</v>
          </cell>
          <cell r="G384" t="str">
            <v>Corporate</v>
          </cell>
          <cell r="H384" t="str">
            <v>Aanya Zhang</v>
          </cell>
          <cell r="I384" t="str">
            <v>Low</v>
          </cell>
          <cell r="J384" t="str">
            <v>Economy Binders</v>
          </cell>
          <cell r="K384" t="str">
            <v>Office Supplies</v>
          </cell>
          <cell r="L384" t="str">
            <v>Small Box</v>
          </cell>
          <cell r="M384" t="str">
            <v>Regular Air</v>
          </cell>
          <cell r="N384">
            <v>41771</v>
          </cell>
          <cell r="O384">
            <v>1.33</v>
          </cell>
          <cell r="P384">
            <v>2.08</v>
          </cell>
          <cell r="Q384">
            <v>40</v>
          </cell>
          <cell r="R384">
            <v>83.2</v>
          </cell>
          <cell r="S384">
            <v>0</v>
          </cell>
          <cell r="T384">
            <v>0</v>
          </cell>
          <cell r="U384">
            <v>83.2</v>
          </cell>
          <cell r="V384">
            <v>1.49</v>
          </cell>
          <cell r="W384">
            <v>84.69</v>
          </cell>
        </row>
        <row r="385">
          <cell r="A385" t="str">
            <v>5487-1</v>
          </cell>
          <cell r="B385">
            <v>41768</v>
          </cell>
          <cell r="C385" t="str">
            <v>Jim Radford</v>
          </cell>
          <cell r="D385" t="str">
            <v>222 Barkly St,St Kilda</v>
          </cell>
          <cell r="E385" t="str">
            <v>Melbourne</v>
          </cell>
          <cell r="F385" t="str">
            <v>VIC</v>
          </cell>
          <cell r="G385" t="str">
            <v>Corporate</v>
          </cell>
          <cell r="H385" t="str">
            <v>Yvette Biti</v>
          </cell>
          <cell r="I385" t="str">
            <v>Critical</v>
          </cell>
          <cell r="J385" t="str">
            <v>3Max Polarizing Task Lamp with Clamp Arm, Light Gray</v>
          </cell>
          <cell r="K385" t="str">
            <v>Furniture</v>
          </cell>
          <cell r="L385" t="str">
            <v>Large Box</v>
          </cell>
          <cell r="M385" t="str">
            <v>Regular Air</v>
          </cell>
          <cell r="N385">
            <v>41769</v>
          </cell>
          <cell r="O385">
            <v>56.16</v>
          </cell>
          <cell r="P385">
            <v>136.97999999999999</v>
          </cell>
          <cell r="Q385">
            <v>44</v>
          </cell>
          <cell r="R385">
            <v>6027.12</v>
          </cell>
          <cell r="S385">
            <v>0.08</v>
          </cell>
          <cell r="T385">
            <v>482.1696</v>
          </cell>
          <cell r="U385">
            <v>6027.04</v>
          </cell>
          <cell r="V385">
            <v>24.49</v>
          </cell>
          <cell r="W385">
            <v>6051.53</v>
          </cell>
        </row>
        <row r="386">
          <cell r="A386" t="str">
            <v>5489-1</v>
          </cell>
          <cell r="B386">
            <v>41770</v>
          </cell>
          <cell r="C386" t="str">
            <v>Aleksandra Gannaway</v>
          </cell>
          <cell r="D386" t="str">
            <v>Hoyts Entertainment Quarter 122 Lang Road,Moore Park</v>
          </cell>
          <cell r="E386" t="str">
            <v>Sydney</v>
          </cell>
          <cell r="F386" t="str">
            <v>NSW</v>
          </cell>
          <cell r="G386" t="str">
            <v>Corporate</v>
          </cell>
          <cell r="H386" t="str">
            <v>Tina Carlton</v>
          </cell>
          <cell r="I386" t="str">
            <v>Medium</v>
          </cell>
          <cell r="J386" t="str">
            <v>Lumi Crayons</v>
          </cell>
          <cell r="K386" t="str">
            <v>Office Supplies</v>
          </cell>
          <cell r="L386" t="str">
            <v>Wrap Bag</v>
          </cell>
          <cell r="M386" t="str">
            <v>Regular Air</v>
          </cell>
          <cell r="N386">
            <v>41771</v>
          </cell>
          <cell r="O386">
            <v>5.22</v>
          </cell>
          <cell r="P386">
            <v>9.85</v>
          </cell>
          <cell r="Q386">
            <v>20</v>
          </cell>
          <cell r="R386">
            <v>197</v>
          </cell>
          <cell r="S386">
            <v>0.06</v>
          </cell>
          <cell r="T386">
            <v>11.82</v>
          </cell>
          <cell r="U386">
            <v>196.94</v>
          </cell>
          <cell r="V386">
            <v>4.82</v>
          </cell>
          <cell r="W386">
            <v>201.76</v>
          </cell>
        </row>
        <row r="387">
          <cell r="A387" t="str">
            <v>5491-1</v>
          </cell>
          <cell r="B387">
            <v>41772</v>
          </cell>
          <cell r="C387" t="str">
            <v>Jennifer Patt</v>
          </cell>
          <cell r="D387" t="str">
            <v>523 King St,Newtown</v>
          </cell>
          <cell r="E387" t="str">
            <v>Sydney</v>
          </cell>
          <cell r="F387" t="str">
            <v>NSW</v>
          </cell>
          <cell r="G387" t="str">
            <v>Home Office</v>
          </cell>
          <cell r="H387" t="str">
            <v>Aanya Zhang</v>
          </cell>
          <cell r="I387" t="str">
            <v>Not Specified</v>
          </cell>
          <cell r="J387" t="str">
            <v>Alto 3-Hole Punch</v>
          </cell>
          <cell r="K387" t="str">
            <v>Office Supplies</v>
          </cell>
          <cell r="L387" t="str">
            <v>Small Box</v>
          </cell>
          <cell r="M387" t="str">
            <v>Regular Air</v>
          </cell>
          <cell r="N387">
            <v>41773</v>
          </cell>
          <cell r="O387">
            <v>2.76</v>
          </cell>
          <cell r="P387">
            <v>4.38</v>
          </cell>
          <cell r="Q387">
            <v>29</v>
          </cell>
          <cell r="R387">
            <v>127.02</v>
          </cell>
          <cell r="S387">
            <v>0.08</v>
          </cell>
          <cell r="T387">
            <v>10.1616</v>
          </cell>
          <cell r="U387">
            <v>126.94</v>
          </cell>
          <cell r="V387">
            <v>6.21</v>
          </cell>
          <cell r="W387">
            <v>133.15</v>
          </cell>
        </row>
        <row r="388">
          <cell r="A388" t="str">
            <v>5493-1</v>
          </cell>
          <cell r="B388">
            <v>41774</v>
          </cell>
          <cell r="C388" t="str">
            <v>Eric Barreto</v>
          </cell>
          <cell r="D388" t="str">
            <v>359 Crown Street,Surry Hills</v>
          </cell>
          <cell r="E388" t="str">
            <v>Sydney</v>
          </cell>
          <cell r="F388" t="str">
            <v>NSW</v>
          </cell>
          <cell r="G388" t="str">
            <v>Consumer</v>
          </cell>
          <cell r="H388" t="str">
            <v>Phoebe Gour</v>
          </cell>
          <cell r="I388" t="str">
            <v>Medium</v>
          </cell>
          <cell r="J388" t="str">
            <v>Artisan 481 Labels</v>
          </cell>
          <cell r="K388" t="str">
            <v>Office Supplies</v>
          </cell>
          <cell r="L388" t="str">
            <v>Small Box</v>
          </cell>
          <cell r="M388" t="str">
            <v>Regular Air</v>
          </cell>
          <cell r="N388">
            <v>41775</v>
          </cell>
          <cell r="O388">
            <v>1.94</v>
          </cell>
          <cell r="P388">
            <v>3.08</v>
          </cell>
          <cell r="Q388">
            <v>9</v>
          </cell>
          <cell r="R388">
            <v>27.72</v>
          </cell>
          <cell r="S388">
            <v>0.01</v>
          </cell>
          <cell r="T388">
            <v>0.2772</v>
          </cell>
          <cell r="U388">
            <v>27.709999999999997</v>
          </cell>
          <cell r="V388">
            <v>0.99</v>
          </cell>
          <cell r="W388">
            <v>28.699999999999996</v>
          </cell>
        </row>
        <row r="389">
          <cell r="A389" t="str">
            <v>5494-1</v>
          </cell>
          <cell r="B389">
            <v>41776</v>
          </cell>
          <cell r="C389" t="str">
            <v>Deborah Brumfield</v>
          </cell>
          <cell r="D389" t="str">
            <v>501 George St,Sydney</v>
          </cell>
          <cell r="E389" t="str">
            <v>Sydney</v>
          </cell>
          <cell r="F389" t="str">
            <v>NSW</v>
          </cell>
          <cell r="G389" t="str">
            <v>Small Business</v>
          </cell>
          <cell r="H389" t="str">
            <v>Samantha Chairs</v>
          </cell>
          <cell r="I389" t="str">
            <v>Not Specified</v>
          </cell>
          <cell r="J389" t="str">
            <v>Apex Straight Scissors</v>
          </cell>
          <cell r="K389" t="str">
            <v>Office Supplies</v>
          </cell>
          <cell r="L389" t="str">
            <v>Small Pack</v>
          </cell>
          <cell r="M389" t="str">
            <v>Regular Air</v>
          </cell>
          <cell r="N389">
            <v>41777</v>
          </cell>
          <cell r="O389">
            <v>5.19</v>
          </cell>
          <cell r="P389">
            <v>12.98</v>
          </cell>
          <cell r="Q389">
            <v>20</v>
          </cell>
          <cell r="R389">
            <v>259.60000000000002</v>
          </cell>
          <cell r="S389">
            <v>0.04</v>
          </cell>
          <cell r="T389">
            <v>10.384</v>
          </cell>
          <cell r="U389">
            <v>259.56</v>
          </cell>
          <cell r="V389">
            <v>3.14</v>
          </cell>
          <cell r="W389">
            <v>262.7</v>
          </cell>
        </row>
        <row r="390">
          <cell r="A390" t="str">
            <v>5496-1</v>
          </cell>
          <cell r="B390">
            <v>41778</v>
          </cell>
          <cell r="C390" t="str">
            <v>Richard Eichhorn</v>
          </cell>
          <cell r="D390" t="str">
            <v>506 Swan Street,Richmond</v>
          </cell>
          <cell r="E390" t="str">
            <v>Melbourne</v>
          </cell>
          <cell r="F390" t="str">
            <v>VIC</v>
          </cell>
          <cell r="G390" t="str">
            <v>Consumer</v>
          </cell>
          <cell r="H390" t="str">
            <v>Connor Betts</v>
          </cell>
          <cell r="I390" t="str">
            <v>Medium</v>
          </cell>
          <cell r="J390" t="str">
            <v>Aluminum Document Frame</v>
          </cell>
          <cell r="K390" t="str">
            <v>Furniture</v>
          </cell>
          <cell r="L390" t="str">
            <v>Small Pack</v>
          </cell>
          <cell r="M390" t="str">
            <v>Express Air</v>
          </cell>
          <cell r="N390">
            <v>41779</v>
          </cell>
          <cell r="O390">
            <v>5.5</v>
          </cell>
          <cell r="P390">
            <v>12.22</v>
          </cell>
          <cell r="Q390">
            <v>18</v>
          </cell>
          <cell r="R390">
            <v>219.96</v>
          </cell>
          <cell r="S390">
            <v>0.04</v>
          </cell>
          <cell r="T390">
            <v>8.7984000000000009</v>
          </cell>
          <cell r="U390">
            <v>219.92000000000002</v>
          </cell>
          <cell r="V390">
            <v>2.85</v>
          </cell>
          <cell r="W390">
            <v>222.77</v>
          </cell>
        </row>
        <row r="391">
          <cell r="A391" t="str">
            <v>5497-1</v>
          </cell>
          <cell r="B391">
            <v>41778</v>
          </cell>
          <cell r="C391" t="str">
            <v>Juliana Krohn</v>
          </cell>
          <cell r="D391" t="str">
            <v>2/797 Botany Rd,Rosebery</v>
          </cell>
          <cell r="E391" t="str">
            <v>Sydney</v>
          </cell>
          <cell r="F391" t="str">
            <v>NSW</v>
          </cell>
          <cell r="G391" t="str">
            <v>Corporate</v>
          </cell>
          <cell r="H391" t="str">
            <v>Samantha Chairs</v>
          </cell>
          <cell r="I391" t="str">
            <v>Low</v>
          </cell>
          <cell r="J391" t="str">
            <v>Smiths Bulldog Clip</v>
          </cell>
          <cell r="K391" t="str">
            <v>Office Supplies</v>
          </cell>
          <cell r="L391" t="str">
            <v>Wrap Bag</v>
          </cell>
          <cell r="M391" t="str">
            <v>Express Air</v>
          </cell>
          <cell r="N391">
            <v>41783</v>
          </cell>
          <cell r="O391">
            <v>2.31</v>
          </cell>
          <cell r="P391">
            <v>3.78</v>
          </cell>
          <cell r="Q391">
            <v>15</v>
          </cell>
          <cell r="R391">
            <v>56.699999999999996</v>
          </cell>
          <cell r="S391">
            <v>0.03</v>
          </cell>
          <cell r="T391">
            <v>1.7009999999999998</v>
          </cell>
          <cell r="U391">
            <v>56.669999999999995</v>
          </cell>
          <cell r="V391">
            <v>0.71</v>
          </cell>
          <cell r="W391">
            <v>57.379999999999995</v>
          </cell>
        </row>
        <row r="392">
          <cell r="A392" t="str">
            <v>5498-1</v>
          </cell>
          <cell r="B392">
            <v>41784</v>
          </cell>
          <cell r="C392" t="str">
            <v>Clytie Kelty</v>
          </cell>
          <cell r="D392" t="str">
            <v>8 Khartoum Rd,Macquarie Park</v>
          </cell>
          <cell r="E392" t="str">
            <v>Sydney</v>
          </cell>
          <cell r="F392" t="str">
            <v>NSW</v>
          </cell>
          <cell r="G392" t="str">
            <v>Small Business</v>
          </cell>
          <cell r="H392" t="str">
            <v>Radhya Staples</v>
          </cell>
          <cell r="I392" t="str">
            <v>Low</v>
          </cell>
          <cell r="J392" t="str">
            <v>Cando PC940 Copier</v>
          </cell>
          <cell r="K392" t="str">
            <v>Technology</v>
          </cell>
          <cell r="L392" t="str">
            <v>Jumbo Drum</v>
          </cell>
          <cell r="M392" t="str">
            <v>Delivery Truck</v>
          </cell>
          <cell r="N392">
            <v>41788</v>
          </cell>
          <cell r="O392">
            <v>278.99</v>
          </cell>
          <cell r="P392">
            <v>449.99</v>
          </cell>
          <cell r="Q392">
            <v>47</v>
          </cell>
          <cell r="R392">
            <v>21149.53</v>
          </cell>
          <cell r="S392">
            <v>0.1</v>
          </cell>
          <cell r="T392">
            <v>2114.953</v>
          </cell>
          <cell r="U392">
            <v>21149.43</v>
          </cell>
          <cell r="V392">
            <v>49</v>
          </cell>
          <cell r="W392">
            <v>21198.43</v>
          </cell>
        </row>
        <row r="393">
          <cell r="A393" t="str">
            <v>5500-1</v>
          </cell>
          <cell r="B393">
            <v>41788</v>
          </cell>
          <cell r="C393" t="str">
            <v>Ken Dana</v>
          </cell>
          <cell r="D393" t="str">
            <v>73 York St,Sydney</v>
          </cell>
          <cell r="E393" t="str">
            <v>Sydney</v>
          </cell>
          <cell r="F393" t="str">
            <v>NSW</v>
          </cell>
          <cell r="G393" t="str">
            <v>Corporate</v>
          </cell>
          <cell r="H393" t="str">
            <v>Tina Carlton</v>
          </cell>
          <cell r="I393" t="str">
            <v>Low</v>
          </cell>
          <cell r="J393" t="str">
            <v>Adesso Programmable 142-Key Keyboard</v>
          </cell>
          <cell r="K393" t="str">
            <v>Technology</v>
          </cell>
          <cell r="L393" t="str">
            <v>Small Box</v>
          </cell>
          <cell r="M393" t="str">
            <v>Regular Air</v>
          </cell>
          <cell r="N393">
            <v>41792</v>
          </cell>
          <cell r="O393">
            <v>32.020000000000003</v>
          </cell>
          <cell r="P393">
            <v>152.47999999999999</v>
          </cell>
          <cell r="Q393">
            <v>49</v>
          </cell>
          <cell r="R393">
            <v>7471.5199999999995</v>
          </cell>
          <cell r="S393">
            <v>0.03</v>
          </cell>
          <cell r="T393">
            <v>224.14559999999997</v>
          </cell>
          <cell r="U393">
            <v>7471.49</v>
          </cell>
          <cell r="V393">
            <v>4</v>
          </cell>
          <cell r="W393">
            <v>7475.49</v>
          </cell>
        </row>
        <row r="394">
          <cell r="A394" t="str">
            <v>5502-1</v>
          </cell>
          <cell r="B394">
            <v>41788</v>
          </cell>
          <cell r="C394" t="str">
            <v>Andy Yotov</v>
          </cell>
          <cell r="D394" t="str">
            <v>33/4 Barangaroo Avenue,Sydney</v>
          </cell>
          <cell r="E394" t="str">
            <v>Sydney</v>
          </cell>
          <cell r="F394" t="str">
            <v>NSW</v>
          </cell>
          <cell r="G394" t="str">
            <v>Corporate</v>
          </cell>
          <cell r="H394" t="str">
            <v>Natasha Song</v>
          </cell>
          <cell r="I394" t="str">
            <v>High</v>
          </cell>
          <cell r="J394" t="str">
            <v>Artisan Flip-Chart Easel Binder, Black</v>
          </cell>
          <cell r="K394" t="str">
            <v>Office Supplies</v>
          </cell>
          <cell r="L394" t="str">
            <v>Small Box</v>
          </cell>
          <cell r="M394" t="str">
            <v>Regular Air</v>
          </cell>
          <cell r="N394">
            <v>41788</v>
          </cell>
          <cell r="O394">
            <v>13.88</v>
          </cell>
          <cell r="P394">
            <v>22.38</v>
          </cell>
          <cell r="Q394">
            <v>26</v>
          </cell>
          <cell r="R394">
            <v>581.88</v>
          </cell>
          <cell r="S394">
            <v>7.0000000000000007E-2</v>
          </cell>
          <cell r="T394">
            <v>40.7316</v>
          </cell>
          <cell r="U394">
            <v>581.80999999999995</v>
          </cell>
          <cell r="V394">
            <v>15.1</v>
          </cell>
          <cell r="W394">
            <v>596.91</v>
          </cell>
        </row>
        <row r="395">
          <cell r="A395" t="str">
            <v>5504-1</v>
          </cell>
          <cell r="B395">
            <v>41788</v>
          </cell>
          <cell r="C395" t="str">
            <v>Melanie Page</v>
          </cell>
          <cell r="D395" t="str">
            <v>541 Church St,Richmond</v>
          </cell>
          <cell r="E395" t="str">
            <v>Melbourne</v>
          </cell>
          <cell r="F395" t="str">
            <v>VIC</v>
          </cell>
          <cell r="G395" t="str">
            <v>Corporate</v>
          </cell>
          <cell r="H395" t="str">
            <v>Yvette Biti</v>
          </cell>
          <cell r="I395" t="str">
            <v>Medium</v>
          </cell>
          <cell r="J395" t="str">
            <v>Smiths SlimLine Pencil Sharpener</v>
          </cell>
          <cell r="K395" t="str">
            <v>Office Supplies</v>
          </cell>
          <cell r="L395" t="str">
            <v>Small Pack</v>
          </cell>
          <cell r="M395" t="str">
            <v>Regular Air</v>
          </cell>
          <cell r="N395">
            <v>41788</v>
          </cell>
          <cell r="O395">
            <v>4.79</v>
          </cell>
          <cell r="P395">
            <v>11.97</v>
          </cell>
          <cell r="Q395">
            <v>46</v>
          </cell>
          <cell r="R395">
            <v>550.62</v>
          </cell>
          <cell r="S395">
            <v>7.0000000000000007E-2</v>
          </cell>
          <cell r="T395">
            <v>38.543400000000005</v>
          </cell>
          <cell r="U395">
            <v>550.54999999999995</v>
          </cell>
          <cell r="V395">
            <v>5.81</v>
          </cell>
          <cell r="W395">
            <v>556.3599999999999</v>
          </cell>
        </row>
        <row r="396">
          <cell r="A396" t="str">
            <v>5505-1</v>
          </cell>
          <cell r="B396">
            <v>41792</v>
          </cell>
          <cell r="C396" t="str">
            <v>Arthur Gainer</v>
          </cell>
          <cell r="D396" t="str">
            <v>180 High Street,Windsor</v>
          </cell>
          <cell r="E396" t="str">
            <v>Melbourne</v>
          </cell>
          <cell r="F396" t="str">
            <v>VIC</v>
          </cell>
          <cell r="G396" t="str">
            <v>Corporate</v>
          </cell>
          <cell r="H396" t="str">
            <v>Connor Betts</v>
          </cell>
          <cell r="I396" t="str">
            <v>Critical</v>
          </cell>
          <cell r="J396" t="str">
            <v>1726 Digital Answering Machine</v>
          </cell>
          <cell r="K396" t="str">
            <v>Technology</v>
          </cell>
          <cell r="L396" t="str">
            <v>Medium Box</v>
          </cell>
          <cell r="M396" t="str">
            <v>Regular Air</v>
          </cell>
          <cell r="N396">
            <v>41794</v>
          </cell>
          <cell r="O396">
            <v>8.82</v>
          </cell>
          <cell r="P396">
            <v>20.99</v>
          </cell>
          <cell r="Q396">
            <v>10</v>
          </cell>
          <cell r="R396">
            <v>209.89999999999998</v>
          </cell>
          <cell r="S396">
            <v>0</v>
          </cell>
          <cell r="T396">
            <v>0</v>
          </cell>
          <cell r="U396">
            <v>209.89999999999998</v>
          </cell>
          <cell r="V396">
            <v>4.8099999999999996</v>
          </cell>
          <cell r="W396">
            <v>214.70999999999998</v>
          </cell>
        </row>
        <row r="397">
          <cell r="A397" t="str">
            <v>5506-1</v>
          </cell>
          <cell r="B397">
            <v>41793</v>
          </cell>
          <cell r="C397" t="str">
            <v>Jeremy Lonsdale</v>
          </cell>
          <cell r="D397" t="str">
            <v>163 Concord Road,North Strathfield</v>
          </cell>
          <cell r="E397" t="str">
            <v>Sydney</v>
          </cell>
          <cell r="F397" t="str">
            <v>NSW</v>
          </cell>
          <cell r="G397" t="str">
            <v>Corporate</v>
          </cell>
          <cell r="H397" t="str">
            <v>Charlie Bui</v>
          </cell>
          <cell r="I397" t="str">
            <v>Not Specified</v>
          </cell>
          <cell r="J397" t="str">
            <v>Creator Anti Dust Chalk, 12/Pack</v>
          </cell>
          <cell r="K397" t="str">
            <v>Office Supplies</v>
          </cell>
          <cell r="L397" t="str">
            <v>Wrap Bag</v>
          </cell>
          <cell r="M397" t="str">
            <v>Regular Air</v>
          </cell>
          <cell r="N397">
            <v>41794</v>
          </cell>
          <cell r="O397">
            <v>1.0900000000000001</v>
          </cell>
          <cell r="P397">
            <v>1.82</v>
          </cell>
          <cell r="Q397">
            <v>40</v>
          </cell>
          <cell r="R397">
            <v>72.8</v>
          </cell>
          <cell r="S397">
            <v>0.1</v>
          </cell>
          <cell r="T397">
            <v>7.28</v>
          </cell>
          <cell r="U397">
            <v>72.7</v>
          </cell>
          <cell r="V397">
            <v>1</v>
          </cell>
          <cell r="W397">
            <v>73.7</v>
          </cell>
        </row>
        <row r="398">
          <cell r="A398" t="str">
            <v>5507-1</v>
          </cell>
          <cell r="B398">
            <v>41793</v>
          </cell>
          <cell r="C398" t="str">
            <v>Christopher Martinez</v>
          </cell>
          <cell r="D398" t="str">
            <v>188 Pitt Street,Sydney</v>
          </cell>
          <cell r="E398" t="str">
            <v>Sydney</v>
          </cell>
          <cell r="F398" t="str">
            <v>NSW</v>
          </cell>
          <cell r="G398" t="str">
            <v>Small Business</v>
          </cell>
          <cell r="H398" t="str">
            <v>Tina Carlton</v>
          </cell>
          <cell r="I398" t="str">
            <v>High</v>
          </cell>
          <cell r="J398" t="str">
            <v>Steady Major Accent Highlighters</v>
          </cell>
          <cell r="K398" t="str">
            <v>Office Supplies</v>
          </cell>
          <cell r="L398" t="str">
            <v>Wrap Bag</v>
          </cell>
          <cell r="M398" t="str">
            <v>Regular Air</v>
          </cell>
          <cell r="N398">
            <v>41795</v>
          </cell>
          <cell r="O398">
            <v>3.75</v>
          </cell>
          <cell r="P398">
            <v>7.08</v>
          </cell>
          <cell r="Q398">
            <v>45</v>
          </cell>
          <cell r="R398">
            <v>318.60000000000002</v>
          </cell>
          <cell r="S398">
            <v>0.06</v>
          </cell>
          <cell r="T398">
            <v>19.116</v>
          </cell>
          <cell r="U398">
            <v>318.54000000000002</v>
          </cell>
          <cell r="V398">
            <v>2.35</v>
          </cell>
          <cell r="W398">
            <v>320.89000000000004</v>
          </cell>
        </row>
        <row r="399">
          <cell r="A399" t="str">
            <v>5508-1</v>
          </cell>
          <cell r="B399">
            <v>41794</v>
          </cell>
          <cell r="C399" t="str">
            <v>Frank Merwin</v>
          </cell>
          <cell r="D399" t="str">
            <v>24 Addison Rd,Marrickville</v>
          </cell>
          <cell r="E399" t="str">
            <v>Sydney</v>
          </cell>
          <cell r="F399" t="str">
            <v>NSW</v>
          </cell>
          <cell r="G399" t="str">
            <v>Consumer</v>
          </cell>
          <cell r="H399" t="str">
            <v>Radhya Staples</v>
          </cell>
          <cell r="I399" t="str">
            <v>High</v>
          </cell>
          <cell r="J399" t="str">
            <v>Deluxe Rollaway Locking File with Drawer</v>
          </cell>
          <cell r="K399" t="str">
            <v>Office Supplies</v>
          </cell>
          <cell r="L399" t="str">
            <v>Small Box</v>
          </cell>
          <cell r="M399" t="str">
            <v>Regular Air</v>
          </cell>
          <cell r="N399">
            <v>41795</v>
          </cell>
          <cell r="O399">
            <v>178.83</v>
          </cell>
          <cell r="P399">
            <v>415.88</v>
          </cell>
          <cell r="Q399">
            <v>43</v>
          </cell>
          <cell r="R399">
            <v>17882.84</v>
          </cell>
          <cell r="S399">
            <v>7.0000000000000007E-2</v>
          </cell>
          <cell r="T399">
            <v>1251.7988</v>
          </cell>
          <cell r="U399">
            <v>17882.77</v>
          </cell>
          <cell r="V399">
            <v>11.37</v>
          </cell>
          <cell r="W399">
            <v>17894.14</v>
          </cell>
        </row>
        <row r="400">
          <cell r="A400" t="str">
            <v>5510-1</v>
          </cell>
          <cell r="B400">
            <v>41794</v>
          </cell>
          <cell r="C400" t="str">
            <v>Dianna Wilson</v>
          </cell>
          <cell r="D400" t="str">
            <v>310 Wattle St,Ultimo</v>
          </cell>
          <cell r="E400" t="str">
            <v>Sydney</v>
          </cell>
          <cell r="F400" t="str">
            <v>NSW</v>
          </cell>
          <cell r="G400" t="str">
            <v>Small Business</v>
          </cell>
          <cell r="H400" t="str">
            <v>Aanya Zhang</v>
          </cell>
          <cell r="I400" t="str">
            <v>Not Specified</v>
          </cell>
          <cell r="J400" t="str">
            <v>UGen Ultra Professional Cordless Optical Suite</v>
          </cell>
          <cell r="K400" t="str">
            <v>Technology</v>
          </cell>
          <cell r="L400" t="str">
            <v>Small Box</v>
          </cell>
          <cell r="M400" t="str">
            <v>Regular Air</v>
          </cell>
          <cell r="N400">
            <v>41795</v>
          </cell>
          <cell r="O400">
            <v>156.5</v>
          </cell>
          <cell r="P400">
            <v>300.97000000000003</v>
          </cell>
          <cell r="Q400">
            <v>6</v>
          </cell>
          <cell r="R400">
            <v>1805.8200000000002</v>
          </cell>
          <cell r="S400">
            <v>0.04</v>
          </cell>
          <cell r="T400">
            <v>72.232800000000012</v>
          </cell>
          <cell r="U400">
            <v>1805.7800000000002</v>
          </cell>
          <cell r="V400">
            <v>7.18</v>
          </cell>
          <cell r="W400">
            <v>1812.9600000000003</v>
          </cell>
        </row>
        <row r="401">
          <cell r="A401" t="str">
            <v>5512-1</v>
          </cell>
          <cell r="B401">
            <v>41795</v>
          </cell>
          <cell r="C401" t="str">
            <v>Lindsay Castell</v>
          </cell>
          <cell r="D401" t="str">
            <v>Qantas Domestic Terminal,Mascot</v>
          </cell>
          <cell r="E401" t="str">
            <v>Sydney</v>
          </cell>
          <cell r="F401" t="str">
            <v>NSW</v>
          </cell>
          <cell r="G401" t="str">
            <v>Corporate</v>
          </cell>
          <cell r="H401" t="str">
            <v>Phoebe Gour</v>
          </cell>
          <cell r="I401" t="str">
            <v>Medium</v>
          </cell>
          <cell r="J401" t="str">
            <v>Xit Blank Computer Paper</v>
          </cell>
          <cell r="K401" t="str">
            <v>Office Supplies</v>
          </cell>
          <cell r="L401" t="str">
            <v>Small Box</v>
          </cell>
          <cell r="M401" t="str">
            <v>Regular Air</v>
          </cell>
          <cell r="N401">
            <v>41797</v>
          </cell>
          <cell r="O401">
            <v>12.39</v>
          </cell>
          <cell r="P401">
            <v>19.98</v>
          </cell>
          <cell r="Q401">
            <v>10</v>
          </cell>
          <cell r="R401">
            <v>199.8</v>
          </cell>
          <cell r="S401">
            <v>0.1</v>
          </cell>
          <cell r="T401">
            <v>19.980000000000004</v>
          </cell>
          <cell r="U401">
            <v>199.70000000000002</v>
          </cell>
          <cell r="V401">
            <v>5.77</v>
          </cell>
          <cell r="W401">
            <v>205.47000000000003</v>
          </cell>
        </row>
        <row r="402">
          <cell r="A402" t="str">
            <v>5513-1</v>
          </cell>
          <cell r="B402">
            <v>41797</v>
          </cell>
          <cell r="C402" t="str">
            <v>Chuck Sachs</v>
          </cell>
          <cell r="D402" t="str">
            <v>1/41B Elizabeth Bay Rd,Elizabeth Bay</v>
          </cell>
          <cell r="E402" t="str">
            <v>Sydney</v>
          </cell>
          <cell r="F402" t="str">
            <v>NSW</v>
          </cell>
          <cell r="G402" t="str">
            <v>Consumer</v>
          </cell>
          <cell r="H402" t="str">
            <v>Charlie Bui</v>
          </cell>
          <cell r="I402" t="str">
            <v>Medium</v>
          </cell>
          <cell r="J402" t="str">
            <v>Cando PC940 Copier</v>
          </cell>
          <cell r="K402" t="str">
            <v>Technology</v>
          </cell>
          <cell r="L402" t="str">
            <v>Jumbo Drum</v>
          </cell>
          <cell r="M402" t="str">
            <v>Delivery Truck</v>
          </cell>
          <cell r="N402">
            <v>41798</v>
          </cell>
          <cell r="O402">
            <v>278.99</v>
          </cell>
          <cell r="P402">
            <v>449.99</v>
          </cell>
          <cell r="Q402">
            <v>5</v>
          </cell>
          <cell r="R402">
            <v>2249.9499999999998</v>
          </cell>
          <cell r="S402">
            <v>0.01</v>
          </cell>
          <cell r="T402">
            <v>22.499499999999998</v>
          </cell>
          <cell r="U402">
            <v>2249.9399999999996</v>
          </cell>
          <cell r="V402">
            <v>49</v>
          </cell>
          <cell r="W402">
            <v>2298.9399999999996</v>
          </cell>
        </row>
        <row r="403">
          <cell r="A403" t="str">
            <v>5514-1</v>
          </cell>
          <cell r="B403">
            <v>41798</v>
          </cell>
          <cell r="C403" t="str">
            <v>John Lee</v>
          </cell>
          <cell r="D403" t="str">
            <v>180 High Street,Windsor</v>
          </cell>
          <cell r="E403" t="str">
            <v>Melbourne</v>
          </cell>
          <cell r="F403" t="str">
            <v>VIC</v>
          </cell>
          <cell r="G403" t="str">
            <v>Corporate</v>
          </cell>
          <cell r="H403" t="str">
            <v>Connor Betts</v>
          </cell>
          <cell r="I403" t="str">
            <v>Not Specified</v>
          </cell>
          <cell r="J403" t="str">
            <v>Artisan Poly Binder Pockets</v>
          </cell>
          <cell r="K403" t="str">
            <v>Office Supplies</v>
          </cell>
          <cell r="L403" t="str">
            <v>Small Box</v>
          </cell>
          <cell r="M403" t="str">
            <v>Express Air</v>
          </cell>
          <cell r="N403">
            <v>41800</v>
          </cell>
          <cell r="O403">
            <v>2.2599999999999998</v>
          </cell>
          <cell r="P403">
            <v>3.58</v>
          </cell>
          <cell r="Q403">
            <v>44</v>
          </cell>
          <cell r="R403">
            <v>157.52000000000001</v>
          </cell>
          <cell r="S403">
            <v>0.06</v>
          </cell>
          <cell r="T403">
            <v>9.4512</v>
          </cell>
          <cell r="U403">
            <v>157.46</v>
          </cell>
          <cell r="V403">
            <v>5.47</v>
          </cell>
          <cell r="W403">
            <v>162.93</v>
          </cell>
        </row>
        <row r="404">
          <cell r="A404" t="str">
            <v>5516-1</v>
          </cell>
          <cell r="B404">
            <v>41799</v>
          </cell>
          <cell r="C404" t="str">
            <v>Anthony Rawles</v>
          </cell>
          <cell r="D404" t="str">
            <v>Shop 1, 186-190 Church Street,Parramatta;46a Macleay Street,Potts Point</v>
          </cell>
          <cell r="E404" t="str">
            <v>Sydney</v>
          </cell>
          <cell r="F404" t="str">
            <v>NSW</v>
          </cell>
          <cell r="G404" t="str">
            <v>Small Business</v>
          </cell>
          <cell r="H404" t="str">
            <v>Mihael Khan</v>
          </cell>
          <cell r="I404" t="str">
            <v>High</v>
          </cell>
          <cell r="J404" t="str">
            <v>3Max Polarizing Light Filter Sleeves</v>
          </cell>
          <cell r="K404" t="str">
            <v>Furniture</v>
          </cell>
          <cell r="L404" t="str">
            <v>Small Pack</v>
          </cell>
          <cell r="M404" t="str">
            <v>Regular Air</v>
          </cell>
          <cell r="N404">
            <v>41799</v>
          </cell>
          <cell r="O404">
            <v>11.38</v>
          </cell>
          <cell r="P404">
            <v>18.649999999999999</v>
          </cell>
          <cell r="Q404">
            <v>18</v>
          </cell>
          <cell r="R404">
            <v>335.7</v>
          </cell>
          <cell r="S404">
            <v>0.1</v>
          </cell>
          <cell r="T404">
            <v>33.57</v>
          </cell>
          <cell r="U404">
            <v>335.59999999999997</v>
          </cell>
          <cell r="V404">
            <v>3.77</v>
          </cell>
          <cell r="W404">
            <v>339.36999999999995</v>
          </cell>
        </row>
        <row r="405">
          <cell r="A405" t="str">
            <v>5518-1</v>
          </cell>
          <cell r="B405">
            <v>41803</v>
          </cell>
          <cell r="C405" t="str">
            <v>Fred Chung</v>
          </cell>
          <cell r="D405" t="str">
            <v>81 MacLeay St,Potts Point</v>
          </cell>
          <cell r="E405" t="str">
            <v>Sydney</v>
          </cell>
          <cell r="F405" t="str">
            <v>NSW</v>
          </cell>
          <cell r="G405" t="str">
            <v>Corporate</v>
          </cell>
          <cell r="H405" t="str">
            <v>Samantha Chairs</v>
          </cell>
          <cell r="I405" t="str">
            <v>Low</v>
          </cell>
          <cell r="J405" t="str">
            <v>Smiths Colored Interoffice Envelopes</v>
          </cell>
          <cell r="K405" t="str">
            <v>Office Supplies</v>
          </cell>
          <cell r="L405" t="str">
            <v>Small Box</v>
          </cell>
          <cell r="M405" t="str">
            <v>Express Air</v>
          </cell>
          <cell r="N405">
            <v>41812</v>
          </cell>
          <cell r="O405">
            <v>19.829999999999998</v>
          </cell>
          <cell r="P405">
            <v>30.98</v>
          </cell>
          <cell r="Q405">
            <v>46</v>
          </cell>
          <cell r="R405">
            <v>1425.08</v>
          </cell>
          <cell r="S405">
            <v>0.04</v>
          </cell>
          <cell r="T405">
            <v>57.0032</v>
          </cell>
          <cell r="U405">
            <v>1425.04</v>
          </cell>
          <cell r="V405">
            <v>19.510000000000002</v>
          </cell>
          <cell r="W405">
            <v>1444.55</v>
          </cell>
        </row>
        <row r="406">
          <cell r="A406" t="str">
            <v>5520-1</v>
          </cell>
          <cell r="B406">
            <v>41806</v>
          </cell>
          <cell r="C406" t="str">
            <v>Julie Prescott</v>
          </cell>
          <cell r="D406" t="str">
            <v>438 Victoria Avenue,Chatswood</v>
          </cell>
          <cell r="E406" t="str">
            <v>Sydney</v>
          </cell>
          <cell r="F406" t="str">
            <v>NSW</v>
          </cell>
          <cell r="G406" t="str">
            <v>Home Office</v>
          </cell>
          <cell r="H406" t="str">
            <v>Natasha Song</v>
          </cell>
          <cell r="I406" t="str">
            <v>Low</v>
          </cell>
          <cell r="J406" t="str">
            <v>Smiths Standard Envelopes</v>
          </cell>
          <cell r="K406" t="str">
            <v>Office Supplies</v>
          </cell>
          <cell r="L406" t="str">
            <v>Small Box</v>
          </cell>
          <cell r="M406" t="str">
            <v>Regular Air</v>
          </cell>
          <cell r="N406">
            <v>41811</v>
          </cell>
          <cell r="O406">
            <v>3.52</v>
          </cell>
          <cell r="P406">
            <v>5.68</v>
          </cell>
          <cell r="Q406">
            <v>32</v>
          </cell>
          <cell r="R406">
            <v>181.76</v>
          </cell>
          <cell r="S406">
            <v>0.1</v>
          </cell>
          <cell r="T406">
            <v>18.175999999999998</v>
          </cell>
          <cell r="U406">
            <v>181.66</v>
          </cell>
          <cell r="V406">
            <v>1.39</v>
          </cell>
          <cell r="W406">
            <v>183.04999999999998</v>
          </cell>
        </row>
        <row r="407">
          <cell r="A407" t="str">
            <v>5521-1</v>
          </cell>
          <cell r="B407">
            <v>41807</v>
          </cell>
          <cell r="C407" t="str">
            <v>Edward Becker</v>
          </cell>
          <cell r="D407" t="str">
            <v>501 George St,Sydney</v>
          </cell>
          <cell r="E407" t="str">
            <v>Sydney</v>
          </cell>
          <cell r="F407" t="str">
            <v>NSW</v>
          </cell>
          <cell r="G407" t="str">
            <v>Home Office</v>
          </cell>
          <cell r="H407" t="str">
            <v>Samantha Chairs</v>
          </cell>
          <cell r="I407" t="str">
            <v>Medium</v>
          </cell>
          <cell r="J407" t="str">
            <v>Smiths General Use 3-Ring Binders</v>
          </cell>
          <cell r="K407" t="str">
            <v>Office Supplies</v>
          </cell>
          <cell r="L407" t="str">
            <v>Small Box</v>
          </cell>
          <cell r="M407" t="str">
            <v>Regular Air</v>
          </cell>
          <cell r="N407">
            <v>41808</v>
          </cell>
          <cell r="O407">
            <v>1.18</v>
          </cell>
          <cell r="P407">
            <v>1.88</v>
          </cell>
          <cell r="Q407">
            <v>19</v>
          </cell>
          <cell r="R407">
            <v>35.72</v>
          </cell>
          <cell r="S407">
            <v>7.0000000000000007E-2</v>
          </cell>
          <cell r="T407">
            <v>2.5004</v>
          </cell>
          <cell r="U407">
            <v>35.65</v>
          </cell>
          <cell r="V407">
            <v>1.49</v>
          </cell>
          <cell r="W407">
            <v>37.14</v>
          </cell>
        </row>
        <row r="408">
          <cell r="A408" t="str">
            <v>5523-1</v>
          </cell>
          <cell r="B408">
            <v>41808</v>
          </cell>
          <cell r="C408" t="str">
            <v>Bill Donatelli</v>
          </cell>
          <cell r="D408" t="str">
            <v>359 Crown Street,Surry Hills</v>
          </cell>
          <cell r="E408" t="str">
            <v>Sydney</v>
          </cell>
          <cell r="F408" t="str">
            <v>NSW</v>
          </cell>
          <cell r="G408" t="str">
            <v>Corporate</v>
          </cell>
          <cell r="H408" t="str">
            <v>Phoebe Gour</v>
          </cell>
          <cell r="I408" t="str">
            <v>High</v>
          </cell>
          <cell r="J408" t="str">
            <v>Message Book, One Form per Page</v>
          </cell>
          <cell r="K408" t="str">
            <v>Office Supplies</v>
          </cell>
          <cell r="L408" t="str">
            <v>Wrap Bag</v>
          </cell>
          <cell r="M408" t="str">
            <v>Regular Air</v>
          </cell>
          <cell r="N408">
            <v>41808</v>
          </cell>
          <cell r="O408">
            <v>2.41</v>
          </cell>
          <cell r="P408">
            <v>3.71</v>
          </cell>
          <cell r="Q408">
            <v>39</v>
          </cell>
          <cell r="R408">
            <v>144.69</v>
          </cell>
          <cell r="S408">
            <v>0.06</v>
          </cell>
          <cell r="T408">
            <v>8.6814</v>
          </cell>
          <cell r="U408">
            <v>144.63</v>
          </cell>
          <cell r="V408">
            <v>1.93</v>
          </cell>
          <cell r="W408">
            <v>146.56</v>
          </cell>
        </row>
        <row r="409">
          <cell r="A409" t="str">
            <v>5525-1</v>
          </cell>
          <cell r="B409">
            <v>41808</v>
          </cell>
          <cell r="C409" t="str">
            <v>Toby Swindell</v>
          </cell>
          <cell r="D409" t="str">
            <v>273 George Street,Sydney</v>
          </cell>
          <cell r="E409" t="str">
            <v>Sydney</v>
          </cell>
          <cell r="F409" t="str">
            <v>NSW</v>
          </cell>
          <cell r="G409" t="str">
            <v>Small Business</v>
          </cell>
          <cell r="H409" t="str">
            <v>Leighton Forrest</v>
          </cell>
          <cell r="I409" t="str">
            <v>Critical</v>
          </cell>
          <cell r="J409" t="str">
            <v>Adams "While You Were Out" Message Pads</v>
          </cell>
          <cell r="K409" t="str">
            <v>Office Supplies</v>
          </cell>
          <cell r="L409" t="str">
            <v>Wrap Bag</v>
          </cell>
          <cell r="M409" t="str">
            <v>Regular Air</v>
          </cell>
          <cell r="N409">
            <v>41808</v>
          </cell>
          <cell r="O409">
            <v>1.88</v>
          </cell>
          <cell r="P409">
            <v>3.14</v>
          </cell>
          <cell r="Q409">
            <v>32</v>
          </cell>
          <cell r="R409">
            <v>100.48</v>
          </cell>
          <cell r="S409">
            <v>0.03</v>
          </cell>
          <cell r="T409">
            <v>3.0144000000000002</v>
          </cell>
          <cell r="U409">
            <v>100.45</v>
          </cell>
          <cell r="V409">
            <v>1.1399999999999999</v>
          </cell>
          <cell r="W409">
            <v>101.59</v>
          </cell>
        </row>
        <row r="410">
          <cell r="A410" t="str">
            <v>5526-1</v>
          </cell>
          <cell r="B410">
            <v>41809</v>
          </cell>
          <cell r="C410" t="str">
            <v>Barry Pond</v>
          </cell>
          <cell r="D410" t="str">
            <v>99 Lygon Street,East Brunswick</v>
          </cell>
          <cell r="E410" t="str">
            <v>Melbourne</v>
          </cell>
          <cell r="F410" t="str">
            <v>VIC</v>
          </cell>
          <cell r="G410" t="str">
            <v>Consumer</v>
          </cell>
          <cell r="H410" t="str">
            <v>Connor Betts</v>
          </cell>
          <cell r="I410" t="str">
            <v>Medium</v>
          </cell>
          <cell r="J410" t="str">
            <v>DrawIt Colored Pencils, 48-Color Set</v>
          </cell>
          <cell r="K410" t="str">
            <v>Office Supplies</v>
          </cell>
          <cell r="L410" t="str">
            <v>Wrap Bag</v>
          </cell>
          <cell r="M410" t="str">
            <v>Regular Air</v>
          </cell>
          <cell r="N410">
            <v>41811</v>
          </cell>
          <cell r="O410">
            <v>21.56</v>
          </cell>
          <cell r="P410">
            <v>36.549999999999997</v>
          </cell>
          <cell r="Q410">
            <v>48</v>
          </cell>
          <cell r="R410">
            <v>1754.3999999999999</v>
          </cell>
          <cell r="S410">
            <v>7.0000000000000007E-2</v>
          </cell>
          <cell r="T410">
            <v>122.80800000000001</v>
          </cell>
          <cell r="U410">
            <v>1754.33</v>
          </cell>
          <cell r="V410">
            <v>13.89</v>
          </cell>
          <cell r="W410">
            <v>1768.22</v>
          </cell>
        </row>
        <row r="411">
          <cell r="A411" t="str">
            <v>5527-1</v>
          </cell>
          <cell r="B411">
            <v>41809</v>
          </cell>
          <cell r="C411" t="str">
            <v>Jim Mitchum</v>
          </cell>
          <cell r="D411" t="str">
            <v>85-113 Dunning Ave,Rosebery</v>
          </cell>
          <cell r="E411" t="str">
            <v>Sydney</v>
          </cell>
          <cell r="F411" t="str">
            <v>NSW</v>
          </cell>
          <cell r="G411" t="str">
            <v>Consumer</v>
          </cell>
          <cell r="H411" t="str">
            <v>Mihael Khan</v>
          </cell>
          <cell r="I411" t="str">
            <v>Not Specified</v>
          </cell>
          <cell r="J411" t="str">
            <v>Laser DVD-RAM discs</v>
          </cell>
          <cell r="K411" t="str">
            <v>Technology</v>
          </cell>
          <cell r="L411" t="str">
            <v>Small Pack</v>
          </cell>
          <cell r="M411" t="str">
            <v>Regular Air</v>
          </cell>
          <cell r="N411">
            <v>41811</v>
          </cell>
          <cell r="O411">
            <v>20.18</v>
          </cell>
          <cell r="P411">
            <v>35.409999999999997</v>
          </cell>
          <cell r="Q411">
            <v>21</v>
          </cell>
          <cell r="R411">
            <v>743.6099999999999</v>
          </cell>
          <cell r="S411">
            <v>0.01</v>
          </cell>
          <cell r="T411">
            <v>7.4360999999999988</v>
          </cell>
          <cell r="U411">
            <v>743.59999999999991</v>
          </cell>
          <cell r="V411">
            <v>1.99</v>
          </cell>
          <cell r="W411">
            <v>745.58999999999992</v>
          </cell>
        </row>
        <row r="412">
          <cell r="A412" t="str">
            <v>5529-1</v>
          </cell>
          <cell r="B412">
            <v>41809</v>
          </cell>
          <cell r="C412" t="str">
            <v>Bruce Degenhardt</v>
          </cell>
          <cell r="D412" t="str">
            <v>501 George St,Sydney</v>
          </cell>
          <cell r="E412" t="str">
            <v>Sydney</v>
          </cell>
          <cell r="F412" t="str">
            <v>NSW</v>
          </cell>
          <cell r="G412" t="str">
            <v>Home Office</v>
          </cell>
          <cell r="H412" t="str">
            <v>Samantha Chairs</v>
          </cell>
          <cell r="I412" t="str">
            <v>High</v>
          </cell>
          <cell r="J412" t="str">
            <v>Multimedia Mailers</v>
          </cell>
          <cell r="K412" t="str">
            <v>Office Supplies</v>
          </cell>
          <cell r="L412" t="str">
            <v>Small Box</v>
          </cell>
          <cell r="M412" t="str">
            <v>Regular Air</v>
          </cell>
          <cell r="N412">
            <v>41811</v>
          </cell>
          <cell r="O412">
            <v>99.39</v>
          </cell>
          <cell r="P412">
            <v>162.93</v>
          </cell>
          <cell r="Q412">
            <v>16</v>
          </cell>
          <cell r="R412">
            <v>2606.88</v>
          </cell>
          <cell r="S412">
            <v>0.1</v>
          </cell>
          <cell r="T412">
            <v>260.68800000000005</v>
          </cell>
          <cell r="U412">
            <v>2606.7800000000002</v>
          </cell>
          <cell r="V412">
            <v>19.989999999999998</v>
          </cell>
          <cell r="W412">
            <v>2626.77</v>
          </cell>
        </row>
        <row r="413">
          <cell r="A413" t="str">
            <v>5531-1</v>
          </cell>
          <cell r="B413">
            <v>41812</v>
          </cell>
          <cell r="C413" t="str">
            <v>Luke Weiss</v>
          </cell>
          <cell r="D413" t="str">
            <v>88 Oxford St,Woollahra</v>
          </cell>
          <cell r="E413" t="str">
            <v>Sydney</v>
          </cell>
          <cell r="F413" t="str">
            <v>NSW</v>
          </cell>
          <cell r="G413" t="str">
            <v>Corporate</v>
          </cell>
          <cell r="H413" t="str">
            <v>Charlie Bui</v>
          </cell>
          <cell r="I413" t="str">
            <v>Not Specified</v>
          </cell>
          <cell r="J413" t="str">
            <v>3Max Polarizing Task Lamp with Clamp Arm, Light Gray</v>
          </cell>
          <cell r="K413" t="str">
            <v>Furniture</v>
          </cell>
          <cell r="L413" t="str">
            <v>Large Box</v>
          </cell>
          <cell r="M413" t="str">
            <v>Express Air</v>
          </cell>
          <cell r="N413">
            <v>41814</v>
          </cell>
          <cell r="O413">
            <v>56.16</v>
          </cell>
          <cell r="P413">
            <v>136.97999999999999</v>
          </cell>
          <cell r="Q413">
            <v>17</v>
          </cell>
          <cell r="R413">
            <v>2328.66</v>
          </cell>
          <cell r="S413">
            <v>0</v>
          </cell>
          <cell r="T413">
            <v>0</v>
          </cell>
          <cell r="U413">
            <v>2328.66</v>
          </cell>
          <cell r="V413">
            <v>24.49</v>
          </cell>
          <cell r="W413">
            <v>2353.1499999999996</v>
          </cell>
        </row>
        <row r="414">
          <cell r="A414" t="str">
            <v>5533-1</v>
          </cell>
          <cell r="B414">
            <v>41812</v>
          </cell>
          <cell r="C414" t="str">
            <v>Craig Leslie</v>
          </cell>
          <cell r="D414" t="str">
            <v>10 Bligh St,Melbourne</v>
          </cell>
          <cell r="E414" t="str">
            <v>Melbourne</v>
          </cell>
          <cell r="F414" t="str">
            <v>VIC</v>
          </cell>
          <cell r="G414" t="str">
            <v>Consumer</v>
          </cell>
          <cell r="H414" t="str">
            <v>Charlie Bui</v>
          </cell>
          <cell r="I414" t="str">
            <v>Medium</v>
          </cell>
          <cell r="J414" t="str">
            <v>Artisan 478 Labels</v>
          </cell>
          <cell r="K414" t="str">
            <v>Office Supplies</v>
          </cell>
          <cell r="L414" t="str">
            <v>Small Box</v>
          </cell>
          <cell r="M414" t="str">
            <v>Express Air</v>
          </cell>
          <cell r="N414">
            <v>41814</v>
          </cell>
          <cell r="O414">
            <v>3.14</v>
          </cell>
          <cell r="P414">
            <v>4.91</v>
          </cell>
          <cell r="Q414">
            <v>24</v>
          </cell>
          <cell r="R414">
            <v>117.84</v>
          </cell>
          <cell r="S414">
            <v>0.01</v>
          </cell>
          <cell r="T414">
            <v>1.1784000000000001</v>
          </cell>
          <cell r="U414">
            <v>117.83</v>
          </cell>
          <cell r="V414">
            <v>0.5</v>
          </cell>
          <cell r="W414">
            <v>118.33</v>
          </cell>
        </row>
        <row r="415">
          <cell r="A415" t="str">
            <v>5534-1</v>
          </cell>
          <cell r="B415">
            <v>41813</v>
          </cell>
          <cell r="C415" t="str">
            <v>Frank Hawley</v>
          </cell>
          <cell r="D415" t="str">
            <v>Shop 1 797 Botany Rd,Rosebery</v>
          </cell>
          <cell r="E415" t="str">
            <v>Sydney</v>
          </cell>
          <cell r="F415" t="str">
            <v>NSW</v>
          </cell>
          <cell r="G415" t="str">
            <v>Home Office</v>
          </cell>
          <cell r="H415" t="str">
            <v>Phoebe Gour</v>
          </cell>
          <cell r="I415" t="str">
            <v>Medium</v>
          </cell>
          <cell r="J415" t="str">
            <v>Artisan 474 Labels</v>
          </cell>
          <cell r="K415" t="str">
            <v>Office Supplies</v>
          </cell>
          <cell r="L415" t="str">
            <v>Small Box</v>
          </cell>
          <cell r="M415" t="str">
            <v>Regular Air</v>
          </cell>
          <cell r="N415">
            <v>41813</v>
          </cell>
          <cell r="O415">
            <v>1.84</v>
          </cell>
          <cell r="P415">
            <v>2.88</v>
          </cell>
          <cell r="Q415">
            <v>8</v>
          </cell>
          <cell r="R415">
            <v>23.04</v>
          </cell>
          <cell r="S415">
            <v>7.0000000000000007E-2</v>
          </cell>
          <cell r="T415">
            <v>1.6128</v>
          </cell>
          <cell r="U415">
            <v>22.97</v>
          </cell>
          <cell r="V415">
            <v>0.99</v>
          </cell>
          <cell r="W415">
            <v>23.959999999999997</v>
          </cell>
        </row>
        <row r="416">
          <cell r="A416" t="str">
            <v>5536-1</v>
          </cell>
          <cell r="B416">
            <v>41815</v>
          </cell>
          <cell r="C416" t="str">
            <v>Nora Paige</v>
          </cell>
          <cell r="D416" t="str">
            <v>85-113 Dunning Ave,Roseberry</v>
          </cell>
          <cell r="E416" t="str">
            <v>Sydney</v>
          </cell>
          <cell r="F416" t="str">
            <v>NSW</v>
          </cell>
          <cell r="G416" t="str">
            <v>Small Business</v>
          </cell>
          <cell r="H416" t="str">
            <v>Mihael Khan</v>
          </cell>
          <cell r="I416" t="str">
            <v>Not Specified</v>
          </cell>
          <cell r="J416" t="str">
            <v>Steady 52201 APSCO Electric Pencil Sharpener</v>
          </cell>
          <cell r="K416" t="str">
            <v>Office Supplies</v>
          </cell>
          <cell r="L416" t="str">
            <v>Small Pack</v>
          </cell>
          <cell r="M416" t="str">
            <v>Regular Air</v>
          </cell>
          <cell r="N416">
            <v>41815</v>
          </cell>
          <cell r="O416">
            <v>16.8</v>
          </cell>
          <cell r="P416">
            <v>40.97</v>
          </cell>
          <cell r="Q416">
            <v>47</v>
          </cell>
          <cell r="R416">
            <v>1925.59</v>
          </cell>
          <cell r="S416">
            <v>0.06</v>
          </cell>
          <cell r="T416">
            <v>115.5354</v>
          </cell>
          <cell r="U416">
            <v>1925.53</v>
          </cell>
          <cell r="V416">
            <v>8.99</v>
          </cell>
          <cell r="W416">
            <v>1934.52</v>
          </cell>
        </row>
        <row r="417">
          <cell r="A417" t="str">
            <v>5537-1</v>
          </cell>
          <cell r="B417">
            <v>41817</v>
          </cell>
          <cell r="C417" t="str">
            <v>Alejandro Ballentine</v>
          </cell>
          <cell r="D417" t="str">
            <v>412 Brunswick St,Fitzroy</v>
          </cell>
          <cell r="E417" t="str">
            <v>Melbourne</v>
          </cell>
          <cell r="F417" t="str">
            <v>VIC</v>
          </cell>
          <cell r="G417" t="str">
            <v>Small Business</v>
          </cell>
          <cell r="H417" t="str">
            <v>Connor Betts</v>
          </cell>
          <cell r="I417" t="str">
            <v>High</v>
          </cell>
          <cell r="J417" t="str">
            <v>Barrel Sharpener</v>
          </cell>
          <cell r="K417" t="str">
            <v>Office Supplies</v>
          </cell>
          <cell r="L417" t="str">
            <v>Small Pack</v>
          </cell>
          <cell r="M417" t="str">
            <v>Regular Air</v>
          </cell>
          <cell r="N417">
            <v>41818</v>
          </cell>
          <cell r="O417">
            <v>1.46</v>
          </cell>
          <cell r="P417">
            <v>3.57</v>
          </cell>
          <cell r="Q417">
            <v>46</v>
          </cell>
          <cell r="R417">
            <v>164.22</v>
          </cell>
          <cell r="S417">
            <v>0.01</v>
          </cell>
          <cell r="T417">
            <v>1.6422000000000001</v>
          </cell>
          <cell r="U417">
            <v>164.21</v>
          </cell>
          <cell r="V417">
            <v>4.17</v>
          </cell>
          <cell r="W417">
            <v>168.38</v>
          </cell>
        </row>
        <row r="418">
          <cell r="A418" t="str">
            <v>5541-1</v>
          </cell>
          <cell r="B418">
            <v>41819</v>
          </cell>
          <cell r="C418" t="str">
            <v>Christine Abelman</v>
          </cell>
          <cell r="D418" t="str">
            <v>Sydney Fish Market, Bank Street, Sydney</v>
          </cell>
          <cell r="E418" t="str">
            <v>Sydney</v>
          </cell>
          <cell r="F418" t="str">
            <v>NSW</v>
          </cell>
          <cell r="G418" t="str">
            <v>Corporate</v>
          </cell>
          <cell r="H418" t="str">
            <v>Phoebe Gour</v>
          </cell>
          <cell r="I418" t="str">
            <v>Medium</v>
          </cell>
          <cell r="J418" t="str">
            <v>Artisan 479 Labels</v>
          </cell>
          <cell r="K418" t="str">
            <v>Office Supplies</v>
          </cell>
          <cell r="L418" t="str">
            <v>Small Box</v>
          </cell>
          <cell r="M418" t="str">
            <v>Regular Air</v>
          </cell>
          <cell r="N418">
            <v>41819</v>
          </cell>
          <cell r="O418">
            <v>1.59</v>
          </cell>
          <cell r="P418">
            <v>2.61</v>
          </cell>
          <cell r="Q418">
            <v>44</v>
          </cell>
          <cell r="R418">
            <v>114.83999999999999</v>
          </cell>
          <cell r="S418">
            <v>0.09</v>
          </cell>
          <cell r="T418">
            <v>10.335599999999999</v>
          </cell>
          <cell r="U418">
            <v>114.74999999999999</v>
          </cell>
          <cell r="V418">
            <v>0.5</v>
          </cell>
          <cell r="W418">
            <v>115.24999999999999</v>
          </cell>
        </row>
        <row r="419">
          <cell r="A419" t="str">
            <v>5544-1</v>
          </cell>
          <cell r="B419">
            <v>41819</v>
          </cell>
          <cell r="C419" t="str">
            <v>William Brown</v>
          </cell>
          <cell r="D419" t="str">
            <v>3 Carrington Road ,Box Hill</v>
          </cell>
          <cell r="E419" t="str">
            <v>Melbourne</v>
          </cell>
          <cell r="F419" t="str">
            <v>VIC</v>
          </cell>
          <cell r="G419" t="str">
            <v>Corporate</v>
          </cell>
          <cell r="H419" t="str">
            <v>Yvette Biti</v>
          </cell>
          <cell r="I419" t="str">
            <v>Not Specified</v>
          </cell>
          <cell r="J419" t="str">
            <v>TechSavi Cordless Access Keyboard</v>
          </cell>
          <cell r="K419" t="str">
            <v>Technology</v>
          </cell>
          <cell r="L419" t="str">
            <v>Small Box</v>
          </cell>
          <cell r="M419" t="str">
            <v>Regular Air</v>
          </cell>
          <cell r="N419">
            <v>41820</v>
          </cell>
          <cell r="O419">
            <v>14.7</v>
          </cell>
          <cell r="P419">
            <v>29.99</v>
          </cell>
          <cell r="Q419">
            <v>20</v>
          </cell>
          <cell r="R419">
            <v>599.79999999999995</v>
          </cell>
          <cell r="S419">
            <v>0</v>
          </cell>
          <cell r="T419">
            <v>0</v>
          </cell>
          <cell r="U419">
            <v>599.79999999999995</v>
          </cell>
          <cell r="V419">
            <v>5.5</v>
          </cell>
          <cell r="W419">
            <v>605.29999999999995</v>
          </cell>
        </row>
        <row r="420">
          <cell r="A420" t="str">
            <v>5546-1</v>
          </cell>
          <cell r="B420">
            <v>41820</v>
          </cell>
          <cell r="C420" t="str">
            <v>Monica Federle</v>
          </cell>
          <cell r="D420" t="str">
            <v>834 Bourke St,Waterloo</v>
          </cell>
          <cell r="E420" t="str">
            <v>Sydney</v>
          </cell>
          <cell r="F420" t="str">
            <v>NSW</v>
          </cell>
          <cell r="G420" t="str">
            <v>Corporate</v>
          </cell>
          <cell r="H420" t="str">
            <v>Charlie Bui</v>
          </cell>
          <cell r="I420" t="str">
            <v>Medium</v>
          </cell>
          <cell r="J420" t="str">
            <v>Alto Perma 2700 Stacking Storage Drawers</v>
          </cell>
          <cell r="K420" t="str">
            <v>Office Supplies</v>
          </cell>
          <cell r="L420" t="str">
            <v>Small Box</v>
          </cell>
          <cell r="M420" t="str">
            <v>Regular Air</v>
          </cell>
          <cell r="N420">
            <v>41823</v>
          </cell>
          <cell r="O420">
            <v>8.92</v>
          </cell>
          <cell r="P420">
            <v>29.74</v>
          </cell>
          <cell r="Q420">
            <v>4</v>
          </cell>
          <cell r="R420">
            <v>118.96</v>
          </cell>
          <cell r="S420">
            <v>0.05</v>
          </cell>
          <cell r="T420">
            <v>5.9480000000000004</v>
          </cell>
          <cell r="U420">
            <v>118.91</v>
          </cell>
          <cell r="V420">
            <v>6.64</v>
          </cell>
          <cell r="W420">
            <v>125.55</v>
          </cell>
        </row>
        <row r="421">
          <cell r="A421" t="str">
            <v>5547-1</v>
          </cell>
          <cell r="B421">
            <v>41824</v>
          </cell>
          <cell r="C421" t="str">
            <v>Mike Gockenbach</v>
          </cell>
          <cell r="D421" t="str">
            <v>180 High Street,Windsor</v>
          </cell>
          <cell r="E421" t="str">
            <v>Melbourne</v>
          </cell>
          <cell r="F421" t="str">
            <v>VIC</v>
          </cell>
          <cell r="G421" t="str">
            <v>Consumer</v>
          </cell>
          <cell r="H421" t="str">
            <v>Connor Betts</v>
          </cell>
          <cell r="I421" t="str">
            <v>High</v>
          </cell>
          <cell r="J421" t="str">
            <v>Alto Memo Cubes</v>
          </cell>
          <cell r="K421" t="str">
            <v>Office Supplies</v>
          </cell>
          <cell r="L421" t="str">
            <v>Wrap Bag</v>
          </cell>
          <cell r="M421" t="str">
            <v>Regular Air</v>
          </cell>
          <cell r="N421">
            <v>41826</v>
          </cell>
          <cell r="O421">
            <v>3.32</v>
          </cell>
          <cell r="P421">
            <v>5.18</v>
          </cell>
          <cell r="Q421">
            <v>43</v>
          </cell>
          <cell r="R421">
            <v>222.73999999999998</v>
          </cell>
          <cell r="S421">
            <v>0.03</v>
          </cell>
          <cell r="T421">
            <v>6.682199999999999</v>
          </cell>
          <cell r="U421">
            <v>222.70999999999998</v>
          </cell>
          <cell r="V421">
            <v>2.04</v>
          </cell>
          <cell r="W421">
            <v>224.74999999999997</v>
          </cell>
        </row>
        <row r="422">
          <cell r="A422" t="str">
            <v>5548-1</v>
          </cell>
          <cell r="B422">
            <v>41825</v>
          </cell>
          <cell r="C422" t="str">
            <v>James Galang</v>
          </cell>
          <cell r="D422" t="str">
            <v>Westfield 1 Anderson St,Chatswood</v>
          </cell>
          <cell r="E422" t="str">
            <v>Sydney</v>
          </cell>
          <cell r="F422" t="str">
            <v>NSW</v>
          </cell>
          <cell r="G422" t="str">
            <v>Consumer</v>
          </cell>
          <cell r="H422" t="str">
            <v>Nicholas Fernandes</v>
          </cell>
          <cell r="I422" t="str">
            <v>Critical</v>
          </cell>
          <cell r="J422" t="str">
            <v>Artisan File Folder Labels</v>
          </cell>
          <cell r="K422" t="str">
            <v>Office Supplies</v>
          </cell>
          <cell r="L422" t="str">
            <v>Small Box</v>
          </cell>
          <cell r="M422" t="str">
            <v>Regular Air</v>
          </cell>
          <cell r="N422">
            <v>41828</v>
          </cell>
          <cell r="O422">
            <v>1.84</v>
          </cell>
          <cell r="P422">
            <v>2.88</v>
          </cell>
          <cell r="Q422">
            <v>47</v>
          </cell>
          <cell r="R422">
            <v>135.35999999999999</v>
          </cell>
          <cell r="S422">
            <v>0.03</v>
          </cell>
          <cell r="T422">
            <v>4.0607999999999995</v>
          </cell>
          <cell r="U422">
            <v>135.32999999999998</v>
          </cell>
          <cell r="V422">
            <v>5.33</v>
          </cell>
          <cell r="W422">
            <v>140.66</v>
          </cell>
        </row>
        <row r="423">
          <cell r="A423" t="str">
            <v>5549-1</v>
          </cell>
          <cell r="B423">
            <v>41831</v>
          </cell>
          <cell r="C423" t="str">
            <v>Sanjit Jacobs</v>
          </cell>
          <cell r="D423" t="str">
            <v>541 Church St,Richmond</v>
          </cell>
          <cell r="E423" t="str">
            <v>Melbourne</v>
          </cell>
          <cell r="F423" t="str">
            <v>VIC</v>
          </cell>
          <cell r="G423" t="str">
            <v>Consumer</v>
          </cell>
          <cell r="H423" t="str">
            <v>Yvette Biti</v>
          </cell>
          <cell r="I423" t="str">
            <v>High</v>
          </cell>
          <cell r="J423" t="str">
            <v>TechSavi Access Keyboard</v>
          </cell>
          <cell r="K423" t="str">
            <v>Technology</v>
          </cell>
          <cell r="L423" t="str">
            <v>Small Box</v>
          </cell>
          <cell r="M423" t="str">
            <v>Regular Air</v>
          </cell>
          <cell r="N423">
            <v>41833</v>
          </cell>
          <cell r="O423">
            <v>8.31</v>
          </cell>
          <cell r="P423">
            <v>15.98</v>
          </cell>
          <cell r="Q423">
            <v>40</v>
          </cell>
          <cell r="R423">
            <v>639.20000000000005</v>
          </cell>
          <cell r="S423">
            <v>0.03</v>
          </cell>
          <cell r="T423">
            <v>19.176000000000002</v>
          </cell>
          <cell r="U423">
            <v>639.17000000000007</v>
          </cell>
          <cell r="V423">
            <v>6.5</v>
          </cell>
          <cell r="W423">
            <v>645.67000000000007</v>
          </cell>
        </row>
        <row r="424">
          <cell r="A424" t="str">
            <v>5551-1</v>
          </cell>
          <cell r="B424">
            <v>41832</v>
          </cell>
          <cell r="C424" t="str">
            <v>Raymond Book</v>
          </cell>
          <cell r="D424" t="str">
            <v>Shop 1, 186-190 Church Street,Parramatta;46a Macleay Street,Potts Point</v>
          </cell>
          <cell r="E424" t="str">
            <v>Sydney</v>
          </cell>
          <cell r="F424" t="str">
            <v>NSW</v>
          </cell>
          <cell r="G424" t="str">
            <v>Consumer</v>
          </cell>
          <cell r="H424" t="str">
            <v>Mihael Khan</v>
          </cell>
          <cell r="I424" t="str">
            <v>Medium</v>
          </cell>
          <cell r="J424" t="str">
            <v>Artisan Round Ring Poly Binders</v>
          </cell>
          <cell r="K424" t="str">
            <v>Office Supplies</v>
          </cell>
          <cell r="L424" t="str">
            <v>Small Box</v>
          </cell>
          <cell r="M424" t="str">
            <v>Regular Air</v>
          </cell>
          <cell r="N424">
            <v>41834</v>
          </cell>
          <cell r="O424">
            <v>1.82</v>
          </cell>
          <cell r="P424">
            <v>2.84</v>
          </cell>
          <cell r="Q424">
            <v>19</v>
          </cell>
          <cell r="R424">
            <v>53.959999999999994</v>
          </cell>
          <cell r="S424">
            <v>0</v>
          </cell>
          <cell r="T424">
            <v>0</v>
          </cell>
          <cell r="U424">
            <v>53.959999999999994</v>
          </cell>
          <cell r="V424">
            <v>5.44</v>
          </cell>
          <cell r="W424">
            <v>59.399999999999991</v>
          </cell>
        </row>
        <row r="425">
          <cell r="A425" t="str">
            <v>5552-1</v>
          </cell>
          <cell r="B425">
            <v>41835</v>
          </cell>
          <cell r="C425" t="str">
            <v>Bobby Odegard</v>
          </cell>
          <cell r="D425" t="str">
            <v>240-242 Johnston Street,Fitzroy</v>
          </cell>
          <cell r="E425" t="str">
            <v>Melbourne</v>
          </cell>
          <cell r="F425" t="str">
            <v>VIC</v>
          </cell>
          <cell r="G425" t="str">
            <v>Corporate</v>
          </cell>
          <cell r="H425" t="str">
            <v>Connor Betts</v>
          </cell>
          <cell r="I425" t="str">
            <v>Not Specified</v>
          </cell>
          <cell r="J425" t="str">
            <v>Laser Neon Mac Format Diskettes, 10/Pack</v>
          </cell>
          <cell r="K425" t="str">
            <v>Technology</v>
          </cell>
          <cell r="L425" t="str">
            <v>Small Pack</v>
          </cell>
          <cell r="M425" t="str">
            <v>Regular Air</v>
          </cell>
          <cell r="N425">
            <v>41837</v>
          </cell>
          <cell r="O425">
            <v>1.87</v>
          </cell>
          <cell r="P425">
            <v>8.1199999999999992</v>
          </cell>
          <cell r="Q425">
            <v>4</v>
          </cell>
          <cell r="R425">
            <v>32.479999999999997</v>
          </cell>
          <cell r="S425">
            <v>7.0000000000000007E-2</v>
          </cell>
          <cell r="T425">
            <v>2.2736000000000001</v>
          </cell>
          <cell r="U425">
            <v>32.409999999999997</v>
          </cell>
          <cell r="V425">
            <v>2.83</v>
          </cell>
          <cell r="W425">
            <v>35.239999999999995</v>
          </cell>
        </row>
        <row r="426">
          <cell r="A426" t="str">
            <v>5554-1</v>
          </cell>
          <cell r="B426">
            <v>41837</v>
          </cell>
          <cell r="C426" t="str">
            <v>Eric Barreto</v>
          </cell>
          <cell r="D426" t="str">
            <v>359 Crown Street,Surry Hills</v>
          </cell>
          <cell r="E426" t="str">
            <v>Sydney</v>
          </cell>
          <cell r="F426" t="str">
            <v>NSW</v>
          </cell>
          <cell r="G426" t="str">
            <v>Small Business</v>
          </cell>
          <cell r="H426" t="str">
            <v>Phoebe Gour</v>
          </cell>
          <cell r="I426" t="str">
            <v>High</v>
          </cell>
          <cell r="J426" t="str">
            <v>Alto 3-Hole Punch</v>
          </cell>
          <cell r="K426" t="str">
            <v>Office Supplies</v>
          </cell>
          <cell r="L426" t="str">
            <v>Small Box</v>
          </cell>
          <cell r="M426" t="str">
            <v>Regular Air</v>
          </cell>
          <cell r="N426">
            <v>41838</v>
          </cell>
          <cell r="O426">
            <v>2.76</v>
          </cell>
          <cell r="P426">
            <v>4.38</v>
          </cell>
          <cell r="Q426">
            <v>18</v>
          </cell>
          <cell r="R426">
            <v>78.84</v>
          </cell>
          <cell r="S426">
            <v>0.03</v>
          </cell>
          <cell r="T426">
            <v>2.3652000000000002</v>
          </cell>
          <cell r="U426">
            <v>78.81</v>
          </cell>
          <cell r="V426">
            <v>6.21</v>
          </cell>
          <cell r="W426">
            <v>85.02</v>
          </cell>
        </row>
        <row r="427">
          <cell r="A427" t="str">
            <v>5556-1</v>
          </cell>
          <cell r="B427">
            <v>41838</v>
          </cell>
          <cell r="C427" t="str">
            <v>Art Miller</v>
          </cell>
          <cell r="D427" t="str">
            <v>8 Quay Street,Haymarket</v>
          </cell>
          <cell r="E427" t="str">
            <v>Sydney</v>
          </cell>
          <cell r="F427" t="str">
            <v>NSW</v>
          </cell>
          <cell r="G427" t="str">
            <v>Corporate</v>
          </cell>
          <cell r="H427" t="str">
            <v>Leighton Forrest</v>
          </cell>
          <cell r="I427" t="str">
            <v>Medium</v>
          </cell>
          <cell r="J427" t="str">
            <v>Artisan 474 Labels</v>
          </cell>
          <cell r="K427" t="str">
            <v>Office Supplies</v>
          </cell>
          <cell r="L427" t="str">
            <v>Small Box</v>
          </cell>
          <cell r="M427" t="str">
            <v>Regular Air</v>
          </cell>
          <cell r="N427">
            <v>41839</v>
          </cell>
          <cell r="O427">
            <v>1.84</v>
          </cell>
          <cell r="P427">
            <v>2.88</v>
          </cell>
          <cell r="Q427">
            <v>10</v>
          </cell>
          <cell r="R427">
            <v>28.799999999999997</v>
          </cell>
          <cell r="S427">
            <v>0.01</v>
          </cell>
          <cell r="T427">
            <v>0.28799999999999998</v>
          </cell>
          <cell r="U427">
            <v>28.789999999999996</v>
          </cell>
          <cell r="V427">
            <v>0.99</v>
          </cell>
          <cell r="W427">
            <v>29.779999999999994</v>
          </cell>
        </row>
        <row r="428">
          <cell r="A428" t="str">
            <v>5560-1</v>
          </cell>
          <cell r="B428">
            <v>41842</v>
          </cell>
          <cell r="C428" t="str">
            <v>Gene Hale</v>
          </cell>
          <cell r="D428" t="str">
            <v>1/173-179 Bronte Rd,Waverley</v>
          </cell>
          <cell r="E428" t="str">
            <v>Sydney</v>
          </cell>
          <cell r="F428" t="str">
            <v>NSW</v>
          </cell>
          <cell r="G428" t="str">
            <v>Consumer</v>
          </cell>
          <cell r="H428" t="str">
            <v>Leighton Forrest</v>
          </cell>
          <cell r="I428" t="str">
            <v>Low</v>
          </cell>
          <cell r="J428" t="str">
            <v>Economy Binders</v>
          </cell>
          <cell r="K428" t="str">
            <v>Office Supplies</v>
          </cell>
          <cell r="L428" t="str">
            <v>Small Box</v>
          </cell>
          <cell r="M428" t="str">
            <v>Regular Air</v>
          </cell>
          <cell r="N428">
            <v>41844</v>
          </cell>
          <cell r="O428">
            <v>1.33</v>
          </cell>
          <cell r="P428">
            <v>2.08</v>
          </cell>
          <cell r="Q428">
            <v>20</v>
          </cell>
          <cell r="R428">
            <v>41.6</v>
          </cell>
          <cell r="S428">
            <v>0.04</v>
          </cell>
          <cell r="T428">
            <v>1.6640000000000001</v>
          </cell>
          <cell r="U428">
            <v>41.56</v>
          </cell>
          <cell r="V428">
            <v>1.49</v>
          </cell>
          <cell r="W428">
            <v>43.050000000000004</v>
          </cell>
        </row>
        <row r="429">
          <cell r="A429" t="str">
            <v>5562-1</v>
          </cell>
          <cell r="B429">
            <v>41844</v>
          </cell>
          <cell r="C429" t="str">
            <v>Sonia Sunley</v>
          </cell>
          <cell r="D429" t="str">
            <v>1/50-58 Hunter St,Sydney</v>
          </cell>
          <cell r="E429" t="str">
            <v>Sydney</v>
          </cell>
          <cell r="F429" t="str">
            <v>NSW</v>
          </cell>
          <cell r="G429" t="str">
            <v>Small Business</v>
          </cell>
          <cell r="H429" t="str">
            <v>Preston Senome</v>
          </cell>
          <cell r="I429" t="str">
            <v>Critical</v>
          </cell>
          <cell r="J429" t="str">
            <v>Smiths Metal Binder Clips</v>
          </cell>
          <cell r="K429" t="str">
            <v>Office Supplies</v>
          </cell>
          <cell r="L429" t="str">
            <v>Wrap Bag</v>
          </cell>
          <cell r="M429" t="str">
            <v>Express Air</v>
          </cell>
          <cell r="N429">
            <v>41846</v>
          </cell>
          <cell r="O429">
            <v>1.6</v>
          </cell>
          <cell r="P429">
            <v>2.62</v>
          </cell>
          <cell r="Q429">
            <v>25</v>
          </cell>
          <cell r="R429">
            <v>65.5</v>
          </cell>
          <cell r="S429">
            <v>0.09</v>
          </cell>
          <cell r="T429">
            <v>5.8949999999999996</v>
          </cell>
          <cell r="U429">
            <v>65.41</v>
          </cell>
          <cell r="V429">
            <v>0.8</v>
          </cell>
          <cell r="W429">
            <v>66.209999999999994</v>
          </cell>
        </row>
        <row r="430">
          <cell r="A430" t="str">
            <v>5564-1</v>
          </cell>
          <cell r="B430">
            <v>41845</v>
          </cell>
          <cell r="C430" t="str">
            <v>Philip Brown</v>
          </cell>
          <cell r="D430" t="str">
            <v>499-501 Lygon Street,Carlton North</v>
          </cell>
          <cell r="E430" t="str">
            <v>Melbourne</v>
          </cell>
          <cell r="F430" t="str">
            <v>VIC</v>
          </cell>
          <cell r="G430" t="str">
            <v>Home Office</v>
          </cell>
          <cell r="H430" t="str">
            <v>Yvette Biti</v>
          </cell>
          <cell r="I430" t="str">
            <v>Low</v>
          </cell>
          <cell r="J430" t="str">
            <v>Self-Adhesive Removable Labels</v>
          </cell>
          <cell r="K430" t="str">
            <v>Office Supplies</v>
          </cell>
          <cell r="L430" t="str">
            <v>Small Box</v>
          </cell>
          <cell r="M430" t="str">
            <v>Regular Air</v>
          </cell>
          <cell r="N430">
            <v>41847</v>
          </cell>
          <cell r="O430">
            <v>1.98</v>
          </cell>
          <cell r="P430">
            <v>3.15</v>
          </cell>
          <cell r="Q430">
            <v>46</v>
          </cell>
          <cell r="R430">
            <v>144.9</v>
          </cell>
          <cell r="S430">
            <v>0.1</v>
          </cell>
          <cell r="T430">
            <v>14.490000000000002</v>
          </cell>
          <cell r="U430">
            <v>144.80000000000001</v>
          </cell>
          <cell r="V430">
            <v>0.49</v>
          </cell>
          <cell r="W430">
            <v>145.29000000000002</v>
          </cell>
        </row>
        <row r="431">
          <cell r="A431" t="str">
            <v>5569-1</v>
          </cell>
          <cell r="B431">
            <v>41848</v>
          </cell>
          <cell r="C431" t="str">
            <v>Maria Zettner</v>
          </cell>
          <cell r="D431" t="str">
            <v>531 King St,Newtown</v>
          </cell>
          <cell r="E431" t="str">
            <v>Sydney</v>
          </cell>
          <cell r="F431" t="str">
            <v>NSW</v>
          </cell>
          <cell r="G431" t="str">
            <v>Corporate</v>
          </cell>
          <cell r="H431" t="str">
            <v>Mihael Khan</v>
          </cell>
          <cell r="I431" t="str">
            <v>Medium</v>
          </cell>
          <cell r="J431" t="str">
            <v>1726 Digital Answering Machine</v>
          </cell>
          <cell r="K431" t="str">
            <v>Technology</v>
          </cell>
          <cell r="L431" t="str">
            <v>Medium Box</v>
          </cell>
          <cell r="M431" t="str">
            <v>Regular Air</v>
          </cell>
          <cell r="N431">
            <v>41850</v>
          </cell>
          <cell r="O431">
            <v>8.82</v>
          </cell>
          <cell r="P431">
            <v>20.99</v>
          </cell>
          <cell r="Q431">
            <v>9</v>
          </cell>
          <cell r="R431">
            <v>188.91</v>
          </cell>
          <cell r="S431">
            <v>0.08</v>
          </cell>
          <cell r="T431">
            <v>15.1128</v>
          </cell>
          <cell r="U431">
            <v>188.82999999999998</v>
          </cell>
          <cell r="V431">
            <v>4.8099999999999996</v>
          </cell>
          <cell r="W431">
            <v>193.64</v>
          </cell>
        </row>
        <row r="432">
          <cell r="A432" t="str">
            <v>5570-1</v>
          </cell>
          <cell r="B432">
            <v>41850</v>
          </cell>
          <cell r="C432" t="str">
            <v>Keith Herrera</v>
          </cell>
          <cell r="D432" t="str">
            <v>120 Hardware St,Melbourne</v>
          </cell>
          <cell r="E432" t="str">
            <v>Melbourne</v>
          </cell>
          <cell r="F432" t="str">
            <v>VIC</v>
          </cell>
          <cell r="G432" t="str">
            <v>Small Business</v>
          </cell>
          <cell r="H432" t="str">
            <v>Yvette Biti</v>
          </cell>
          <cell r="I432" t="str">
            <v>High</v>
          </cell>
          <cell r="J432" t="str">
            <v>Artisan File Folder Labels</v>
          </cell>
          <cell r="K432" t="str">
            <v>Office Supplies</v>
          </cell>
          <cell r="L432" t="str">
            <v>Small Box</v>
          </cell>
          <cell r="M432" t="str">
            <v>Regular Air</v>
          </cell>
          <cell r="N432">
            <v>41851</v>
          </cell>
          <cell r="O432">
            <v>1.84</v>
          </cell>
          <cell r="P432">
            <v>2.88</v>
          </cell>
          <cell r="Q432">
            <v>11</v>
          </cell>
          <cell r="R432">
            <v>31.68</v>
          </cell>
          <cell r="S432">
            <v>0.02</v>
          </cell>
          <cell r="T432">
            <v>0.63360000000000005</v>
          </cell>
          <cell r="U432">
            <v>31.66</v>
          </cell>
          <cell r="V432">
            <v>5.33</v>
          </cell>
          <cell r="W432">
            <v>36.99</v>
          </cell>
        </row>
        <row r="433">
          <cell r="A433" t="str">
            <v>5572-1</v>
          </cell>
          <cell r="B433">
            <v>41850</v>
          </cell>
          <cell r="C433" t="str">
            <v>Mark Packer</v>
          </cell>
          <cell r="D433" t="str">
            <v>Sydney Fish Market, Bank Street, Sydney</v>
          </cell>
          <cell r="E433" t="str">
            <v>Sydney</v>
          </cell>
          <cell r="F433" t="str">
            <v>NSW</v>
          </cell>
          <cell r="G433" t="str">
            <v>Small Business</v>
          </cell>
          <cell r="H433" t="str">
            <v>Phoebe Gour</v>
          </cell>
          <cell r="I433" t="str">
            <v>High</v>
          </cell>
          <cell r="J433" t="str">
            <v>Artisan Flip-Chart Easel Binder, Black</v>
          </cell>
          <cell r="K433" t="str">
            <v>Office Supplies</v>
          </cell>
          <cell r="L433" t="str">
            <v>Small Box</v>
          </cell>
          <cell r="M433" t="str">
            <v>Regular Air</v>
          </cell>
          <cell r="N433">
            <v>41852</v>
          </cell>
          <cell r="O433">
            <v>13.88</v>
          </cell>
          <cell r="P433">
            <v>22.38</v>
          </cell>
          <cell r="Q433">
            <v>34</v>
          </cell>
          <cell r="R433">
            <v>760.92</v>
          </cell>
          <cell r="S433">
            <v>0.01</v>
          </cell>
          <cell r="T433">
            <v>7.6091999999999995</v>
          </cell>
          <cell r="U433">
            <v>760.91</v>
          </cell>
          <cell r="V433">
            <v>15.1</v>
          </cell>
          <cell r="W433">
            <v>776.01</v>
          </cell>
        </row>
        <row r="434">
          <cell r="A434" t="str">
            <v>5574-1</v>
          </cell>
          <cell r="B434">
            <v>41850</v>
          </cell>
          <cell r="C434" t="str">
            <v>Denny Joy</v>
          </cell>
          <cell r="D434" t="str">
            <v>99 Lygon Street,East Brunswick</v>
          </cell>
          <cell r="E434" t="str">
            <v>Melbourne</v>
          </cell>
          <cell r="F434" t="str">
            <v>VIC</v>
          </cell>
          <cell r="G434" t="str">
            <v>Corporate</v>
          </cell>
          <cell r="H434" t="str">
            <v>Connor Betts</v>
          </cell>
          <cell r="I434" t="str">
            <v>Medium</v>
          </cell>
          <cell r="J434" t="str">
            <v>Security-Tint Envelopes</v>
          </cell>
          <cell r="K434" t="str">
            <v>Office Supplies</v>
          </cell>
          <cell r="L434" t="str">
            <v>Small Box</v>
          </cell>
          <cell r="M434" t="str">
            <v>Regular Air</v>
          </cell>
          <cell r="N434">
            <v>41852</v>
          </cell>
          <cell r="O434">
            <v>4.8899999999999997</v>
          </cell>
          <cell r="P434">
            <v>7.64</v>
          </cell>
          <cell r="Q434">
            <v>7</v>
          </cell>
          <cell r="R434">
            <v>53.48</v>
          </cell>
          <cell r="S434">
            <v>0.06</v>
          </cell>
          <cell r="T434">
            <v>3.2087999999999997</v>
          </cell>
          <cell r="U434">
            <v>53.419999999999995</v>
          </cell>
          <cell r="V434">
            <v>1.39</v>
          </cell>
          <cell r="W434">
            <v>54.809999999999995</v>
          </cell>
        </row>
        <row r="435">
          <cell r="A435" t="str">
            <v>5576-1</v>
          </cell>
          <cell r="B435">
            <v>41854</v>
          </cell>
          <cell r="C435" t="str">
            <v>Shirley Jackson</v>
          </cell>
          <cell r="D435" t="str">
            <v>Westfield Miranda, 600 Kingsway,Miranda</v>
          </cell>
          <cell r="E435" t="str">
            <v>Sydney</v>
          </cell>
          <cell r="F435" t="str">
            <v>NSW</v>
          </cell>
          <cell r="G435" t="str">
            <v>Corporate</v>
          </cell>
          <cell r="H435" t="str">
            <v>Preston Senome</v>
          </cell>
          <cell r="I435" t="str">
            <v>Medium</v>
          </cell>
          <cell r="J435" t="str">
            <v>Binder Posts</v>
          </cell>
          <cell r="K435" t="str">
            <v>Office Supplies</v>
          </cell>
          <cell r="L435" t="str">
            <v>Small Box</v>
          </cell>
          <cell r="M435" t="str">
            <v>Regular Air</v>
          </cell>
          <cell r="N435">
            <v>41855</v>
          </cell>
          <cell r="O435">
            <v>3.5</v>
          </cell>
          <cell r="P435">
            <v>5.74</v>
          </cell>
          <cell r="Q435">
            <v>7</v>
          </cell>
          <cell r="R435">
            <v>40.18</v>
          </cell>
          <cell r="S435">
            <v>0.04</v>
          </cell>
          <cell r="T435">
            <v>1.6072</v>
          </cell>
          <cell r="U435">
            <v>40.14</v>
          </cell>
          <cell r="V435">
            <v>5.01</v>
          </cell>
          <cell r="W435">
            <v>45.15</v>
          </cell>
        </row>
        <row r="436">
          <cell r="A436" t="str">
            <v>5578-1</v>
          </cell>
          <cell r="B436">
            <v>41856</v>
          </cell>
          <cell r="C436" t="str">
            <v>Ed Ludwig</v>
          </cell>
          <cell r="D436" t="str">
            <v>221 Barkly St,St Kilda</v>
          </cell>
          <cell r="E436" t="str">
            <v>Melbourne</v>
          </cell>
          <cell r="F436" t="str">
            <v>VIC</v>
          </cell>
          <cell r="G436" t="str">
            <v>Consumer</v>
          </cell>
          <cell r="H436" t="str">
            <v>Yvette Biti</v>
          </cell>
          <cell r="I436" t="str">
            <v>High</v>
          </cell>
          <cell r="J436" t="str">
            <v>12 Colored Short Pencils</v>
          </cell>
          <cell r="K436" t="str">
            <v>Office Supplies</v>
          </cell>
          <cell r="L436" t="str">
            <v>Wrap Bag</v>
          </cell>
          <cell r="M436" t="str">
            <v>Regular Air</v>
          </cell>
          <cell r="N436">
            <v>41858</v>
          </cell>
          <cell r="O436">
            <v>1.0900000000000001</v>
          </cell>
          <cell r="P436">
            <v>2.6</v>
          </cell>
          <cell r="Q436">
            <v>43</v>
          </cell>
          <cell r="R436">
            <v>111.8</v>
          </cell>
          <cell r="S436">
            <v>0.06</v>
          </cell>
          <cell r="T436">
            <v>6.7079999999999993</v>
          </cell>
          <cell r="U436">
            <v>111.74</v>
          </cell>
          <cell r="V436">
            <v>2.4</v>
          </cell>
          <cell r="W436">
            <v>114.14</v>
          </cell>
        </row>
        <row r="437">
          <cell r="A437" t="str">
            <v>5579-1</v>
          </cell>
          <cell r="B437">
            <v>41857</v>
          </cell>
          <cell r="C437" t="str">
            <v>Carol Adams</v>
          </cell>
          <cell r="D437" t="str">
            <v>181 Enmore Rd,Enmore</v>
          </cell>
          <cell r="E437" t="str">
            <v>Sydney</v>
          </cell>
          <cell r="F437" t="str">
            <v>NSW</v>
          </cell>
          <cell r="G437" t="str">
            <v>Corporate</v>
          </cell>
          <cell r="H437" t="str">
            <v>Radhya Staples</v>
          </cell>
          <cell r="I437" t="str">
            <v>Low</v>
          </cell>
          <cell r="J437" t="str">
            <v>Artisan Hanging File Binders</v>
          </cell>
          <cell r="K437" t="str">
            <v>Office Supplies</v>
          </cell>
          <cell r="L437" t="str">
            <v>Small Box</v>
          </cell>
          <cell r="M437" t="str">
            <v>Regular Air</v>
          </cell>
          <cell r="N437">
            <v>41857</v>
          </cell>
          <cell r="O437">
            <v>3.65</v>
          </cell>
          <cell r="P437">
            <v>5.98</v>
          </cell>
          <cell r="Q437">
            <v>32</v>
          </cell>
          <cell r="R437">
            <v>191.36</v>
          </cell>
          <cell r="S437">
            <v>0.1</v>
          </cell>
          <cell r="T437">
            <v>19.136000000000003</v>
          </cell>
          <cell r="U437">
            <v>191.26000000000002</v>
          </cell>
          <cell r="V437">
            <v>1.49</v>
          </cell>
          <cell r="W437">
            <v>192.75000000000003</v>
          </cell>
        </row>
        <row r="438">
          <cell r="A438" t="str">
            <v>5581-1</v>
          </cell>
          <cell r="B438">
            <v>41858</v>
          </cell>
          <cell r="C438" t="str">
            <v>John Lucas</v>
          </cell>
          <cell r="D438" t="str">
            <v>188 Pitt Street,Sydney</v>
          </cell>
          <cell r="E438" t="str">
            <v>Sydney</v>
          </cell>
          <cell r="F438" t="str">
            <v>NSW</v>
          </cell>
          <cell r="G438" t="str">
            <v>Small Business</v>
          </cell>
          <cell r="H438" t="str">
            <v>Tina Carlton</v>
          </cell>
          <cell r="I438" t="str">
            <v>Critical</v>
          </cell>
          <cell r="J438" t="str">
            <v>Alto Memo Cubes</v>
          </cell>
          <cell r="K438" t="str">
            <v>Office Supplies</v>
          </cell>
          <cell r="L438" t="str">
            <v>Wrap Bag</v>
          </cell>
          <cell r="M438" t="str">
            <v>Regular Air</v>
          </cell>
          <cell r="N438">
            <v>41860</v>
          </cell>
          <cell r="O438">
            <v>3.32</v>
          </cell>
          <cell r="P438">
            <v>5.18</v>
          </cell>
          <cell r="Q438">
            <v>17</v>
          </cell>
          <cell r="R438">
            <v>88.06</v>
          </cell>
          <cell r="S438">
            <v>0.02</v>
          </cell>
          <cell r="T438">
            <v>1.7612000000000001</v>
          </cell>
          <cell r="U438">
            <v>88.04</v>
          </cell>
          <cell r="V438">
            <v>2.04</v>
          </cell>
          <cell r="W438">
            <v>90.080000000000013</v>
          </cell>
        </row>
        <row r="439">
          <cell r="A439" t="str">
            <v>5583-1</v>
          </cell>
          <cell r="B439">
            <v>41862</v>
          </cell>
          <cell r="C439" t="str">
            <v>Benjamin Patterson</v>
          </cell>
          <cell r="D439" t="str">
            <v>1-2/299 Sussex St,Sydney</v>
          </cell>
          <cell r="E439" t="str">
            <v>Sydney</v>
          </cell>
          <cell r="F439" t="str">
            <v>NSW</v>
          </cell>
          <cell r="G439" t="str">
            <v>Corporate</v>
          </cell>
          <cell r="H439" t="str">
            <v>Aanya Zhang</v>
          </cell>
          <cell r="I439" t="str">
            <v>Critical</v>
          </cell>
          <cell r="J439" t="str">
            <v>Bagged Rubber Bands</v>
          </cell>
          <cell r="K439" t="str">
            <v>Office Supplies</v>
          </cell>
          <cell r="L439" t="str">
            <v>Wrap Bag</v>
          </cell>
          <cell r="M439" t="str">
            <v>Regular Air</v>
          </cell>
          <cell r="N439">
            <v>41863</v>
          </cell>
          <cell r="O439">
            <v>0.24</v>
          </cell>
          <cell r="P439">
            <v>1.26</v>
          </cell>
          <cell r="Q439">
            <v>2</v>
          </cell>
          <cell r="R439">
            <v>2.52</v>
          </cell>
          <cell r="S439">
            <v>0.06</v>
          </cell>
          <cell r="T439">
            <v>0.1512</v>
          </cell>
          <cell r="U439">
            <v>2.46</v>
          </cell>
          <cell r="V439">
            <v>0.7</v>
          </cell>
          <cell r="W439">
            <v>3.16</v>
          </cell>
        </row>
        <row r="440">
          <cell r="A440" t="str">
            <v>5584-1</v>
          </cell>
          <cell r="B440">
            <v>41862</v>
          </cell>
          <cell r="C440" t="str">
            <v>Sara Luxemburg</v>
          </cell>
          <cell r="D440" t="str">
            <v>180 High Street,Windsor</v>
          </cell>
          <cell r="E440" t="str">
            <v>Melbourne</v>
          </cell>
          <cell r="F440" t="str">
            <v>VIC</v>
          </cell>
          <cell r="G440" t="str">
            <v>Small Business</v>
          </cell>
          <cell r="H440" t="str">
            <v>Connor Betts</v>
          </cell>
          <cell r="I440" t="str">
            <v>Critical</v>
          </cell>
          <cell r="J440" t="str">
            <v>DrawIt Colored Pencils, 48-Color Set</v>
          </cell>
          <cell r="K440" t="str">
            <v>Office Supplies</v>
          </cell>
          <cell r="L440" t="str">
            <v>Wrap Bag</v>
          </cell>
          <cell r="M440" t="str">
            <v>Regular Air</v>
          </cell>
          <cell r="N440">
            <v>41865</v>
          </cell>
          <cell r="O440">
            <v>21.56</v>
          </cell>
          <cell r="P440">
            <v>36.549999999999997</v>
          </cell>
          <cell r="Q440">
            <v>24</v>
          </cell>
          <cell r="R440">
            <v>877.19999999999993</v>
          </cell>
          <cell r="S440">
            <v>7.0000000000000007E-2</v>
          </cell>
          <cell r="T440">
            <v>61.404000000000003</v>
          </cell>
          <cell r="U440">
            <v>877.12999999999988</v>
          </cell>
          <cell r="V440">
            <v>13.89</v>
          </cell>
          <cell r="W440">
            <v>891.01999999999987</v>
          </cell>
        </row>
        <row r="441">
          <cell r="A441" t="str">
            <v>5586-1</v>
          </cell>
          <cell r="B441">
            <v>41862</v>
          </cell>
          <cell r="C441" t="str">
            <v>Adrian Hane</v>
          </cell>
          <cell r="D441" t="str">
            <v>180 High Street,Windsor</v>
          </cell>
          <cell r="E441" t="str">
            <v>Melbourne</v>
          </cell>
          <cell r="F441" t="str">
            <v>VIC</v>
          </cell>
          <cell r="G441" t="str">
            <v>Corporate</v>
          </cell>
          <cell r="H441" t="str">
            <v>Connor Betts</v>
          </cell>
          <cell r="I441" t="str">
            <v>Medium</v>
          </cell>
          <cell r="J441" t="str">
            <v>Steady Major Accent Highlighters</v>
          </cell>
          <cell r="K441" t="str">
            <v>Office Supplies</v>
          </cell>
          <cell r="L441" t="str">
            <v>Wrap Bag</v>
          </cell>
          <cell r="M441" t="str">
            <v>Regular Air</v>
          </cell>
          <cell r="N441">
            <v>41864</v>
          </cell>
          <cell r="O441">
            <v>3.75</v>
          </cell>
          <cell r="P441">
            <v>7.08</v>
          </cell>
          <cell r="Q441">
            <v>47</v>
          </cell>
          <cell r="R441">
            <v>332.76</v>
          </cell>
          <cell r="S441">
            <v>0.1</v>
          </cell>
          <cell r="T441">
            <v>33.276000000000003</v>
          </cell>
          <cell r="U441">
            <v>332.65999999999997</v>
          </cell>
          <cell r="V441">
            <v>2.35</v>
          </cell>
          <cell r="W441">
            <v>335.01</v>
          </cell>
        </row>
        <row r="442">
          <cell r="A442" t="str">
            <v>5588-1</v>
          </cell>
          <cell r="B442">
            <v>41862</v>
          </cell>
          <cell r="C442" t="str">
            <v>Tonja Turnell</v>
          </cell>
          <cell r="D442" t="str">
            <v>221 Barkly St,St Kilda</v>
          </cell>
          <cell r="E442" t="str">
            <v>Melbourne</v>
          </cell>
          <cell r="F442" t="str">
            <v>VIC</v>
          </cell>
          <cell r="G442" t="str">
            <v>Consumer</v>
          </cell>
          <cell r="H442" t="str">
            <v>Yvette Biti</v>
          </cell>
          <cell r="I442" t="str">
            <v>High</v>
          </cell>
          <cell r="J442" t="str">
            <v>Wirebound Voice Message Log Book</v>
          </cell>
          <cell r="K442" t="str">
            <v>Office Supplies</v>
          </cell>
          <cell r="L442" t="str">
            <v>Wrap Bag</v>
          </cell>
          <cell r="M442" t="str">
            <v>Express Air</v>
          </cell>
          <cell r="N442">
            <v>41864</v>
          </cell>
          <cell r="O442">
            <v>2.9</v>
          </cell>
          <cell r="P442">
            <v>4.76</v>
          </cell>
          <cell r="Q442">
            <v>11</v>
          </cell>
          <cell r="R442">
            <v>52.36</v>
          </cell>
          <cell r="S442">
            <v>0.08</v>
          </cell>
          <cell r="T442">
            <v>4.1887999999999996</v>
          </cell>
          <cell r="U442">
            <v>52.28</v>
          </cell>
          <cell r="V442">
            <v>0.88</v>
          </cell>
          <cell r="W442">
            <v>53.160000000000004</v>
          </cell>
        </row>
        <row r="443">
          <cell r="A443" t="str">
            <v>5589-1</v>
          </cell>
          <cell r="B443">
            <v>41863</v>
          </cell>
          <cell r="C443" t="str">
            <v>Brad Thomas</v>
          </cell>
          <cell r="D443" t="str">
            <v>152 Bunnerong Road,Eastgardens</v>
          </cell>
          <cell r="E443" t="str">
            <v>Sydney</v>
          </cell>
          <cell r="F443" t="str">
            <v>NSW</v>
          </cell>
          <cell r="G443" t="str">
            <v>Home Office</v>
          </cell>
          <cell r="H443" t="str">
            <v>Tina Carlton</v>
          </cell>
          <cell r="I443" t="str">
            <v>Low</v>
          </cell>
          <cell r="J443" t="str">
            <v>Beekin 105-Key Black Keyboard</v>
          </cell>
          <cell r="K443" t="str">
            <v>Technology</v>
          </cell>
          <cell r="L443" t="str">
            <v>Small Box</v>
          </cell>
          <cell r="M443" t="str">
            <v>Regular Air</v>
          </cell>
          <cell r="N443">
            <v>41870</v>
          </cell>
          <cell r="O443">
            <v>6.39</v>
          </cell>
          <cell r="P443">
            <v>19.98</v>
          </cell>
          <cell r="Q443">
            <v>5</v>
          </cell>
          <cell r="R443">
            <v>99.9</v>
          </cell>
          <cell r="S443">
            <v>0.09</v>
          </cell>
          <cell r="T443">
            <v>8.9909999999999997</v>
          </cell>
          <cell r="U443">
            <v>99.81</v>
          </cell>
          <cell r="V443">
            <v>4</v>
          </cell>
          <cell r="W443">
            <v>103.81</v>
          </cell>
        </row>
        <row r="444">
          <cell r="A444" t="str">
            <v>5591-1</v>
          </cell>
          <cell r="B444">
            <v>41873</v>
          </cell>
          <cell r="C444" t="str">
            <v>Dorris Love</v>
          </cell>
          <cell r="D444" t="str">
            <v>359 Crown Street,Surry Hills</v>
          </cell>
          <cell r="E444" t="str">
            <v>Sydney</v>
          </cell>
          <cell r="F444" t="str">
            <v>NSW</v>
          </cell>
          <cell r="G444" t="str">
            <v>Home Office</v>
          </cell>
          <cell r="H444" t="str">
            <v>Phoebe Gour</v>
          </cell>
          <cell r="I444" t="str">
            <v>Not Specified</v>
          </cell>
          <cell r="J444" t="str">
            <v>Smiths File Caddy</v>
          </cell>
          <cell r="K444" t="str">
            <v>Office Supplies</v>
          </cell>
          <cell r="L444" t="str">
            <v>Small Box</v>
          </cell>
          <cell r="M444" t="str">
            <v>Regular Air</v>
          </cell>
          <cell r="N444">
            <v>41874</v>
          </cell>
          <cell r="O444">
            <v>4.03</v>
          </cell>
          <cell r="P444">
            <v>9.3800000000000008</v>
          </cell>
          <cell r="Q444">
            <v>17</v>
          </cell>
          <cell r="R444">
            <v>159.46</v>
          </cell>
          <cell r="S444">
            <v>0.09</v>
          </cell>
          <cell r="T444">
            <v>14.3514</v>
          </cell>
          <cell r="U444">
            <v>159.37</v>
          </cell>
          <cell r="V444">
            <v>7.28</v>
          </cell>
          <cell r="W444">
            <v>166.65</v>
          </cell>
        </row>
        <row r="445">
          <cell r="A445" t="str">
            <v>5593-1</v>
          </cell>
          <cell r="B445">
            <v>41876</v>
          </cell>
          <cell r="C445" t="str">
            <v>John Lee</v>
          </cell>
          <cell r="D445" t="str">
            <v>180 High Street,Windsor</v>
          </cell>
          <cell r="E445" t="str">
            <v>Melbourne</v>
          </cell>
          <cell r="F445" t="str">
            <v>VIC</v>
          </cell>
          <cell r="G445" t="str">
            <v>Corporate</v>
          </cell>
          <cell r="H445" t="str">
            <v>Connor Betts</v>
          </cell>
          <cell r="I445" t="str">
            <v>High</v>
          </cell>
          <cell r="J445" t="str">
            <v>Aluminum Document Frame</v>
          </cell>
          <cell r="K445" t="str">
            <v>Furniture</v>
          </cell>
          <cell r="L445" t="str">
            <v>Small Pack</v>
          </cell>
          <cell r="M445" t="str">
            <v>Regular Air</v>
          </cell>
          <cell r="N445">
            <v>41878</v>
          </cell>
          <cell r="O445">
            <v>5.5</v>
          </cell>
          <cell r="P445">
            <v>12.22</v>
          </cell>
          <cell r="Q445">
            <v>37</v>
          </cell>
          <cell r="R445">
            <v>452.14000000000004</v>
          </cell>
          <cell r="S445">
            <v>0.09</v>
          </cell>
          <cell r="T445">
            <v>40.692600000000006</v>
          </cell>
          <cell r="U445">
            <v>452.05000000000007</v>
          </cell>
          <cell r="V445">
            <v>2.85</v>
          </cell>
          <cell r="W445">
            <v>454.90000000000009</v>
          </cell>
        </row>
        <row r="446">
          <cell r="A446" t="str">
            <v>5594-1</v>
          </cell>
          <cell r="B446">
            <v>41876</v>
          </cell>
          <cell r="C446" t="str">
            <v>Jill Fjeld</v>
          </cell>
          <cell r="D446" t="str">
            <v>53 Riley Street,Woolloomooloo</v>
          </cell>
          <cell r="E446" t="str">
            <v>Sydney</v>
          </cell>
          <cell r="F446" t="str">
            <v>NSW</v>
          </cell>
          <cell r="G446" t="str">
            <v>Home Office</v>
          </cell>
          <cell r="H446" t="str">
            <v>Tina Carlton</v>
          </cell>
          <cell r="I446" t="str">
            <v>High</v>
          </cell>
          <cell r="J446" t="str">
            <v>PastelOcean Color Pencil Set</v>
          </cell>
          <cell r="K446" t="str">
            <v>Office Supplies</v>
          </cell>
          <cell r="L446" t="str">
            <v>Wrap Bag</v>
          </cell>
          <cell r="M446" t="str">
            <v>Regular Air</v>
          </cell>
          <cell r="N446">
            <v>41878</v>
          </cell>
          <cell r="O446">
            <v>11.11</v>
          </cell>
          <cell r="P446">
            <v>19.84</v>
          </cell>
          <cell r="Q446">
            <v>28</v>
          </cell>
          <cell r="R446">
            <v>555.52</v>
          </cell>
          <cell r="S446">
            <v>0.06</v>
          </cell>
          <cell r="T446">
            <v>33.331199999999995</v>
          </cell>
          <cell r="U446">
            <v>555.46</v>
          </cell>
          <cell r="V446">
            <v>4.0999999999999996</v>
          </cell>
          <cell r="W446">
            <v>559.56000000000006</v>
          </cell>
        </row>
        <row r="447">
          <cell r="A447" t="str">
            <v>5596-1</v>
          </cell>
          <cell r="B447">
            <v>41877</v>
          </cell>
          <cell r="C447" t="str">
            <v>Valerie Dominguez</v>
          </cell>
          <cell r="D447" t="str">
            <v>152 Bunnerong Road,Eastgardens</v>
          </cell>
          <cell r="E447" t="str">
            <v>Sydney</v>
          </cell>
          <cell r="F447" t="str">
            <v>NSW</v>
          </cell>
          <cell r="G447" t="str">
            <v>Corporate</v>
          </cell>
          <cell r="H447" t="str">
            <v>Tina Carlton</v>
          </cell>
          <cell r="I447" t="str">
            <v>Medium</v>
          </cell>
          <cell r="J447" t="str">
            <v>TechSavi Access Keyboard</v>
          </cell>
          <cell r="K447" t="str">
            <v>Technology</v>
          </cell>
          <cell r="L447" t="str">
            <v>Small Box</v>
          </cell>
          <cell r="M447" t="str">
            <v>Regular Air</v>
          </cell>
          <cell r="N447">
            <v>41877</v>
          </cell>
          <cell r="O447">
            <v>10.07</v>
          </cell>
          <cell r="P447">
            <v>15.98</v>
          </cell>
          <cell r="Q447">
            <v>46</v>
          </cell>
          <cell r="R447">
            <v>735.08</v>
          </cell>
          <cell r="S447">
            <v>0.02</v>
          </cell>
          <cell r="T447">
            <v>14.701600000000001</v>
          </cell>
          <cell r="U447">
            <v>735.06000000000006</v>
          </cell>
          <cell r="V447">
            <v>4</v>
          </cell>
          <cell r="W447">
            <v>739.06000000000006</v>
          </cell>
        </row>
        <row r="448">
          <cell r="A448" t="str">
            <v>5597-1</v>
          </cell>
          <cell r="B448">
            <v>41878</v>
          </cell>
          <cell r="C448" t="str">
            <v>Maribeth Yedwab</v>
          </cell>
          <cell r="D448" t="str">
            <v>240-242 Johnston Street,Fitzroy</v>
          </cell>
          <cell r="E448" t="str">
            <v>Melbourne</v>
          </cell>
          <cell r="F448" t="str">
            <v>VIC</v>
          </cell>
          <cell r="G448" t="str">
            <v>Home Office</v>
          </cell>
          <cell r="H448" t="str">
            <v>Connor Betts</v>
          </cell>
          <cell r="I448" t="str">
            <v>Not Specified</v>
          </cell>
          <cell r="J448" t="str">
            <v>Smiths Metal Binder Clips</v>
          </cell>
          <cell r="K448" t="str">
            <v>Office Supplies</v>
          </cell>
          <cell r="L448" t="str">
            <v>Wrap Bag</v>
          </cell>
          <cell r="M448" t="str">
            <v>Express Air</v>
          </cell>
          <cell r="N448">
            <v>41879</v>
          </cell>
          <cell r="O448">
            <v>1.6</v>
          </cell>
          <cell r="P448">
            <v>2.62</v>
          </cell>
          <cell r="Q448">
            <v>45</v>
          </cell>
          <cell r="R448">
            <v>117.9</v>
          </cell>
          <cell r="S448">
            <v>0.01</v>
          </cell>
          <cell r="T448">
            <v>1.179</v>
          </cell>
          <cell r="U448">
            <v>117.89</v>
          </cell>
          <cell r="V448">
            <v>0.8</v>
          </cell>
          <cell r="W448">
            <v>118.69</v>
          </cell>
        </row>
        <row r="449">
          <cell r="A449" t="str">
            <v>5603-1</v>
          </cell>
          <cell r="B449">
            <v>41879</v>
          </cell>
          <cell r="C449" t="str">
            <v>Jim Kriz</v>
          </cell>
          <cell r="D449" t="str">
            <v>85-113 Dunning Ave,Roseberry</v>
          </cell>
          <cell r="E449" t="str">
            <v>Sydney</v>
          </cell>
          <cell r="F449" t="str">
            <v>NSW</v>
          </cell>
          <cell r="G449" t="str">
            <v>Consumer</v>
          </cell>
          <cell r="H449" t="str">
            <v>Mihael Khan</v>
          </cell>
          <cell r="I449" t="str">
            <v>Low</v>
          </cell>
          <cell r="J449" t="str">
            <v>TechSavi Internet Navigator Keyboard</v>
          </cell>
          <cell r="K449" t="str">
            <v>Technology</v>
          </cell>
          <cell r="L449" t="str">
            <v>Small Box</v>
          </cell>
          <cell r="M449" t="str">
            <v>Regular Air</v>
          </cell>
          <cell r="N449">
            <v>41883</v>
          </cell>
          <cell r="O449">
            <v>6.51</v>
          </cell>
          <cell r="P449">
            <v>30.98</v>
          </cell>
          <cell r="Q449">
            <v>37</v>
          </cell>
          <cell r="R449">
            <v>1146.26</v>
          </cell>
          <cell r="S449">
            <v>0.03</v>
          </cell>
          <cell r="T449">
            <v>34.387799999999999</v>
          </cell>
          <cell r="U449">
            <v>1146.23</v>
          </cell>
          <cell r="V449">
            <v>6.5</v>
          </cell>
          <cell r="W449">
            <v>1152.73</v>
          </cell>
        </row>
        <row r="450">
          <cell r="A450" t="str">
            <v>5604-1</v>
          </cell>
          <cell r="B450">
            <v>41884</v>
          </cell>
          <cell r="C450" t="str">
            <v>Vivek Sundaresam</v>
          </cell>
          <cell r="D450" t="str">
            <v>152 Bunnerong Road,Eastgardens</v>
          </cell>
          <cell r="E450" t="str">
            <v>Sydney</v>
          </cell>
          <cell r="F450" t="str">
            <v>NSW</v>
          </cell>
          <cell r="G450" t="str">
            <v>Home Office</v>
          </cell>
          <cell r="H450" t="str">
            <v>Tina Carlton</v>
          </cell>
          <cell r="I450" t="str">
            <v>Low</v>
          </cell>
          <cell r="J450" t="str">
            <v>TechSavi Access Keyboard</v>
          </cell>
          <cell r="K450" t="str">
            <v>Technology</v>
          </cell>
          <cell r="L450" t="str">
            <v>Small Box</v>
          </cell>
          <cell r="M450" t="str">
            <v>Regular Air</v>
          </cell>
          <cell r="N450">
            <v>41886</v>
          </cell>
          <cell r="O450">
            <v>10.07</v>
          </cell>
          <cell r="P450">
            <v>15.98</v>
          </cell>
          <cell r="Q450">
            <v>29</v>
          </cell>
          <cell r="R450">
            <v>463.42</v>
          </cell>
          <cell r="S450">
            <v>0.04</v>
          </cell>
          <cell r="T450">
            <v>18.536799999999999</v>
          </cell>
          <cell r="U450">
            <v>463.38</v>
          </cell>
          <cell r="V450">
            <v>4</v>
          </cell>
          <cell r="W450">
            <v>467.38</v>
          </cell>
        </row>
        <row r="451">
          <cell r="A451" t="str">
            <v>5605-1</v>
          </cell>
          <cell r="B451">
            <v>41885</v>
          </cell>
          <cell r="C451" t="str">
            <v>Odella Nelson</v>
          </cell>
          <cell r="D451" t="str">
            <v>523 King St,Newtown</v>
          </cell>
          <cell r="E451" t="str">
            <v>Sydney</v>
          </cell>
          <cell r="F451" t="str">
            <v>NSW</v>
          </cell>
          <cell r="G451" t="str">
            <v>Small Business</v>
          </cell>
          <cell r="H451" t="str">
            <v>Aanya Zhang</v>
          </cell>
          <cell r="I451" t="str">
            <v>Medium</v>
          </cell>
          <cell r="J451" t="str">
            <v>Artisan Hi-Liter GlideStik Fluorescent Highlighter, Yellow Ink</v>
          </cell>
          <cell r="K451" t="str">
            <v>Office Supplies</v>
          </cell>
          <cell r="L451" t="str">
            <v>Wrap Bag</v>
          </cell>
          <cell r="M451" t="str">
            <v>Regular Air</v>
          </cell>
          <cell r="N451">
            <v>41887</v>
          </cell>
          <cell r="O451">
            <v>1.92</v>
          </cell>
          <cell r="P451">
            <v>3.26</v>
          </cell>
          <cell r="Q451">
            <v>31</v>
          </cell>
          <cell r="R451">
            <v>101.05999999999999</v>
          </cell>
          <cell r="S451">
            <v>0</v>
          </cell>
          <cell r="T451">
            <v>0</v>
          </cell>
          <cell r="U451">
            <v>101.05999999999999</v>
          </cell>
          <cell r="V451">
            <v>1.86</v>
          </cell>
          <cell r="W451">
            <v>102.91999999999999</v>
          </cell>
        </row>
        <row r="452">
          <cell r="A452" t="str">
            <v>5606-1</v>
          </cell>
          <cell r="B452">
            <v>41885</v>
          </cell>
          <cell r="C452" t="str">
            <v>Kean Thornton</v>
          </cell>
          <cell r="D452" t="str">
            <v>Westfield Sydney,Sydney</v>
          </cell>
          <cell r="E452" t="str">
            <v>Sydney</v>
          </cell>
          <cell r="F452" t="str">
            <v>NSW</v>
          </cell>
          <cell r="G452" t="str">
            <v>Corporate</v>
          </cell>
          <cell r="H452" t="str">
            <v>Natasha Song</v>
          </cell>
          <cell r="I452" t="str">
            <v>Low</v>
          </cell>
          <cell r="J452" t="str">
            <v>Artisan Hi-Liter Smear-Safe Highlighters</v>
          </cell>
          <cell r="K452" t="str">
            <v>Office Supplies</v>
          </cell>
          <cell r="L452" t="str">
            <v>Wrap Bag</v>
          </cell>
          <cell r="M452" t="str">
            <v>Regular Air</v>
          </cell>
          <cell r="N452">
            <v>41892</v>
          </cell>
          <cell r="O452">
            <v>2.98</v>
          </cell>
          <cell r="P452">
            <v>5.84</v>
          </cell>
          <cell r="Q452">
            <v>22</v>
          </cell>
          <cell r="R452">
            <v>128.47999999999999</v>
          </cell>
          <cell r="S452">
            <v>0.1</v>
          </cell>
          <cell r="T452">
            <v>12.847999999999999</v>
          </cell>
          <cell r="U452">
            <v>128.38</v>
          </cell>
          <cell r="V452">
            <v>0.83</v>
          </cell>
          <cell r="W452">
            <v>129.21</v>
          </cell>
        </row>
        <row r="453">
          <cell r="A453" t="str">
            <v>5607-1</v>
          </cell>
          <cell r="B453">
            <v>41886</v>
          </cell>
          <cell r="C453" t="str">
            <v>Aaron Bergman</v>
          </cell>
          <cell r="D453" t="str">
            <v>Westfield Sydney,Sydney</v>
          </cell>
          <cell r="E453" t="str">
            <v>Sydney</v>
          </cell>
          <cell r="F453" t="str">
            <v>NSW</v>
          </cell>
          <cell r="G453" t="str">
            <v>Corporate</v>
          </cell>
          <cell r="H453" t="str">
            <v>Natasha Song</v>
          </cell>
          <cell r="I453" t="str">
            <v>Not Specified</v>
          </cell>
          <cell r="J453" t="str">
            <v>Apex Preferred Stainless Steel Scissors</v>
          </cell>
          <cell r="K453" t="str">
            <v>Office Supplies</v>
          </cell>
          <cell r="L453" t="str">
            <v>Small Pack</v>
          </cell>
          <cell r="M453" t="str">
            <v>Regular Air</v>
          </cell>
          <cell r="N453">
            <v>41887</v>
          </cell>
          <cell r="O453">
            <v>2.5</v>
          </cell>
          <cell r="P453">
            <v>5.68</v>
          </cell>
          <cell r="Q453">
            <v>23</v>
          </cell>
          <cell r="R453">
            <v>130.63999999999999</v>
          </cell>
          <cell r="S453">
            <v>0.01</v>
          </cell>
          <cell r="T453">
            <v>1.3063999999999998</v>
          </cell>
          <cell r="U453">
            <v>130.63</v>
          </cell>
          <cell r="V453">
            <v>3.6</v>
          </cell>
          <cell r="W453">
            <v>134.22999999999999</v>
          </cell>
        </row>
        <row r="454">
          <cell r="A454" t="str">
            <v>5612-1</v>
          </cell>
          <cell r="B454">
            <v>41892</v>
          </cell>
          <cell r="C454" t="str">
            <v>Victoria Pisteka</v>
          </cell>
          <cell r="D454" t="str">
            <v>Westfield Sydney,Sydney</v>
          </cell>
          <cell r="E454" t="str">
            <v>Sydney</v>
          </cell>
          <cell r="F454" t="str">
            <v>NSW</v>
          </cell>
          <cell r="G454" t="str">
            <v>Corporate</v>
          </cell>
          <cell r="H454" t="str">
            <v>Natasha Song</v>
          </cell>
          <cell r="I454" t="str">
            <v>Not Specified</v>
          </cell>
          <cell r="J454" t="str">
            <v>3Max Polarizing Light Filter Sleeves</v>
          </cell>
          <cell r="K454" t="str">
            <v>Furniture</v>
          </cell>
          <cell r="L454" t="str">
            <v>Small Pack</v>
          </cell>
          <cell r="M454" t="str">
            <v>Regular Air</v>
          </cell>
          <cell r="N454">
            <v>41894</v>
          </cell>
          <cell r="O454">
            <v>11.38</v>
          </cell>
          <cell r="P454">
            <v>18.649999999999999</v>
          </cell>
          <cell r="Q454">
            <v>7</v>
          </cell>
          <cell r="R454">
            <v>130.54999999999998</v>
          </cell>
          <cell r="S454">
            <v>0.01</v>
          </cell>
          <cell r="T454">
            <v>1.3054999999999999</v>
          </cell>
          <cell r="U454">
            <v>130.54</v>
          </cell>
          <cell r="V454">
            <v>3.77</v>
          </cell>
          <cell r="W454">
            <v>134.31</v>
          </cell>
        </row>
        <row r="455">
          <cell r="A455" t="str">
            <v>5613-1</v>
          </cell>
          <cell r="B455">
            <v>41893</v>
          </cell>
          <cell r="C455" t="str">
            <v>Philip Brown</v>
          </cell>
          <cell r="D455" t="str">
            <v>499-501 Lygon Street,Carlton North</v>
          </cell>
          <cell r="E455" t="str">
            <v>Melbourne</v>
          </cell>
          <cell r="F455" t="str">
            <v>VIC</v>
          </cell>
          <cell r="G455" t="str">
            <v>Home Office</v>
          </cell>
          <cell r="H455" t="str">
            <v>Yvette Biti</v>
          </cell>
          <cell r="I455" t="str">
            <v>Critical</v>
          </cell>
          <cell r="J455" t="str">
            <v>Binder Clips by OIC</v>
          </cell>
          <cell r="K455" t="str">
            <v>Office Supplies</v>
          </cell>
          <cell r="L455" t="str">
            <v>Wrap Bag</v>
          </cell>
          <cell r="M455" t="str">
            <v>Regular Air</v>
          </cell>
          <cell r="N455">
            <v>41895</v>
          </cell>
          <cell r="O455">
            <v>0.93</v>
          </cell>
          <cell r="P455">
            <v>1.48</v>
          </cell>
          <cell r="Q455">
            <v>15</v>
          </cell>
          <cell r="R455">
            <v>22.2</v>
          </cell>
          <cell r="S455">
            <v>0.03</v>
          </cell>
          <cell r="T455">
            <v>0.66599999999999993</v>
          </cell>
          <cell r="U455">
            <v>22.169999999999998</v>
          </cell>
          <cell r="V455">
            <v>0.7</v>
          </cell>
          <cell r="W455">
            <v>22.869999999999997</v>
          </cell>
        </row>
        <row r="456">
          <cell r="A456" t="str">
            <v>5615-1</v>
          </cell>
          <cell r="B456">
            <v>41894</v>
          </cell>
          <cell r="C456" t="str">
            <v>Jack Garza</v>
          </cell>
          <cell r="D456" t="str">
            <v>2a/285A Crown St,Surry Hills</v>
          </cell>
          <cell r="E456" t="str">
            <v>Sydney</v>
          </cell>
          <cell r="F456" t="str">
            <v>NSW</v>
          </cell>
          <cell r="G456" t="str">
            <v>Corporate</v>
          </cell>
          <cell r="H456" t="str">
            <v>Phoebe Gour</v>
          </cell>
          <cell r="I456" t="str">
            <v>Critical</v>
          </cell>
          <cell r="J456" t="str">
            <v>Creator Anti Dust Chalk, 12/Pack</v>
          </cell>
          <cell r="K456" t="str">
            <v>Office Supplies</v>
          </cell>
          <cell r="L456" t="str">
            <v>Wrap Bag</v>
          </cell>
          <cell r="M456" t="str">
            <v>Regular Air</v>
          </cell>
          <cell r="N456">
            <v>41895</v>
          </cell>
          <cell r="O456">
            <v>1.0900000000000001</v>
          </cell>
          <cell r="P456">
            <v>1.82</v>
          </cell>
          <cell r="Q456">
            <v>36</v>
          </cell>
          <cell r="R456">
            <v>65.52</v>
          </cell>
          <cell r="S456">
            <v>0.09</v>
          </cell>
          <cell r="T456">
            <v>5.8967999999999998</v>
          </cell>
          <cell r="U456">
            <v>65.429999999999993</v>
          </cell>
          <cell r="V456">
            <v>1</v>
          </cell>
          <cell r="W456">
            <v>66.429999999999993</v>
          </cell>
        </row>
        <row r="457">
          <cell r="A457" t="str">
            <v>5616-1</v>
          </cell>
          <cell r="B457">
            <v>41894</v>
          </cell>
          <cell r="C457" t="str">
            <v>Gary Hansen</v>
          </cell>
          <cell r="D457" t="str">
            <v>273 George Street,Sydney</v>
          </cell>
          <cell r="E457" t="str">
            <v>Sydney</v>
          </cell>
          <cell r="F457" t="str">
            <v>NSW</v>
          </cell>
          <cell r="G457" t="str">
            <v>Consumer</v>
          </cell>
          <cell r="H457" t="str">
            <v>Leighton Forrest</v>
          </cell>
          <cell r="I457" t="str">
            <v>Low</v>
          </cell>
          <cell r="J457" t="str">
            <v>Multi-Use Personal File Cart and Caster Set, Three Stacking Bins</v>
          </cell>
          <cell r="K457" t="str">
            <v>Office Supplies</v>
          </cell>
          <cell r="L457" t="str">
            <v>Small Box</v>
          </cell>
          <cell r="M457" t="str">
            <v>Regular Air</v>
          </cell>
          <cell r="N457">
            <v>41901</v>
          </cell>
          <cell r="O457">
            <v>14.95</v>
          </cell>
          <cell r="P457">
            <v>34.76</v>
          </cell>
          <cell r="Q457">
            <v>34</v>
          </cell>
          <cell r="R457">
            <v>1181.8399999999999</v>
          </cell>
          <cell r="S457">
            <v>0.03</v>
          </cell>
          <cell r="T457">
            <v>35.455199999999998</v>
          </cell>
          <cell r="U457">
            <v>1181.81</v>
          </cell>
          <cell r="V457">
            <v>8.2200000000000006</v>
          </cell>
          <cell r="W457">
            <v>1190.03</v>
          </cell>
        </row>
        <row r="458">
          <cell r="A458" t="str">
            <v>5618-1</v>
          </cell>
          <cell r="B458">
            <v>41895</v>
          </cell>
          <cell r="C458" t="str">
            <v>Christina Vanderzanden</v>
          </cell>
          <cell r="D458" t="str">
            <v>188 Pitt Street,Sydney</v>
          </cell>
          <cell r="E458" t="str">
            <v>Sydney</v>
          </cell>
          <cell r="F458" t="str">
            <v>NSW</v>
          </cell>
          <cell r="G458" t="str">
            <v>Small Business</v>
          </cell>
          <cell r="H458" t="str">
            <v>Tina Carlton</v>
          </cell>
          <cell r="I458" t="str">
            <v>Low</v>
          </cell>
          <cell r="J458" t="str">
            <v>Angle-D Binders with Locking Rings, Label Holders</v>
          </cell>
          <cell r="K458" t="str">
            <v>Office Supplies</v>
          </cell>
          <cell r="L458" t="str">
            <v>Small Box</v>
          </cell>
          <cell r="M458" t="str">
            <v>Regular Air</v>
          </cell>
          <cell r="N458">
            <v>41899</v>
          </cell>
          <cell r="O458">
            <v>4.53</v>
          </cell>
          <cell r="P458">
            <v>7.3</v>
          </cell>
          <cell r="Q458">
            <v>26</v>
          </cell>
          <cell r="R458">
            <v>189.79999999999998</v>
          </cell>
          <cell r="S458">
            <v>0.03</v>
          </cell>
          <cell r="T458">
            <v>5.6939999999999991</v>
          </cell>
          <cell r="U458">
            <v>189.76999999999998</v>
          </cell>
          <cell r="V458">
            <v>7.72</v>
          </cell>
          <cell r="W458">
            <v>197.48999999999998</v>
          </cell>
        </row>
        <row r="459">
          <cell r="A459" t="str">
            <v>5619-1</v>
          </cell>
          <cell r="B459">
            <v>41899</v>
          </cell>
          <cell r="C459" t="str">
            <v>Bart Watters</v>
          </cell>
          <cell r="D459" t="str">
            <v>Westfield 1 Anderson St,Chatswood</v>
          </cell>
          <cell r="E459" t="str">
            <v>Sydney</v>
          </cell>
          <cell r="F459" t="str">
            <v>NSW</v>
          </cell>
          <cell r="G459" t="str">
            <v>Corporate</v>
          </cell>
          <cell r="H459" t="str">
            <v>Nicholas Fernandes</v>
          </cell>
          <cell r="I459" t="str">
            <v>Critical</v>
          </cell>
          <cell r="J459" t="str">
            <v>Artisan Poly Binder Pockets</v>
          </cell>
          <cell r="K459" t="str">
            <v>Office Supplies</v>
          </cell>
          <cell r="L459" t="str">
            <v>Small Box</v>
          </cell>
          <cell r="M459" t="str">
            <v>Regular Air</v>
          </cell>
          <cell r="N459">
            <v>41900</v>
          </cell>
          <cell r="O459">
            <v>2.2599999999999998</v>
          </cell>
          <cell r="P459">
            <v>3.58</v>
          </cell>
          <cell r="Q459">
            <v>19</v>
          </cell>
          <cell r="R459">
            <v>68.02</v>
          </cell>
          <cell r="S459">
            <v>0</v>
          </cell>
          <cell r="T459">
            <v>0</v>
          </cell>
          <cell r="U459">
            <v>68.02</v>
          </cell>
          <cell r="V459">
            <v>5.47</v>
          </cell>
          <cell r="W459">
            <v>73.489999999999995</v>
          </cell>
        </row>
        <row r="460">
          <cell r="A460" t="str">
            <v>5625-1</v>
          </cell>
          <cell r="B460">
            <v>41905</v>
          </cell>
          <cell r="C460" t="str">
            <v>Nathan Mautz</v>
          </cell>
          <cell r="D460" t="str">
            <v>412 Brunswick St,Fitzroy</v>
          </cell>
          <cell r="E460" t="str">
            <v>Melbourne</v>
          </cell>
          <cell r="F460" t="str">
            <v>VIC</v>
          </cell>
          <cell r="G460" t="str">
            <v>Corporate</v>
          </cell>
          <cell r="H460" t="str">
            <v>Connor Betts</v>
          </cell>
          <cell r="I460" t="str">
            <v>High</v>
          </cell>
          <cell r="J460" t="str">
            <v>DrawIt Colored Pencils</v>
          </cell>
          <cell r="K460" t="str">
            <v>Office Supplies</v>
          </cell>
          <cell r="L460" t="str">
            <v>Wrap Bag</v>
          </cell>
          <cell r="M460" t="str">
            <v>Express Air</v>
          </cell>
          <cell r="N460">
            <v>41907</v>
          </cell>
          <cell r="O460">
            <v>4.37</v>
          </cell>
          <cell r="P460">
            <v>9.11</v>
          </cell>
          <cell r="Q460">
            <v>48</v>
          </cell>
          <cell r="R460">
            <v>437.28</v>
          </cell>
          <cell r="S460">
            <v>0.06</v>
          </cell>
          <cell r="T460">
            <v>26.236799999999999</v>
          </cell>
          <cell r="U460">
            <v>437.21999999999997</v>
          </cell>
          <cell r="V460">
            <v>2.25</v>
          </cell>
          <cell r="W460">
            <v>439.46999999999997</v>
          </cell>
        </row>
        <row r="461">
          <cell r="A461" t="str">
            <v>5627-1</v>
          </cell>
          <cell r="B461">
            <v>41909</v>
          </cell>
          <cell r="C461" t="str">
            <v>Cindy Chapman</v>
          </cell>
          <cell r="D461" t="str">
            <v>53-55 Liverpool St,Sydney</v>
          </cell>
          <cell r="E461" t="str">
            <v>Sydney</v>
          </cell>
          <cell r="F461" t="str">
            <v>NSW</v>
          </cell>
          <cell r="G461" t="str">
            <v>Corporate</v>
          </cell>
          <cell r="H461" t="str">
            <v>Tina Carlton</v>
          </cell>
          <cell r="I461" t="str">
            <v>Low</v>
          </cell>
          <cell r="J461" t="str">
            <v>Office Shears by Apex</v>
          </cell>
          <cell r="K461" t="str">
            <v>Office Supplies</v>
          </cell>
          <cell r="L461" t="str">
            <v>Small Pack</v>
          </cell>
          <cell r="M461" t="str">
            <v>Regular Air</v>
          </cell>
          <cell r="N461">
            <v>41914</v>
          </cell>
          <cell r="O461">
            <v>0.94</v>
          </cell>
          <cell r="P461">
            <v>2.08</v>
          </cell>
          <cell r="Q461">
            <v>36</v>
          </cell>
          <cell r="R461">
            <v>74.88</v>
          </cell>
          <cell r="S461">
            <v>0.01</v>
          </cell>
          <cell r="T461">
            <v>0.74880000000000002</v>
          </cell>
          <cell r="U461">
            <v>74.86999999999999</v>
          </cell>
          <cell r="V461">
            <v>2.56</v>
          </cell>
          <cell r="W461">
            <v>77.429999999999993</v>
          </cell>
        </row>
        <row r="462">
          <cell r="A462" t="str">
            <v>5629-1</v>
          </cell>
          <cell r="B462">
            <v>41910</v>
          </cell>
          <cell r="C462" t="str">
            <v>Charles McCrossin</v>
          </cell>
          <cell r="D462" t="str">
            <v>81 MacLeay St,Potts Point</v>
          </cell>
          <cell r="E462" t="str">
            <v>Sydney</v>
          </cell>
          <cell r="F462" t="str">
            <v>NSW</v>
          </cell>
          <cell r="G462" t="str">
            <v>Corporate</v>
          </cell>
          <cell r="H462" t="str">
            <v>Samantha Chairs</v>
          </cell>
          <cell r="I462" t="str">
            <v>High</v>
          </cell>
          <cell r="J462" t="str">
            <v>Smiths Paper Clips</v>
          </cell>
          <cell r="K462" t="str">
            <v>Office Supplies</v>
          </cell>
          <cell r="L462" t="str">
            <v>Wrap Bag</v>
          </cell>
          <cell r="M462" t="str">
            <v>Regular Air</v>
          </cell>
          <cell r="N462">
            <v>41911</v>
          </cell>
          <cell r="O462">
            <v>1.53</v>
          </cell>
          <cell r="P462">
            <v>2.4700000000000002</v>
          </cell>
          <cell r="Q462">
            <v>49</v>
          </cell>
          <cell r="R462">
            <v>121.03000000000002</v>
          </cell>
          <cell r="S462">
            <v>0.03</v>
          </cell>
          <cell r="T462">
            <v>3.6309000000000005</v>
          </cell>
          <cell r="U462">
            <v>121.00000000000001</v>
          </cell>
          <cell r="V462">
            <v>1.02</v>
          </cell>
          <cell r="W462">
            <v>122.02000000000001</v>
          </cell>
        </row>
        <row r="463">
          <cell r="A463" t="str">
            <v>5630-1</v>
          </cell>
          <cell r="B463">
            <v>41910</v>
          </cell>
          <cell r="C463" t="str">
            <v>Giulietta Baptist</v>
          </cell>
          <cell r="D463" t="str">
            <v>Hoyts Entertainment Quarter 122 Lang Road,Moore Park</v>
          </cell>
          <cell r="E463" t="str">
            <v>Sydney</v>
          </cell>
          <cell r="F463" t="str">
            <v>NSW</v>
          </cell>
          <cell r="G463" t="str">
            <v>Home Office</v>
          </cell>
          <cell r="H463" t="str">
            <v>Tina Carlton</v>
          </cell>
          <cell r="I463" t="str">
            <v>High</v>
          </cell>
          <cell r="J463" t="str">
            <v>Steady Liquid Accent Highlighters</v>
          </cell>
          <cell r="K463" t="str">
            <v>Office Supplies</v>
          </cell>
          <cell r="L463" t="str">
            <v>Wrap Bag</v>
          </cell>
          <cell r="M463" t="str">
            <v>Regular Air</v>
          </cell>
          <cell r="N463">
            <v>41911</v>
          </cell>
          <cell r="O463">
            <v>3.47</v>
          </cell>
          <cell r="P463">
            <v>6.68</v>
          </cell>
          <cell r="Q463">
            <v>16</v>
          </cell>
          <cell r="R463">
            <v>106.88</v>
          </cell>
          <cell r="S463">
            <v>0.1</v>
          </cell>
          <cell r="T463">
            <v>10.688000000000001</v>
          </cell>
          <cell r="U463">
            <v>106.78</v>
          </cell>
          <cell r="V463">
            <v>1.5</v>
          </cell>
          <cell r="W463">
            <v>108.28</v>
          </cell>
        </row>
        <row r="464">
          <cell r="A464" t="str">
            <v>5631-1</v>
          </cell>
          <cell r="B464">
            <v>41911</v>
          </cell>
          <cell r="C464" t="str">
            <v>Christopher Martinez</v>
          </cell>
          <cell r="D464" t="str">
            <v>188 Pitt Street,Sydney</v>
          </cell>
          <cell r="E464" t="str">
            <v>Sydney</v>
          </cell>
          <cell r="F464" t="str">
            <v>NSW</v>
          </cell>
          <cell r="G464" t="str">
            <v>Small Business</v>
          </cell>
          <cell r="H464" t="str">
            <v>Tina Carlton</v>
          </cell>
          <cell r="I464" t="str">
            <v>Low</v>
          </cell>
          <cell r="J464" t="str">
            <v>OIC Thumb-Tacks</v>
          </cell>
          <cell r="K464" t="str">
            <v>Office Supplies</v>
          </cell>
          <cell r="L464" t="str">
            <v>Wrap Bag</v>
          </cell>
          <cell r="M464" t="str">
            <v>Regular Air</v>
          </cell>
          <cell r="N464">
            <v>41911</v>
          </cell>
          <cell r="O464">
            <v>0.71</v>
          </cell>
          <cell r="P464">
            <v>1.1399999999999999</v>
          </cell>
          <cell r="Q464">
            <v>8</v>
          </cell>
          <cell r="R464">
            <v>9.1199999999999992</v>
          </cell>
          <cell r="S464">
            <v>0</v>
          </cell>
          <cell r="T464">
            <v>0</v>
          </cell>
          <cell r="U464">
            <v>9.1199999999999992</v>
          </cell>
          <cell r="V464">
            <v>0.7</v>
          </cell>
          <cell r="W464">
            <v>9.8199999999999985</v>
          </cell>
        </row>
        <row r="465">
          <cell r="A465" t="str">
            <v>5633-1</v>
          </cell>
          <cell r="B465">
            <v>41913</v>
          </cell>
          <cell r="C465" t="str">
            <v>Patrick Jones</v>
          </cell>
          <cell r="D465" t="str">
            <v>221 Barkly St,St Kilda</v>
          </cell>
          <cell r="E465" t="str">
            <v>Melbourne</v>
          </cell>
          <cell r="F465" t="str">
            <v>VIC</v>
          </cell>
          <cell r="G465" t="str">
            <v>Home Office</v>
          </cell>
          <cell r="H465" t="str">
            <v>Yvette Biti</v>
          </cell>
          <cell r="I465" t="str">
            <v>High</v>
          </cell>
          <cell r="J465" t="str">
            <v>Adesso Programmable 142-Key Keyboard</v>
          </cell>
          <cell r="K465" t="str">
            <v>Technology</v>
          </cell>
          <cell r="L465" t="str">
            <v>Small Box</v>
          </cell>
          <cell r="M465" t="str">
            <v>Regular Air</v>
          </cell>
          <cell r="N465">
            <v>41915</v>
          </cell>
          <cell r="O465">
            <v>39.64</v>
          </cell>
          <cell r="P465">
            <v>152.47999999999999</v>
          </cell>
          <cell r="Q465">
            <v>48</v>
          </cell>
          <cell r="R465">
            <v>7319.0399999999991</v>
          </cell>
          <cell r="S465">
            <v>0.04</v>
          </cell>
          <cell r="T465">
            <v>292.76159999999999</v>
          </cell>
          <cell r="U465">
            <v>7318.9999999999991</v>
          </cell>
          <cell r="V465">
            <v>6.5</v>
          </cell>
          <cell r="W465">
            <v>7325.4999999999991</v>
          </cell>
        </row>
        <row r="466">
          <cell r="A466" t="str">
            <v>5635-1</v>
          </cell>
          <cell r="B466">
            <v>41913</v>
          </cell>
          <cell r="C466" t="str">
            <v>Jamie Kunitz</v>
          </cell>
          <cell r="D466" t="str">
            <v>Sydney Fish Market, Bank Street, Sydney</v>
          </cell>
          <cell r="E466" t="str">
            <v>Sydney</v>
          </cell>
          <cell r="F466" t="str">
            <v>NSW</v>
          </cell>
          <cell r="G466" t="str">
            <v>Corporate</v>
          </cell>
          <cell r="H466" t="str">
            <v>Phoebe Gour</v>
          </cell>
          <cell r="I466" t="str">
            <v>Not Specified</v>
          </cell>
          <cell r="J466" t="str">
            <v>PastelOcean Color Pencil Set</v>
          </cell>
          <cell r="K466" t="str">
            <v>Office Supplies</v>
          </cell>
          <cell r="L466" t="str">
            <v>Wrap Bag</v>
          </cell>
          <cell r="M466" t="str">
            <v>Express Air</v>
          </cell>
          <cell r="N466">
            <v>41914</v>
          </cell>
          <cell r="O466">
            <v>11.11</v>
          </cell>
          <cell r="P466">
            <v>19.84</v>
          </cell>
          <cell r="Q466">
            <v>15</v>
          </cell>
          <cell r="R466">
            <v>297.60000000000002</v>
          </cell>
          <cell r="S466">
            <v>0</v>
          </cell>
          <cell r="T466">
            <v>0</v>
          </cell>
          <cell r="U466">
            <v>297.60000000000002</v>
          </cell>
          <cell r="V466">
            <v>4.0999999999999996</v>
          </cell>
          <cell r="W466">
            <v>301.70000000000005</v>
          </cell>
        </row>
        <row r="467">
          <cell r="A467" t="str">
            <v>5637-1</v>
          </cell>
          <cell r="B467">
            <v>41914</v>
          </cell>
          <cell r="C467" t="str">
            <v>Carl Jackson</v>
          </cell>
          <cell r="D467" t="str">
            <v>6 Mary St,Newtown</v>
          </cell>
          <cell r="E467" t="str">
            <v>Sydney</v>
          </cell>
          <cell r="F467" t="str">
            <v>NSW</v>
          </cell>
          <cell r="G467" t="str">
            <v>Home Office</v>
          </cell>
          <cell r="H467" t="str">
            <v>Samantha Chairs</v>
          </cell>
          <cell r="I467" t="str">
            <v>High</v>
          </cell>
          <cell r="J467" t="str">
            <v>Artisan 487 Labels</v>
          </cell>
          <cell r="K467" t="str">
            <v>Office Supplies</v>
          </cell>
          <cell r="L467" t="str">
            <v>Small Box</v>
          </cell>
          <cell r="M467" t="str">
            <v>Regular Air</v>
          </cell>
          <cell r="N467">
            <v>41916</v>
          </cell>
          <cell r="O467">
            <v>2.29</v>
          </cell>
          <cell r="P467">
            <v>3.69</v>
          </cell>
          <cell r="Q467">
            <v>30</v>
          </cell>
          <cell r="R467">
            <v>110.7</v>
          </cell>
          <cell r="S467">
            <v>0.09</v>
          </cell>
          <cell r="T467">
            <v>9.9629999999999992</v>
          </cell>
          <cell r="U467">
            <v>110.61</v>
          </cell>
          <cell r="V467">
            <v>0.5</v>
          </cell>
          <cell r="W467">
            <v>111.11</v>
          </cell>
        </row>
        <row r="468">
          <cell r="A468" t="str">
            <v>5639-1</v>
          </cell>
          <cell r="B468">
            <v>41914</v>
          </cell>
          <cell r="C468" t="str">
            <v>Ritsa Hightower</v>
          </cell>
          <cell r="D468" t="str">
            <v>1/160 Anzac Parade,Kensington</v>
          </cell>
          <cell r="E468" t="str">
            <v>Sydney</v>
          </cell>
          <cell r="F468" t="str">
            <v>NSW</v>
          </cell>
          <cell r="G468" t="str">
            <v>Corporate</v>
          </cell>
          <cell r="H468" t="str">
            <v>Natasha Song</v>
          </cell>
          <cell r="I468" t="str">
            <v>High</v>
          </cell>
          <cell r="J468" t="str">
            <v>Smiths Colored Bar Computer Paper</v>
          </cell>
          <cell r="K468" t="str">
            <v>Office Supplies</v>
          </cell>
          <cell r="L468" t="str">
            <v>Small Box</v>
          </cell>
          <cell r="M468" t="str">
            <v>Regular Air</v>
          </cell>
          <cell r="N468">
            <v>41916</v>
          </cell>
          <cell r="O468">
            <v>21.97</v>
          </cell>
          <cell r="P468">
            <v>35.44</v>
          </cell>
          <cell r="Q468">
            <v>29</v>
          </cell>
          <cell r="R468">
            <v>1027.76</v>
          </cell>
          <cell r="S468">
            <v>0.03</v>
          </cell>
          <cell r="T468">
            <v>30.832799999999999</v>
          </cell>
          <cell r="U468">
            <v>1027.73</v>
          </cell>
          <cell r="V468">
            <v>4.92</v>
          </cell>
          <cell r="W468">
            <v>1032.6500000000001</v>
          </cell>
        </row>
        <row r="469">
          <cell r="A469" t="str">
            <v>5641-1</v>
          </cell>
          <cell r="B469">
            <v>41915</v>
          </cell>
          <cell r="C469" t="str">
            <v>Nathan Mautz</v>
          </cell>
          <cell r="D469" t="str">
            <v>412 Brunswick St,Fitzroy</v>
          </cell>
          <cell r="E469" t="str">
            <v>Melbourne</v>
          </cell>
          <cell r="F469" t="str">
            <v>VIC</v>
          </cell>
          <cell r="G469" t="str">
            <v>Corporate</v>
          </cell>
          <cell r="H469" t="str">
            <v>Connor Betts</v>
          </cell>
          <cell r="I469" t="str">
            <v>Not Specified</v>
          </cell>
          <cell r="J469" t="str">
            <v>OIC Thumb-Tacks</v>
          </cell>
          <cell r="K469" t="str">
            <v>Office Supplies</v>
          </cell>
          <cell r="L469" t="str">
            <v>Wrap Bag</v>
          </cell>
          <cell r="M469" t="str">
            <v>Regular Air</v>
          </cell>
          <cell r="N469">
            <v>41917</v>
          </cell>
          <cell r="O469">
            <v>0.71</v>
          </cell>
          <cell r="P469">
            <v>1.1399999999999999</v>
          </cell>
          <cell r="Q469">
            <v>4</v>
          </cell>
          <cell r="R469">
            <v>4.5599999999999996</v>
          </cell>
          <cell r="S469">
            <v>0</v>
          </cell>
          <cell r="T469">
            <v>0</v>
          </cell>
          <cell r="U469">
            <v>4.5599999999999996</v>
          </cell>
          <cell r="V469">
            <v>0.7</v>
          </cell>
          <cell r="W469">
            <v>5.26</v>
          </cell>
        </row>
        <row r="470">
          <cell r="A470" t="str">
            <v>5643-1</v>
          </cell>
          <cell r="B470">
            <v>41916</v>
          </cell>
          <cell r="C470" t="str">
            <v>Liz Price</v>
          </cell>
          <cell r="D470" t="str">
            <v>Sydney Fish Market, Bank Street, Sydney</v>
          </cell>
          <cell r="E470" t="str">
            <v>Sydney</v>
          </cell>
          <cell r="F470" t="str">
            <v>NSW</v>
          </cell>
          <cell r="G470" t="str">
            <v>Consumer</v>
          </cell>
          <cell r="H470" t="str">
            <v>Phoebe Gour</v>
          </cell>
          <cell r="I470" t="str">
            <v>Low</v>
          </cell>
          <cell r="J470" t="str">
            <v>Artisan Non-Stick Binders</v>
          </cell>
          <cell r="K470" t="str">
            <v>Office Supplies</v>
          </cell>
          <cell r="L470" t="str">
            <v>Small Box</v>
          </cell>
          <cell r="M470" t="str">
            <v>Express Air</v>
          </cell>
          <cell r="N470">
            <v>41923</v>
          </cell>
          <cell r="O470">
            <v>2.74</v>
          </cell>
          <cell r="P470">
            <v>4.49</v>
          </cell>
          <cell r="Q470">
            <v>44</v>
          </cell>
          <cell r="R470">
            <v>197.56</v>
          </cell>
          <cell r="S470">
            <v>0.03</v>
          </cell>
          <cell r="T470">
            <v>5.9268000000000001</v>
          </cell>
          <cell r="U470">
            <v>197.53</v>
          </cell>
          <cell r="V470">
            <v>1.49</v>
          </cell>
          <cell r="W470">
            <v>199.02</v>
          </cell>
        </row>
        <row r="471">
          <cell r="A471" t="str">
            <v>5644-1</v>
          </cell>
          <cell r="B471">
            <v>41916</v>
          </cell>
          <cell r="C471" t="str">
            <v>Patrick OBrill</v>
          </cell>
          <cell r="D471" t="str">
            <v>53 Riley Street,Woolloomooloo</v>
          </cell>
          <cell r="E471" t="str">
            <v>Sydney</v>
          </cell>
          <cell r="F471" t="str">
            <v>NSW</v>
          </cell>
          <cell r="G471" t="str">
            <v>Home Office</v>
          </cell>
          <cell r="H471" t="str">
            <v>Tina Carlton</v>
          </cell>
          <cell r="I471" t="str">
            <v>Low</v>
          </cell>
          <cell r="J471" t="str">
            <v>Laser DVD-RAM discs</v>
          </cell>
          <cell r="K471" t="str">
            <v>Technology</v>
          </cell>
          <cell r="L471" t="str">
            <v>Small Pack</v>
          </cell>
          <cell r="M471" t="str">
            <v>Regular Air</v>
          </cell>
          <cell r="N471">
            <v>41918</v>
          </cell>
          <cell r="O471">
            <v>20.18</v>
          </cell>
          <cell r="P471">
            <v>35.409999999999997</v>
          </cell>
          <cell r="Q471">
            <v>5</v>
          </cell>
          <cell r="R471">
            <v>177.04999999999998</v>
          </cell>
          <cell r="S471">
            <v>0</v>
          </cell>
          <cell r="T471">
            <v>0</v>
          </cell>
          <cell r="U471">
            <v>177.04999999999998</v>
          </cell>
          <cell r="V471">
            <v>1.99</v>
          </cell>
          <cell r="W471">
            <v>179.04</v>
          </cell>
        </row>
        <row r="472">
          <cell r="A472" t="str">
            <v>5645-1</v>
          </cell>
          <cell r="B472">
            <v>41918</v>
          </cell>
          <cell r="C472" t="str">
            <v>Sanjit Jacobs</v>
          </cell>
          <cell r="D472" t="str">
            <v>541 Church St,Richmond</v>
          </cell>
          <cell r="E472" t="str">
            <v>Melbourne</v>
          </cell>
          <cell r="F472" t="str">
            <v>VIC</v>
          </cell>
          <cell r="G472" t="str">
            <v>Consumer</v>
          </cell>
          <cell r="H472" t="str">
            <v>Yvette Biti</v>
          </cell>
          <cell r="I472" t="str">
            <v>Critical</v>
          </cell>
          <cell r="J472" t="str">
            <v>Artisan 481 Labels</v>
          </cell>
          <cell r="K472" t="str">
            <v>Office Supplies</v>
          </cell>
          <cell r="L472" t="str">
            <v>Small Box</v>
          </cell>
          <cell r="M472" t="str">
            <v>Regular Air</v>
          </cell>
          <cell r="N472">
            <v>41919</v>
          </cell>
          <cell r="O472">
            <v>1.94</v>
          </cell>
          <cell r="P472">
            <v>3.08</v>
          </cell>
          <cell r="Q472">
            <v>46</v>
          </cell>
          <cell r="R472">
            <v>141.68</v>
          </cell>
          <cell r="S472">
            <v>0.04</v>
          </cell>
          <cell r="T472">
            <v>5.6672000000000002</v>
          </cell>
          <cell r="U472">
            <v>141.64000000000001</v>
          </cell>
          <cell r="V472">
            <v>0.99</v>
          </cell>
          <cell r="W472">
            <v>142.63000000000002</v>
          </cell>
        </row>
        <row r="473">
          <cell r="A473" t="str">
            <v>5646-1</v>
          </cell>
          <cell r="B473">
            <v>41920</v>
          </cell>
          <cell r="C473" t="str">
            <v>Christopher Schild</v>
          </cell>
          <cell r="D473" t="str">
            <v>4A Lyons St,Strathfield</v>
          </cell>
          <cell r="E473" t="str">
            <v>Sydney</v>
          </cell>
          <cell r="F473" t="str">
            <v>NSW</v>
          </cell>
          <cell r="G473" t="str">
            <v>Corporate</v>
          </cell>
          <cell r="H473" t="str">
            <v>Tina Carlton</v>
          </cell>
          <cell r="I473" t="str">
            <v>High</v>
          </cell>
          <cell r="J473" t="str">
            <v>Aluminum Document Frame</v>
          </cell>
          <cell r="K473" t="str">
            <v>Furniture</v>
          </cell>
          <cell r="L473" t="str">
            <v>Small Pack</v>
          </cell>
          <cell r="M473" t="str">
            <v>Regular Air</v>
          </cell>
          <cell r="N473">
            <v>41922</v>
          </cell>
          <cell r="O473">
            <v>5.5</v>
          </cell>
          <cell r="P473">
            <v>12.22</v>
          </cell>
          <cell r="Q473">
            <v>1</v>
          </cell>
          <cell r="R473">
            <v>12.22</v>
          </cell>
          <cell r="S473">
            <v>0.1</v>
          </cell>
          <cell r="T473">
            <v>1.2220000000000002</v>
          </cell>
          <cell r="U473">
            <v>12.120000000000001</v>
          </cell>
          <cell r="V473">
            <v>2.85</v>
          </cell>
          <cell r="W473">
            <v>14.97</v>
          </cell>
        </row>
        <row r="474">
          <cell r="A474" t="str">
            <v>5647-1</v>
          </cell>
          <cell r="B474">
            <v>41921</v>
          </cell>
          <cell r="C474" t="str">
            <v>Trudy Bell</v>
          </cell>
          <cell r="D474" t="str">
            <v>Macquarie Centre Cnr Herring Road &amp; Waterloo Road,Macquarie Park</v>
          </cell>
          <cell r="E474" t="str">
            <v>Sydney</v>
          </cell>
          <cell r="F474" t="str">
            <v>NSW</v>
          </cell>
          <cell r="G474" t="str">
            <v>Consumer</v>
          </cell>
          <cell r="H474" t="str">
            <v>Nicholas Fernandes</v>
          </cell>
          <cell r="I474" t="str">
            <v>High</v>
          </cell>
          <cell r="J474" t="str">
            <v>Apex Box Cutter Scissors</v>
          </cell>
          <cell r="K474" t="str">
            <v>Office Supplies</v>
          </cell>
          <cell r="L474" t="str">
            <v>Small Pack</v>
          </cell>
          <cell r="M474" t="str">
            <v>Regular Air</v>
          </cell>
          <cell r="N474">
            <v>41921</v>
          </cell>
          <cell r="O474">
            <v>4.1900000000000004</v>
          </cell>
          <cell r="P474">
            <v>10.23</v>
          </cell>
          <cell r="Q474">
            <v>37</v>
          </cell>
          <cell r="R474">
            <v>378.51</v>
          </cell>
          <cell r="S474">
            <v>0.08</v>
          </cell>
          <cell r="T474">
            <v>30.280799999999999</v>
          </cell>
          <cell r="U474">
            <v>378.43</v>
          </cell>
          <cell r="V474">
            <v>4.68</v>
          </cell>
          <cell r="W474">
            <v>383.11</v>
          </cell>
        </row>
        <row r="475">
          <cell r="A475" t="str">
            <v>5648-1</v>
          </cell>
          <cell r="B475">
            <v>41922</v>
          </cell>
          <cell r="C475" t="str">
            <v>Harold Dahlen</v>
          </cell>
          <cell r="D475" t="str">
            <v>53-55 Liverpool St,Sydney</v>
          </cell>
          <cell r="E475" t="str">
            <v>Sydney</v>
          </cell>
          <cell r="F475" t="str">
            <v>NSW</v>
          </cell>
          <cell r="G475" t="str">
            <v>Corporate</v>
          </cell>
          <cell r="H475" t="str">
            <v>Tina Carlton</v>
          </cell>
          <cell r="I475" t="str">
            <v>Low</v>
          </cell>
          <cell r="J475" t="str">
            <v>Artisan Reinforcements for Hole-Punch Pages</v>
          </cell>
          <cell r="K475" t="str">
            <v>Office Supplies</v>
          </cell>
          <cell r="L475" t="str">
            <v>Small Box</v>
          </cell>
          <cell r="M475" t="str">
            <v>Regular Air</v>
          </cell>
          <cell r="N475">
            <v>41929</v>
          </cell>
          <cell r="O475">
            <v>1.19</v>
          </cell>
          <cell r="P475">
            <v>1.98</v>
          </cell>
          <cell r="Q475">
            <v>38</v>
          </cell>
          <cell r="R475">
            <v>75.239999999999995</v>
          </cell>
          <cell r="S475">
            <v>0.05</v>
          </cell>
          <cell r="T475">
            <v>3.762</v>
          </cell>
          <cell r="U475">
            <v>75.19</v>
          </cell>
          <cell r="V475">
            <v>4.7699999999999996</v>
          </cell>
          <cell r="W475">
            <v>79.959999999999994</v>
          </cell>
        </row>
        <row r="476">
          <cell r="A476" t="str">
            <v>5650-1</v>
          </cell>
          <cell r="B476">
            <v>41923</v>
          </cell>
          <cell r="C476" t="str">
            <v>Arthur Prichep</v>
          </cell>
          <cell r="D476" t="str">
            <v>Sydney Fish Market, Bank Street, Sydney</v>
          </cell>
          <cell r="E476" t="str">
            <v>Sydney</v>
          </cell>
          <cell r="F476" t="str">
            <v>NSW</v>
          </cell>
          <cell r="G476" t="str">
            <v>Home Office</v>
          </cell>
          <cell r="H476" t="str">
            <v>Phoebe Gour</v>
          </cell>
          <cell r="I476" t="str">
            <v>Medium</v>
          </cell>
          <cell r="J476" t="str">
            <v>PastelOcean Color Pencil Set</v>
          </cell>
          <cell r="K476" t="str">
            <v>Office Supplies</v>
          </cell>
          <cell r="L476" t="str">
            <v>Wrap Bag</v>
          </cell>
          <cell r="M476" t="str">
            <v>Regular Air</v>
          </cell>
          <cell r="N476">
            <v>41923</v>
          </cell>
          <cell r="O476">
            <v>11.11</v>
          </cell>
          <cell r="P476">
            <v>19.84</v>
          </cell>
          <cell r="Q476">
            <v>43</v>
          </cell>
          <cell r="R476">
            <v>853.12</v>
          </cell>
          <cell r="S476">
            <v>0.03</v>
          </cell>
          <cell r="T476">
            <v>25.593599999999999</v>
          </cell>
          <cell r="U476">
            <v>853.09</v>
          </cell>
          <cell r="V476">
            <v>4.0999999999999996</v>
          </cell>
          <cell r="W476">
            <v>857.19</v>
          </cell>
        </row>
        <row r="477">
          <cell r="A477" t="str">
            <v>5651-1</v>
          </cell>
          <cell r="B477">
            <v>41927</v>
          </cell>
          <cell r="C477" t="str">
            <v>Vicky Freymann</v>
          </cell>
          <cell r="D477" t="str">
            <v>501 George St,Sydney</v>
          </cell>
          <cell r="E477" t="str">
            <v>Sydney</v>
          </cell>
          <cell r="F477" t="str">
            <v>NSW</v>
          </cell>
          <cell r="G477" t="str">
            <v>Home Office</v>
          </cell>
          <cell r="H477" t="str">
            <v>Samantha Chairs</v>
          </cell>
          <cell r="I477" t="str">
            <v>Low</v>
          </cell>
          <cell r="J477" t="str">
            <v>Ames Color-File Green Diamond Border X-ray Mailers</v>
          </cell>
          <cell r="K477" t="str">
            <v>Office Supplies</v>
          </cell>
          <cell r="L477" t="str">
            <v>Small Box</v>
          </cell>
          <cell r="M477" t="str">
            <v>Express Air</v>
          </cell>
          <cell r="N477">
            <v>41931</v>
          </cell>
          <cell r="O477">
            <v>52.07</v>
          </cell>
          <cell r="P477">
            <v>83.98</v>
          </cell>
          <cell r="Q477">
            <v>34</v>
          </cell>
          <cell r="R477">
            <v>2855.32</v>
          </cell>
          <cell r="S477">
            <v>0.06</v>
          </cell>
          <cell r="T477">
            <v>171.3192</v>
          </cell>
          <cell r="U477">
            <v>2855.26</v>
          </cell>
          <cell r="V477">
            <v>5.01</v>
          </cell>
          <cell r="W477">
            <v>2860.2700000000004</v>
          </cell>
        </row>
        <row r="478">
          <cell r="A478" t="str">
            <v>5653-1</v>
          </cell>
          <cell r="B478">
            <v>41928</v>
          </cell>
          <cell r="C478" t="str">
            <v>Patrick Jones</v>
          </cell>
          <cell r="D478" t="str">
            <v>221 Barkly St,St Kilda</v>
          </cell>
          <cell r="E478" t="str">
            <v>Melbourne</v>
          </cell>
          <cell r="F478" t="str">
            <v>VIC</v>
          </cell>
          <cell r="G478" t="str">
            <v>Home Office</v>
          </cell>
          <cell r="H478" t="str">
            <v>Yvette Biti</v>
          </cell>
          <cell r="I478" t="str">
            <v>Critical</v>
          </cell>
          <cell r="J478" t="str">
            <v>EcoTones Memo Sheets</v>
          </cell>
          <cell r="K478" t="str">
            <v>Office Supplies</v>
          </cell>
          <cell r="L478" t="str">
            <v>Wrap Bag</v>
          </cell>
          <cell r="M478" t="str">
            <v>Regular Air</v>
          </cell>
          <cell r="N478">
            <v>41929</v>
          </cell>
          <cell r="O478">
            <v>2.52</v>
          </cell>
          <cell r="P478">
            <v>4</v>
          </cell>
          <cell r="Q478">
            <v>36</v>
          </cell>
          <cell r="R478">
            <v>144</v>
          </cell>
          <cell r="S478">
            <v>0.01</v>
          </cell>
          <cell r="T478">
            <v>1.44</v>
          </cell>
          <cell r="U478">
            <v>143.99</v>
          </cell>
          <cell r="V478">
            <v>1.3</v>
          </cell>
          <cell r="W478">
            <v>145.29000000000002</v>
          </cell>
        </row>
        <row r="479">
          <cell r="A479" t="str">
            <v>5658-1</v>
          </cell>
          <cell r="B479">
            <v>41930</v>
          </cell>
          <cell r="C479" t="str">
            <v>Patrick Jones</v>
          </cell>
          <cell r="D479" t="str">
            <v>221 Barkly St,St Kilda</v>
          </cell>
          <cell r="E479" t="str">
            <v>Melbourne</v>
          </cell>
          <cell r="F479" t="str">
            <v>VIC</v>
          </cell>
          <cell r="G479" t="str">
            <v>Home Office</v>
          </cell>
          <cell r="H479" t="str">
            <v>Yvette Biti</v>
          </cell>
          <cell r="I479" t="str">
            <v>Not Specified</v>
          </cell>
          <cell r="J479" t="str">
            <v>Artisan 48 Labels</v>
          </cell>
          <cell r="K479" t="str">
            <v>Office Supplies</v>
          </cell>
          <cell r="L479" t="str">
            <v>Small Box</v>
          </cell>
          <cell r="M479" t="str">
            <v>Regular Air</v>
          </cell>
          <cell r="N479">
            <v>41932</v>
          </cell>
          <cell r="O479">
            <v>3.84</v>
          </cell>
          <cell r="P479">
            <v>6.3</v>
          </cell>
          <cell r="Q479">
            <v>8</v>
          </cell>
          <cell r="R479">
            <v>50.4</v>
          </cell>
          <cell r="S479">
            <v>0.01</v>
          </cell>
          <cell r="T479">
            <v>0.504</v>
          </cell>
          <cell r="U479">
            <v>50.39</v>
          </cell>
          <cell r="V479">
            <v>0.5</v>
          </cell>
          <cell r="W479">
            <v>50.89</v>
          </cell>
        </row>
        <row r="480">
          <cell r="A480" t="str">
            <v>5659-1</v>
          </cell>
          <cell r="B480">
            <v>41931</v>
          </cell>
          <cell r="C480" t="str">
            <v>Barry Franz</v>
          </cell>
          <cell r="D480" t="str">
            <v>499-501 Lygon Street,Carlton North</v>
          </cell>
          <cell r="E480" t="str">
            <v>Melbourne</v>
          </cell>
          <cell r="F480" t="str">
            <v>VIC</v>
          </cell>
          <cell r="G480" t="str">
            <v>Corporate</v>
          </cell>
          <cell r="H480" t="str">
            <v>Yvette Biti</v>
          </cell>
          <cell r="I480" t="str">
            <v>High</v>
          </cell>
          <cell r="J480" t="str">
            <v>Beekin 6 Outlet Metallic Surge Strip</v>
          </cell>
          <cell r="K480" t="str">
            <v>Office Supplies</v>
          </cell>
          <cell r="L480" t="str">
            <v>Small Box</v>
          </cell>
          <cell r="M480" t="str">
            <v>Express Air</v>
          </cell>
          <cell r="N480">
            <v>41932</v>
          </cell>
          <cell r="O480">
            <v>4.46</v>
          </cell>
          <cell r="P480">
            <v>10.89</v>
          </cell>
          <cell r="Q480">
            <v>4</v>
          </cell>
          <cell r="R480">
            <v>43.56</v>
          </cell>
          <cell r="S480">
            <v>0.05</v>
          </cell>
          <cell r="T480">
            <v>2.1780000000000004</v>
          </cell>
          <cell r="U480">
            <v>43.510000000000005</v>
          </cell>
          <cell r="V480">
            <v>4.5</v>
          </cell>
          <cell r="W480">
            <v>48.010000000000005</v>
          </cell>
        </row>
        <row r="481">
          <cell r="A481" t="str">
            <v>5661-1</v>
          </cell>
          <cell r="B481">
            <v>41932</v>
          </cell>
          <cell r="C481" t="str">
            <v>George Ashbrook</v>
          </cell>
          <cell r="D481" t="str">
            <v>506 Swan Street,Richmond</v>
          </cell>
          <cell r="E481" t="str">
            <v>Melbourne</v>
          </cell>
          <cell r="F481" t="str">
            <v>VIC</v>
          </cell>
          <cell r="G481" t="str">
            <v>Small Business</v>
          </cell>
          <cell r="H481" t="str">
            <v>Connor Betts</v>
          </cell>
          <cell r="I481" t="str">
            <v>Not Specified</v>
          </cell>
          <cell r="J481" t="str">
            <v>TechSavi Access Keyboard</v>
          </cell>
          <cell r="K481" t="str">
            <v>Technology</v>
          </cell>
          <cell r="L481" t="str">
            <v>Small Box</v>
          </cell>
          <cell r="M481" t="str">
            <v>Regular Air</v>
          </cell>
          <cell r="N481">
            <v>41934</v>
          </cell>
          <cell r="O481">
            <v>8.31</v>
          </cell>
          <cell r="P481">
            <v>15.98</v>
          </cell>
          <cell r="Q481">
            <v>38</v>
          </cell>
          <cell r="R481">
            <v>607.24</v>
          </cell>
          <cell r="S481">
            <v>0.1</v>
          </cell>
          <cell r="T481">
            <v>60.724000000000004</v>
          </cell>
          <cell r="U481">
            <v>607.14</v>
          </cell>
          <cell r="V481">
            <v>6.5</v>
          </cell>
          <cell r="W481">
            <v>613.64</v>
          </cell>
        </row>
        <row r="482">
          <cell r="A482" t="str">
            <v>5663-1</v>
          </cell>
          <cell r="B482">
            <v>41933</v>
          </cell>
          <cell r="C482" t="str">
            <v>Roger Demir</v>
          </cell>
          <cell r="D482" t="str">
            <v>2/86 Enmore Rd,Enmore</v>
          </cell>
          <cell r="E482" t="str">
            <v>Sydney</v>
          </cell>
          <cell r="F482" t="str">
            <v>NSW</v>
          </cell>
          <cell r="G482" t="str">
            <v>Consumer</v>
          </cell>
          <cell r="H482" t="str">
            <v>Samantha Chairs</v>
          </cell>
          <cell r="I482" t="str">
            <v>Not Specified</v>
          </cell>
          <cell r="J482" t="str">
            <v>Artisan Hi-Liter EverBold Pen Style Fluorescent Highlighters, 4/Pack</v>
          </cell>
          <cell r="K482" t="str">
            <v>Office Supplies</v>
          </cell>
          <cell r="L482" t="str">
            <v>Wrap Bag</v>
          </cell>
          <cell r="M482" t="str">
            <v>Regular Air</v>
          </cell>
          <cell r="N482">
            <v>41934</v>
          </cell>
          <cell r="O482">
            <v>4.4800000000000004</v>
          </cell>
          <cell r="P482">
            <v>8.14</v>
          </cell>
          <cell r="Q482">
            <v>46</v>
          </cell>
          <cell r="R482">
            <v>374.44000000000005</v>
          </cell>
          <cell r="S482">
            <v>0</v>
          </cell>
          <cell r="T482">
            <v>0</v>
          </cell>
          <cell r="U482">
            <v>374.44000000000005</v>
          </cell>
          <cell r="V482">
            <v>3.12</v>
          </cell>
          <cell r="W482">
            <v>377.56000000000006</v>
          </cell>
        </row>
        <row r="483">
          <cell r="A483" t="str">
            <v>5665-1</v>
          </cell>
          <cell r="B483">
            <v>41933</v>
          </cell>
          <cell r="C483" t="str">
            <v>Philip Brown</v>
          </cell>
          <cell r="D483" t="str">
            <v>499-501 Lygon Street,Carlton North</v>
          </cell>
          <cell r="E483" t="str">
            <v>Melbourne</v>
          </cell>
          <cell r="F483" t="str">
            <v>VIC</v>
          </cell>
          <cell r="G483" t="str">
            <v>Corporate</v>
          </cell>
          <cell r="H483" t="str">
            <v>Yvette Biti</v>
          </cell>
          <cell r="I483" t="str">
            <v>Medium</v>
          </cell>
          <cell r="J483" t="str">
            <v>Smiths SlimLine Pencil Sharpener</v>
          </cell>
          <cell r="K483" t="str">
            <v>Office Supplies</v>
          </cell>
          <cell r="L483" t="str">
            <v>Small Pack</v>
          </cell>
          <cell r="M483" t="str">
            <v>Regular Air</v>
          </cell>
          <cell r="N483">
            <v>41933</v>
          </cell>
          <cell r="O483">
            <v>4.79</v>
          </cell>
          <cell r="P483">
            <v>11.97</v>
          </cell>
          <cell r="Q483">
            <v>8</v>
          </cell>
          <cell r="R483">
            <v>95.76</v>
          </cell>
          <cell r="S483">
            <v>0.03</v>
          </cell>
          <cell r="T483">
            <v>2.8728000000000002</v>
          </cell>
          <cell r="U483">
            <v>95.73</v>
          </cell>
          <cell r="V483">
            <v>5.81</v>
          </cell>
          <cell r="W483">
            <v>101.54</v>
          </cell>
        </row>
        <row r="484">
          <cell r="A484" t="str">
            <v>5667-1</v>
          </cell>
          <cell r="B484">
            <v>41934</v>
          </cell>
          <cell r="C484" t="str">
            <v>Kelly Collister</v>
          </cell>
          <cell r="D484" t="str">
            <v>499-501 Lygon Street,Carlton North</v>
          </cell>
          <cell r="E484" t="str">
            <v>Melbourne</v>
          </cell>
          <cell r="F484" t="str">
            <v>VIC</v>
          </cell>
          <cell r="G484" t="str">
            <v>Consumer</v>
          </cell>
          <cell r="H484" t="str">
            <v>Yvette Biti</v>
          </cell>
          <cell r="I484" t="str">
            <v>High</v>
          </cell>
          <cell r="J484" t="str">
            <v>3Max Organizer Strips</v>
          </cell>
          <cell r="K484" t="str">
            <v>Office Supplies</v>
          </cell>
          <cell r="L484" t="str">
            <v>Small Box</v>
          </cell>
          <cell r="M484" t="str">
            <v>Regular Air</v>
          </cell>
          <cell r="N484">
            <v>41935</v>
          </cell>
          <cell r="O484">
            <v>3.4</v>
          </cell>
          <cell r="P484">
            <v>5.4</v>
          </cell>
          <cell r="Q484">
            <v>22</v>
          </cell>
          <cell r="R484">
            <v>118.80000000000001</v>
          </cell>
          <cell r="S484">
            <v>0.1</v>
          </cell>
          <cell r="T484">
            <v>11.880000000000003</v>
          </cell>
          <cell r="U484">
            <v>118.70000000000002</v>
          </cell>
          <cell r="V484">
            <v>7.78</v>
          </cell>
          <cell r="W484">
            <v>126.48000000000002</v>
          </cell>
        </row>
        <row r="485">
          <cell r="A485" t="str">
            <v>5669-1</v>
          </cell>
          <cell r="B485">
            <v>41935</v>
          </cell>
          <cell r="C485" t="str">
            <v>Caroline Jumper</v>
          </cell>
          <cell r="D485" t="str">
            <v>145 Ramsay St,Haberfield</v>
          </cell>
          <cell r="E485" t="str">
            <v>Sydney</v>
          </cell>
          <cell r="F485" t="str">
            <v>NSW</v>
          </cell>
          <cell r="G485" t="str">
            <v>Corporate</v>
          </cell>
          <cell r="H485" t="str">
            <v>Phoebe Gour</v>
          </cell>
          <cell r="I485" t="str">
            <v>Not Specified</v>
          </cell>
          <cell r="J485" t="str">
            <v>Alto Perma 2700 Stacking Storage Drawers</v>
          </cell>
          <cell r="K485" t="str">
            <v>Office Supplies</v>
          </cell>
          <cell r="L485" t="str">
            <v>Small Box</v>
          </cell>
          <cell r="M485" t="str">
            <v>Regular Air</v>
          </cell>
          <cell r="N485">
            <v>41937</v>
          </cell>
          <cell r="O485">
            <v>8.92</v>
          </cell>
          <cell r="P485">
            <v>29.74</v>
          </cell>
          <cell r="Q485">
            <v>19</v>
          </cell>
          <cell r="R485">
            <v>565.05999999999995</v>
          </cell>
          <cell r="S485">
            <v>0.1</v>
          </cell>
          <cell r="T485">
            <v>56.506</v>
          </cell>
          <cell r="U485">
            <v>564.95999999999992</v>
          </cell>
          <cell r="V485">
            <v>6.64</v>
          </cell>
          <cell r="W485">
            <v>571.59999999999991</v>
          </cell>
        </row>
        <row r="486">
          <cell r="A486" t="str">
            <v>5670-1</v>
          </cell>
          <cell r="B486">
            <v>41938</v>
          </cell>
          <cell r="C486" t="str">
            <v>Catherine Glotzbach</v>
          </cell>
          <cell r="D486" t="str">
            <v>188 Pitt Street,Sydney</v>
          </cell>
          <cell r="E486" t="str">
            <v>Sydney</v>
          </cell>
          <cell r="F486" t="str">
            <v>NSW</v>
          </cell>
          <cell r="G486" t="str">
            <v>Home Office</v>
          </cell>
          <cell r="H486" t="str">
            <v>Tina Carlton</v>
          </cell>
          <cell r="I486" t="str">
            <v>Medium</v>
          </cell>
          <cell r="J486" t="str">
            <v>Artisan Hanging File Binders</v>
          </cell>
          <cell r="K486" t="str">
            <v>Office Supplies</v>
          </cell>
          <cell r="L486" t="str">
            <v>Small Box</v>
          </cell>
          <cell r="M486" t="str">
            <v>Regular Air</v>
          </cell>
          <cell r="N486">
            <v>41939</v>
          </cell>
          <cell r="O486">
            <v>3.65</v>
          </cell>
          <cell r="P486">
            <v>5.98</v>
          </cell>
          <cell r="Q486">
            <v>19</v>
          </cell>
          <cell r="R486">
            <v>113.62</v>
          </cell>
          <cell r="S486">
            <v>0.01</v>
          </cell>
          <cell r="T486">
            <v>1.1362000000000001</v>
          </cell>
          <cell r="U486">
            <v>113.61</v>
          </cell>
          <cell r="V486">
            <v>1.49</v>
          </cell>
          <cell r="W486">
            <v>115.1</v>
          </cell>
        </row>
        <row r="487">
          <cell r="A487" t="str">
            <v>5671-1</v>
          </cell>
          <cell r="B487">
            <v>41939</v>
          </cell>
          <cell r="C487" t="str">
            <v>Mike Gockenbach</v>
          </cell>
          <cell r="D487" t="str">
            <v>180 High Street,Windsor</v>
          </cell>
          <cell r="E487" t="str">
            <v>Melbourne</v>
          </cell>
          <cell r="F487" t="str">
            <v>VIC</v>
          </cell>
          <cell r="G487" t="str">
            <v>Consumer</v>
          </cell>
          <cell r="H487" t="str">
            <v>Connor Betts</v>
          </cell>
          <cell r="I487" t="str">
            <v>Low</v>
          </cell>
          <cell r="J487" t="str">
            <v>Artisan Hi-Liter Pen Style Six-Color Fluorescent Set</v>
          </cell>
          <cell r="K487" t="str">
            <v>Office Supplies</v>
          </cell>
          <cell r="L487" t="str">
            <v>Wrap Bag</v>
          </cell>
          <cell r="M487" t="str">
            <v>Regular Air</v>
          </cell>
          <cell r="N487">
            <v>41943</v>
          </cell>
          <cell r="O487">
            <v>2.16</v>
          </cell>
          <cell r="P487">
            <v>3.85</v>
          </cell>
          <cell r="Q487">
            <v>10</v>
          </cell>
          <cell r="R487">
            <v>38.5</v>
          </cell>
          <cell r="S487">
            <v>0.06</v>
          </cell>
          <cell r="T487">
            <v>2.31</v>
          </cell>
          <cell r="U487">
            <v>38.44</v>
          </cell>
          <cell r="V487">
            <v>0.7</v>
          </cell>
          <cell r="W487">
            <v>39.14</v>
          </cell>
        </row>
        <row r="488">
          <cell r="A488" t="str">
            <v>5672-1</v>
          </cell>
          <cell r="B488">
            <v>41940</v>
          </cell>
          <cell r="C488" t="str">
            <v>Eugene Moren</v>
          </cell>
          <cell r="D488" t="str">
            <v>85-113 Dunning Ave,Rosebery</v>
          </cell>
          <cell r="E488" t="str">
            <v>Sydney</v>
          </cell>
          <cell r="F488" t="str">
            <v>NSW</v>
          </cell>
          <cell r="G488" t="str">
            <v>Home Office</v>
          </cell>
          <cell r="H488" t="str">
            <v>Mihael Khan</v>
          </cell>
          <cell r="I488" t="str">
            <v>Medium</v>
          </cell>
          <cell r="J488" t="str">
            <v>TechSavi Cordless Keyboard</v>
          </cell>
          <cell r="K488" t="str">
            <v>Technology</v>
          </cell>
          <cell r="L488" t="str">
            <v>Small Box</v>
          </cell>
          <cell r="M488" t="str">
            <v>Regular Air</v>
          </cell>
          <cell r="N488">
            <v>41941</v>
          </cell>
          <cell r="O488">
            <v>17.84</v>
          </cell>
          <cell r="P488">
            <v>34.99</v>
          </cell>
          <cell r="Q488">
            <v>29</v>
          </cell>
          <cell r="R488">
            <v>1014.71</v>
          </cell>
          <cell r="S488">
            <v>0.09</v>
          </cell>
          <cell r="T488">
            <v>91.323899999999995</v>
          </cell>
          <cell r="U488">
            <v>1014.62</v>
          </cell>
          <cell r="V488">
            <v>5.5</v>
          </cell>
          <cell r="W488">
            <v>1020.12</v>
          </cell>
        </row>
        <row r="489">
          <cell r="A489" t="str">
            <v>5674-1</v>
          </cell>
          <cell r="B489">
            <v>41941</v>
          </cell>
          <cell r="C489" t="str">
            <v>Brendan Murry</v>
          </cell>
          <cell r="D489" t="str">
            <v>2/797 Botany Rd,Rosebery</v>
          </cell>
          <cell r="E489" t="str">
            <v>Sydney</v>
          </cell>
          <cell r="F489" t="str">
            <v>NSW</v>
          </cell>
          <cell r="G489" t="str">
            <v>Corporate</v>
          </cell>
          <cell r="H489" t="str">
            <v>Samantha Chairs</v>
          </cell>
          <cell r="I489" t="str">
            <v>High</v>
          </cell>
          <cell r="J489" t="str">
            <v>Smiths SlimLine Pencil Sharpener</v>
          </cell>
          <cell r="K489" t="str">
            <v>Office Supplies</v>
          </cell>
          <cell r="L489" t="str">
            <v>Small Pack</v>
          </cell>
          <cell r="M489" t="str">
            <v>Regular Air</v>
          </cell>
          <cell r="N489">
            <v>41943</v>
          </cell>
          <cell r="O489">
            <v>4.79</v>
          </cell>
          <cell r="P489">
            <v>11.97</v>
          </cell>
          <cell r="Q489">
            <v>23</v>
          </cell>
          <cell r="R489">
            <v>275.31</v>
          </cell>
          <cell r="S489">
            <v>0.01</v>
          </cell>
          <cell r="T489">
            <v>2.7530999999999999</v>
          </cell>
          <cell r="U489">
            <v>275.3</v>
          </cell>
          <cell r="V489">
            <v>5.81</v>
          </cell>
          <cell r="W489">
            <v>281.11</v>
          </cell>
        </row>
        <row r="490">
          <cell r="A490" t="str">
            <v>5676-1</v>
          </cell>
          <cell r="B490">
            <v>41944</v>
          </cell>
          <cell r="C490" t="str">
            <v>John Murray</v>
          </cell>
          <cell r="D490" t="str">
            <v>Sydney Fish Market, Bank Street, Sydney</v>
          </cell>
          <cell r="E490" t="str">
            <v>Sydney</v>
          </cell>
          <cell r="F490" t="str">
            <v>NSW</v>
          </cell>
          <cell r="G490" t="str">
            <v>Small Business</v>
          </cell>
          <cell r="H490" t="str">
            <v>Phoebe Gour</v>
          </cell>
          <cell r="I490" t="str">
            <v>Not Specified</v>
          </cell>
          <cell r="J490" t="str">
            <v>Ames Color-File Green Diamond Border X-ray Mailers</v>
          </cell>
          <cell r="K490" t="str">
            <v>Office Supplies</v>
          </cell>
          <cell r="L490" t="str">
            <v>Small Box</v>
          </cell>
          <cell r="M490" t="str">
            <v>Regular Air</v>
          </cell>
          <cell r="N490">
            <v>41946</v>
          </cell>
          <cell r="O490">
            <v>52.07</v>
          </cell>
          <cell r="P490">
            <v>83.98</v>
          </cell>
          <cell r="Q490">
            <v>24</v>
          </cell>
          <cell r="R490">
            <v>2015.52</v>
          </cell>
          <cell r="S490">
            <v>0.05</v>
          </cell>
          <cell r="T490">
            <v>100.77600000000001</v>
          </cell>
          <cell r="U490">
            <v>2015.47</v>
          </cell>
          <cell r="V490">
            <v>5.01</v>
          </cell>
          <cell r="W490">
            <v>2020.48</v>
          </cell>
        </row>
        <row r="491">
          <cell r="A491" t="str">
            <v>5677-1</v>
          </cell>
          <cell r="B491">
            <v>41945</v>
          </cell>
          <cell r="C491" t="str">
            <v>Lindsay Shagiari</v>
          </cell>
          <cell r="D491" t="str">
            <v>5/250 Old Northern Road ,Castle Hill</v>
          </cell>
          <cell r="E491" t="str">
            <v>Sydney</v>
          </cell>
          <cell r="F491" t="str">
            <v>NSW</v>
          </cell>
          <cell r="G491" t="str">
            <v>Home Office</v>
          </cell>
          <cell r="H491" t="str">
            <v>Nicholas Fernandes</v>
          </cell>
          <cell r="I491" t="str">
            <v>High</v>
          </cell>
          <cell r="J491" t="str">
            <v>Security-Tint Envelopes</v>
          </cell>
          <cell r="K491" t="str">
            <v>Office Supplies</v>
          </cell>
          <cell r="L491" t="str">
            <v>Small Box</v>
          </cell>
          <cell r="M491" t="str">
            <v>Regular Air</v>
          </cell>
          <cell r="N491">
            <v>41947</v>
          </cell>
          <cell r="O491">
            <v>4.8899999999999997</v>
          </cell>
          <cell r="P491">
            <v>7.64</v>
          </cell>
          <cell r="Q491">
            <v>12</v>
          </cell>
          <cell r="R491">
            <v>91.679999999999993</v>
          </cell>
          <cell r="S491">
            <v>0.02</v>
          </cell>
          <cell r="T491">
            <v>1.8335999999999999</v>
          </cell>
          <cell r="U491">
            <v>91.66</v>
          </cell>
          <cell r="V491">
            <v>1.39</v>
          </cell>
          <cell r="W491">
            <v>93.05</v>
          </cell>
        </row>
        <row r="492">
          <cell r="A492" t="str">
            <v>5679-1</v>
          </cell>
          <cell r="B492">
            <v>41946</v>
          </cell>
          <cell r="C492" t="str">
            <v>Pete Armstrong</v>
          </cell>
          <cell r="D492" t="str">
            <v>506 Swan Street,Richmond</v>
          </cell>
          <cell r="E492" t="str">
            <v>Melbourne</v>
          </cell>
          <cell r="F492" t="str">
            <v>VIC</v>
          </cell>
          <cell r="G492" t="str">
            <v>Consumer</v>
          </cell>
          <cell r="H492" t="str">
            <v>Connor Betts</v>
          </cell>
          <cell r="I492" t="str">
            <v>Low</v>
          </cell>
          <cell r="J492" t="str">
            <v>EcoTones Memo Sheets</v>
          </cell>
          <cell r="K492" t="str">
            <v>Office Supplies</v>
          </cell>
          <cell r="L492" t="str">
            <v>Wrap Bag</v>
          </cell>
          <cell r="M492" t="str">
            <v>Regular Air</v>
          </cell>
          <cell r="N492">
            <v>41950</v>
          </cell>
          <cell r="O492">
            <v>2.52</v>
          </cell>
          <cell r="P492">
            <v>4</v>
          </cell>
          <cell r="Q492">
            <v>32</v>
          </cell>
          <cell r="R492">
            <v>128</v>
          </cell>
          <cell r="S492">
            <v>0.09</v>
          </cell>
          <cell r="T492">
            <v>11.52</v>
          </cell>
          <cell r="U492">
            <v>127.91</v>
          </cell>
          <cell r="V492">
            <v>1.3</v>
          </cell>
          <cell r="W492">
            <v>129.21</v>
          </cell>
        </row>
        <row r="493">
          <cell r="A493" t="str">
            <v>5680-1</v>
          </cell>
          <cell r="B493">
            <v>41946</v>
          </cell>
          <cell r="C493" t="str">
            <v>Becky Castell</v>
          </cell>
          <cell r="D493" t="str">
            <v>333-339 Enmore Rd,Marrickville</v>
          </cell>
          <cell r="E493" t="str">
            <v>Sydney</v>
          </cell>
          <cell r="F493" t="str">
            <v>NSW</v>
          </cell>
          <cell r="G493" t="str">
            <v>Consumer</v>
          </cell>
          <cell r="H493" t="str">
            <v>Preston Senome</v>
          </cell>
          <cell r="I493" t="str">
            <v>Medium</v>
          </cell>
          <cell r="J493" t="str">
            <v>TechSavi Internet Navigator Keyboard</v>
          </cell>
          <cell r="K493" t="str">
            <v>Technology</v>
          </cell>
          <cell r="L493" t="str">
            <v>Small Box</v>
          </cell>
          <cell r="M493" t="str">
            <v>Regular Air</v>
          </cell>
          <cell r="N493">
            <v>41947</v>
          </cell>
          <cell r="O493">
            <v>6.51</v>
          </cell>
          <cell r="P493">
            <v>30.98</v>
          </cell>
          <cell r="Q493">
            <v>12</v>
          </cell>
          <cell r="R493">
            <v>371.76</v>
          </cell>
          <cell r="S493">
            <v>0</v>
          </cell>
          <cell r="T493">
            <v>0</v>
          </cell>
          <cell r="U493">
            <v>371.76</v>
          </cell>
          <cell r="V493">
            <v>6.5</v>
          </cell>
          <cell r="W493">
            <v>378.26</v>
          </cell>
        </row>
        <row r="494">
          <cell r="A494" t="str">
            <v>5681-1</v>
          </cell>
          <cell r="B494">
            <v>41950</v>
          </cell>
          <cell r="C494" t="str">
            <v>Ritsa Hightower</v>
          </cell>
          <cell r="D494" t="str">
            <v>1/160 Anzac Parade,Kensington</v>
          </cell>
          <cell r="E494" t="str">
            <v>Sydney</v>
          </cell>
          <cell r="F494" t="str">
            <v>NSW</v>
          </cell>
          <cell r="G494" t="str">
            <v>Corporate</v>
          </cell>
          <cell r="H494" t="str">
            <v>Natasha Song</v>
          </cell>
          <cell r="I494" t="str">
            <v>Medium</v>
          </cell>
          <cell r="J494" t="str">
            <v>HFX LaserJet 3310 Copier</v>
          </cell>
          <cell r="K494" t="str">
            <v>Technology</v>
          </cell>
          <cell r="L494" t="str">
            <v>Large Box</v>
          </cell>
          <cell r="M494" t="str">
            <v>Express Air</v>
          </cell>
          <cell r="N494">
            <v>41952</v>
          </cell>
          <cell r="O494">
            <v>377.99</v>
          </cell>
          <cell r="P494">
            <v>599.99</v>
          </cell>
          <cell r="Q494">
            <v>41</v>
          </cell>
          <cell r="R494">
            <v>24599.59</v>
          </cell>
          <cell r="S494">
            <v>7.0000000000000007E-2</v>
          </cell>
          <cell r="T494">
            <v>1721.9713000000002</v>
          </cell>
          <cell r="U494">
            <v>24599.52</v>
          </cell>
          <cell r="V494">
            <v>24.49</v>
          </cell>
          <cell r="W494">
            <v>24624.010000000002</v>
          </cell>
        </row>
        <row r="495">
          <cell r="A495" t="str">
            <v>5682-1</v>
          </cell>
          <cell r="B495">
            <v>41953</v>
          </cell>
          <cell r="C495" t="str">
            <v>Toby Carlisle</v>
          </cell>
          <cell r="D495" t="str">
            <v>6/15 Cross Street,Double Bay</v>
          </cell>
          <cell r="E495" t="str">
            <v>Sydney</v>
          </cell>
          <cell r="F495" t="str">
            <v>NSW</v>
          </cell>
          <cell r="G495" t="str">
            <v>Home Office</v>
          </cell>
          <cell r="H495" t="str">
            <v>Leighton Forrest</v>
          </cell>
          <cell r="I495" t="str">
            <v>High</v>
          </cell>
          <cell r="J495" t="str">
            <v>HFX LaserJet 3310 Copier</v>
          </cell>
          <cell r="K495" t="str">
            <v>Technology</v>
          </cell>
          <cell r="L495" t="str">
            <v>Large Box</v>
          </cell>
          <cell r="M495" t="str">
            <v>Regular Air</v>
          </cell>
          <cell r="N495">
            <v>41955</v>
          </cell>
          <cell r="O495">
            <v>377.99</v>
          </cell>
          <cell r="P495">
            <v>599.99</v>
          </cell>
          <cell r="Q495">
            <v>20</v>
          </cell>
          <cell r="R495">
            <v>11999.8</v>
          </cell>
          <cell r="S495">
            <v>7.0000000000000007E-2</v>
          </cell>
          <cell r="T495">
            <v>839.98599999999999</v>
          </cell>
          <cell r="U495">
            <v>11999.73</v>
          </cell>
          <cell r="V495">
            <v>24.49</v>
          </cell>
          <cell r="W495">
            <v>12024.22</v>
          </cell>
        </row>
        <row r="496">
          <cell r="A496" t="str">
            <v>5684-1</v>
          </cell>
          <cell r="B496">
            <v>41954</v>
          </cell>
          <cell r="C496" t="str">
            <v>Greg Hansen</v>
          </cell>
          <cell r="D496" t="str">
            <v>221 Barkly St,St Kilda</v>
          </cell>
          <cell r="E496" t="str">
            <v>Melbourne</v>
          </cell>
          <cell r="F496" t="str">
            <v>VIC</v>
          </cell>
          <cell r="G496" t="str">
            <v>Home Office</v>
          </cell>
          <cell r="H496" t="str">
            <v>Yvette Biti</v>
          </cell>
          <cell r="I496" t="str">
            <v>Critical</v>
          </cell>
          <cell r="J496" t="str">
            <v>Smiths Pushpins</v>
          </cell>
          <cell r="K496" t="str">
            <v>Office Supplies</v>
          </cell>
          <cell r="L496" t="str">
            <v>Wrap Bag</v>
          </cell>
          <cell r="M496" t="str">
            <v>Regular Air</v>
          </cell>
          <cell r="N496">
            <v>41955</v>
          </cell>
          <cell r="O496">
            <v>0.94</v>
          </cell>
          <cell r="P496">
            <v>1.88</v>
          </cell>
          <cell r="Q496">
            <v>36</v>
          </cell>
          <cell r="R496">
            <v>67.679999999999993</v>
          </cell>
          <cell r="S496">
            <v>0.1</v>
          </cell>
          <cell r="T496">
            <v>6.7679999999999998</v>
          </cell>
          <cell r="U496">
            <v>67.58</v>
          </cell>
          <cell r="V496">
            <v>0.79</v>
          </cell>
          <cell r="W496">
            <v>68.37</v>
          </cell>
        </row>
        <row r="497">
          <cell r="A497" t="str">
            <v>5685-1</v>
          </cell>
          <cell r="B497">
            <v>41959</v>
          </cell>
          <cell r="C497" t="str">
            <v>Julia Dunbar</v>
          </cell>
          <cell r="D497" t="str">
            <v>Qantas Domestic Terminal,Mascot</v>
          </cell>
          <cell r="E497" t="str">
            <v>Sydney</v>
          </cell>
          <cell r="F497" t="str">
            <v>NSW</v>
          </cell>
          <cell r="G497" t="str">
            <v>Consumer</v>
          </cell>
          <cell r="H497" t="str">
            <v>Phoebe Gour</v>
          </cell>
          <cell r="I497" t="str">
            <v>Not Specified</v>
          </cell>
          <cell r="J497" t="str">
            <v>300 Series Non-Flip</v>
          </cell>
          <cell r="K497" t="str">
            <v>Technology</v>
          </cell>
          <cell r="L497" t="str">
            <v>Small Box</v>
          </cell>
          <cell r="M497" t="str">
            <v>Regular Air</v>
          </cell>
          <cell r="N497">
            <v>41961</v>
          </cell>
          <cell r="O497">
            <v>62.4</v>
          </cell>
          <cell r="P497">
            <v>155.99</v>
          </cell>
          <cell r="Q497">
            <v>6</v>
          </cell>
          <cell r="R497">
            <v>935.94</v>
          </cell>
          <cell r="S497">
            <v>0.02</v>
          </cell>
          <cell r="T497">
            <v>18.718800000000002</v>
          </cell>
          <cell r="U497">
            <v>935.92000000000007</v>
          </cell>
          <cell r="V497">
            <v>8.08</v>
          </cell>
          <cell r="W497">
            <v>944.00000000000011</v>
          </cell>
        </row>
        <row r="498">
          <cell r="A498" t="str">
            <v>5686-1</v>
          </cell>
          <cell r="B498">
            <v>41959</v>
          </cell>
          <cell r="C498" t="str">
            <v>Jill Stevenson</v>
          </cell>
          <cell r="D498" t="str">
            <v>181 Enmore Rd,Enmore</v>
          </cell>
          <cell r="E498" t="str">
            <v>Sydney</v>
          </cell>
          <cell r="F498" t="str">
            <v>NSW</v>
          </cell>
          <cell r="G498" t="str">
            <v>Consumer</v>
          </cell>
          <cell r="H498" t="str">
            <v>Radhya Staples</v>
          </cell>
          <cell r="I498" t="str">
            <v>Low</v>
          </cell>
          <cell r="J498" t="str">
            <v>Beekin 6 Outlet Metallic Surge Strip</v>
          </cell>
          <cell r="K498" t="str">
            <v>Office Supplies</v>
          </cell>
          <cell r="L498" t="str">
            <v>Small Box</v>
          </cell>
          <cell r="M498" t="str">
            <v>Regular Air</v>
          </cell>
          <cell r="N498">
            <v>41964</v>
          </cell>
          <cell r="O498">
            <v>4.46</v>
          </cell>
          <cell r="P498">
            <v>10.89</v>
          </cell>
          <cell r="Q498">
            <v>8</v>
          </cell>
          <cell r="R498">
            <v>87.12</v>
          </cell>
          <cell r="S498">
            <v>0.09</v>
          </cell>
          <cell r="T498">
            <v>7.8407999999999998</v>
          </cell>
          <cell r="U498">
            <v>87.03</v>
          </cell>
          <cell r="V498">
            <v>4.5</v>
          </cell>
          <cell r="W498">
            <v>91.53</v>
          </cell>
        </row>
        <row r="499">
          <cell r="A499" t="str">
            <v>5687-1</v>
          </cell>
          <cell r="B499">
            <v>41960</v>
          </cell>
          <cell r="C499" t="str">
            <v>Giulietta Weimer</v>
          </cell>
          <cell r="D499" t="str">
            <v>48 Albion St,Surry Hills</v>
          </cell>
          <cell r="E499" t="str">
            <v>Sydney</v>
          </cell>
          <cell r="F499" t="str">
            <v>NSW</v>
          </cell>
          <cell r="G499" t="str">
            <v>Corporate</v>
          </cell>
          <cell r="H499" t="str">
            <v>Natasha Song</v>
          </cell>
          <cell r="I499" t="str">
            <v>High</v>
          </cell>
          <cell r="J499" t="str">
            <v>Binder Clips by OIC</v>
          </cell>
          <cell r="K499" t="str">
            <v>Office Supplies</v>
          </cell>
          <cell r="L499" t="str">
            <v>Wrap Bag</v>
          </cell>
          <cell r="M499" t="str">
            <v>Regular Air</v>
          </cell>
          <cell r="N499">
            <v>41962</v>
          </cell>
          <cell r="O499">
            <v>0.93</v>
          </cell>
          <cell r="P499">
            <v>1.48</v>
          </cell>
          <cell r="Q499">
            <v>28</v>
          </cell>
          <cell r="R499">
            <v>41.44</v>
          </cell>
          <cell r="S499">
            <v>0.04</v>
          </cell>
          <cell r="T499">
            <v>1.6576</v>
          </cell>
          <cell r="U499">
            <v>41.4</v>
          </cell>
          <cell r="V499">
            <v>0.7</v>
          </cell>
          <cell r="W499">
            <v>42.1</v>
          </cell>
        </row>
        <row r="500">
          <cell r="A500" t="str">
            <v>5689-1</v>
          </cell>
          <cell r="B500">
            <v>41961</v>
          </cell>
          <cell r="C500" t="str">
            <v>Jamie Kunitz</v>
          </cell>
          <cell r="D500" t="str">
            <v>Sydney Fish Market, Bank Street, Sydney</v>
          </cell>
          <cell r="E500" t="str">
            <v>Sydney</v>
          </cell>
          <cell r="F500" t="str">
            <v>NSW</v>
          </cell>
          <cell r="G500" t="str">
            <v>Corporate</v>
          </cell>
          <cell r="H500" t="str">
            <v>Phoebe Gour</v>
          </cell>
          <cell r="I500" t="str">
            <v>Critical</v>
          </cell>
          <cell r="J500" t="str">
            <v>Steady Liquid Accent Tank-Style Highlighters</v>
          </cell>
          <cell r="K500" t="str">
            <v>Office Supplies</v>
          </cell>
          <cell r="L500" t="str">
            <v>Wrap Bag</v>
          </cell>
          <cell r="M500" t="str">
            <v>Regular Air</v>
          </cell>
          <cell r="N500">
            <v>41963</v>
          </cell>
          <cell r="O500">
            <v>1.31</v>
          </cell>
          <cell r="P500">
            <v>2.84</v>
          </cell>
          <cell r="Q500">
            <v>12</v>
          </cell>
          <cell r="R500">
            <v>34.08</v>
          </cell>
          <cell r="S500">
            <v>0.1</v>
          </cell>
          <cell r="T500">
            <v>3.4079999999999999</v>
          </cell>
          <cell r="U500">
            <v>33.979999999999997</v>
          </cell>
          <cell r="V500">
            <v>0.93</v>
          </cell>
          <cell r="W500">
            <v>34.909999999999997</v>
          </cell>
        </row>
        <row r="501">
          <cell r="A501" t="str">
            <v>5690-1</v>
          </cell>
          <cell r="B501">
            <v>41962</v>
          </cell>
          <cell r="C501" t="str">
            <v>Brendan Murry</v>
          </cell>
          <cell r="D501" t="str">
            <v>2/797 Botany Rd,Rosebery</v>
          </cell>
          <cell r="E501" t="str">
            <v>Sydney</v>
          </cell>
          <cell r="F501" t="str">
            <v>NSW</v>
          </cell>
          <cell r="G501" t="str">
            <v>Corporate</v>
          </cell>
          <cell r="H501" t="str">
            <v>Samantha Chairs</v>
          </cell>
          <cell r="I501" t="str">
            <v>Medium</v>
          </cell>
          <cell r="J501" t="str">
            <v>Economy Rollaway Files</v>
          </cell>
          <cell r="K501" t="str">
            <v>Office Supplies</v>
          </cell>
          <cell r="L501" t="str">
            <v>Small Box</v>
          </cell>
          <cell r="M501" t="str">
            <v>Express Air</v>
          </cell>
          <cell r="N501">
            <v>41964</v>
          </cell>
          <cell r="O501">
            <v>67.73</v>
          </cell>
          <cell r="P501">
            <v>165.2</v>
          </cell>
          <cell r="Q501">
            <v>46</v>
          </cell>
          <cell r="R501">
            <v>7599.2</v>
          </cell>
          <cell r="S501">
            <v>0.02</v>
          </cell>
          <cell r="T501">
            <v>151.98400000000001</v>
          </cell>
          <cell r="U501">
            <v>7599.1799999999994</v>
          </cell>
          <cell r="V501">
            <v>19.989999999999998</v>
          </cell>
          <cell r="W501">
            <v>7619.1699999999992</v>
          </cell>
        </row>
        <row r="502">
          <cell r="A502" t="str">
            <v>5692-1</v>
          </cell>
          <cell r="B502">
            <v>41964</v>
          </cell>
          <cell r="C502" t="str">
            <v>Harold Ryan</v>
          </cell>
          <cell r="D502" t="str">
            <v>4A Lyons St,Strathfield</v>
          </cell>
          <cell r="E502" t="str">
            <v>Sydney</v>
          </cell>
          <cell r="F502" t="str">
            <v>NSW</v>
          </cell>
          <cell r="G502" t="str">
            <v>Home Office</v>
          </cell>
          <cell r="H502" t="str">
            <v>Tina Carlton</v>
          </cell>
          <cell r="I502" t="str">
            <v>Medium</v>
          </cell>
          <cell r="J502" t="str">
            <v>Adesso Programmable 142-Key Keyboard</v>
          </cell>
          <cell r="K502" t="str">
            <v>Technology</v>
          </cell>
          <cell r="L502" t="str">
            <v>Small Box</v>
          </cell>
          <cell r="M502" t="str">
            <v>Regular Air</v>
          </cell>
          <cell r="N502">
            <v>41966</v>
          </cell>
          <cell r="O502">
            <v>32.020000000000003</v>
          </cell>
          <cell r="P502">
            <v>152.47999999999999</v>
          </cell>
          <cell r="Q502">
            <v>29</v>
          </cell>
          <cell r="R502">
            <v>4421.92</v>
          </cell>
          <cell r="S502">
            <v>0.09</v>
          </cell>
          <cell r="T502">
            <v>397.97280000000001</v>
          </cell>
          <cell r="U502">
            <v>4421.83</v>
          </cell>
          <cell r="V502">
            <v>4</v>
          </cell>
          <cell r="W502">
            <v>4425.83</v>
          </cell>
        </row>
        <row r="503">
          <cell r="A503" t="str">
            <v>5693-1</v>
          </cell>
          <cell r="B503">
            <v>41965</v>
          </cell>
          <cell r="C503" t="str">
            <v>Julia Barnett</v>
          </cell>
          <cell r="D503" t="str">
            <v>485 Crown St,Surry Hills</v>
          </cell>
          <cell r="E503" t="str">
            <v>Sydney</v>
          </cell>
          <cell r="F503" t="str">
            <v>NSW</v>
          </cell>
          <cell r="G503" t="str">
            <v>Home Office</v>
          </cell>
          <cell r="H503" t="str">
            <v>Leighton Forrest</v>
          </cell>
          <cell r="I503" t="str">
            <v>High</v>
          </cell>
          <cell r="J503" t="str">
            <v>Artisan Flip-Chart Easel Binder, Black</v>
          </cell>
          <cell r="K503" t="str">
            <v>Office Supplies</v>
          </cell>
          <cell r="L503" t="str">
            <v>Small Box</v>
          </cell>
          <cell r="M503" t="str">
            <v>Regular Air</v>
          </cell>
          <cell r="N503">
            <v>41965</v>
          </cell>
          <cell r="O503">
            <v>13.88</v>
          </cell>
          <cell r="P503">
            <v>22.38</v>
          </cell>
          <cell r="Q503">
            <v>10</v>
          </cell>
          <cell r="R503">
            <v>223.79999999999998</v>
          </cell>
          <cell r="S503">
            <v>0.01</v>
          </cell>
          <cell r="T503">
            <v>2.238</v>
          </cell>
          <cell r="U503">
            <v>223.79</v>
          </cell>
          <cell r="V503">
            <v>15.1</v>
          </cell>
          <cell r="W503">
            <v>238.89</v>
          </cell>
        </row>
        <row r="504">
          <cell r="A504" t="str">
            <v>5695-1</v>
          </cell>
          <cell r="B504">
            <v>41965</v>
          </cell>
          <cell r="C504" t="str">
            <v>Joseph Airdo</v>
          </cell>
          <cell r="D504" t="str">
            <v>Westfield Sydney,Sydney</v>
          </cell>
          <cell r="E504" t="str">
            <v>Sydney</v>
          </cell>
          <cell r="F504" t="str">
            <v>NSW</v>
          </cell>
          <cell r="G504" t="str">
            <v>Consumer</v>
          </cell>
          <cell r="H504" t="str">
            <v>Natasha Song</v>
          </cell>
          <cell r="I504" t="str">
            <v>Critical</v>
          </cell>
          <cell r="J504" t="str">
            <v>Steady Liquid Accent Tank-Style Highlighters</v>
          </cell>
          <cell r="K504" t="str">
            <v>Office Supplies</v>
          </cell>
          <cell r="L504" t="str">
            <v>Wrap Bag</v>
          </cell>
          <cell r="M504" t="str">
            <v>Regular Air</v>
          </cell>
          <cell r="N504">
            <v>41967</v>
          </cell>
          <cell r="O504">
            <v>1.31</v>
          </cell>
          <cell r="P504">
            <v>2.84</v>
          </cell>
          <cell r="Q504">
            <v>39</v>
          </cell>
          <cell r="R504">
            <v>110.75999999999999</v>
          </cell>
          <cell r="S504">
            <v>0.05</v>
          </cell>
          <cell r="T504">
            <v>5.5380000000000003</v>
          </cell>
          <cell r="U504">
            <v>110.71</v>
          </cell>
          <cell r="V504">
            <v>0.93</v>
          </cell>
          <cell r="W504">
            <v>111.64</v>
          </cell>
        </row>
        <row r="505">
          <cell r="A505" t="str">
            <v>5696-1</v>
          </cell>
          <cell r="B505">
            <v>41966</v>
          </cell>
          <cell r="C505" t="str">
            <v>Nicole Hansen</v>
          </cell>
          <cell r="D505" t="str">
            <v>184 King Street,Newtown</v>
          </cell>
          <cell r="E505" t="str">
            <v>Sydney</v>
          </cell>
          <cell r="F505" t="str">
            <v>NSW</v>
          </cell>
          <cell r="G505" t="str">
            <v>Small Business</v>
          </cell>
          <cell r="H505" t="str">
            <v>Charlie Bui</v>
          </cell>
          <cell r="I505" t="str">
            <v>Critical</v>
          </cell>
          <cell r="J505" t="str">
            <v>Alto Perma 2700 Stacking Storage Drawers</v>
          </cell>
          <cell r="K505" t="str">
            <v>Office Supplies</v>
          </cell>
          <cell r="L505" t="str">
            <v>Small Box</v>
          </cell>
          <cell r="M505" t="str">
            <v>Express Air</v>
          </cell>
          <cell r="N505">
            <v>41969</v>
          </cell>
          <cell r="O505">
            <v>8.92</v>
          </cell>
          <cell r="P505">
            <v>29.74</v>
          </cell>
          <cell r="Q505">
            <v>34</v>
          </cell>
          <cell r="R505">
            <v>1011.16</v>
          </cell>
          <cell r="S505">
            <v>0.09</v>
          </cell>
          <cell r="T505">
            <v>91.00439999999999</v>
          </cell>
          <cell r="U505">
            <v>1011.0699999999999</v>
          </cell>
          <cell r="V505">
            <v>6.64</v>
          </cell>
          <cell r="W505">
            <v>1017.7099999999999</v>
          </cell>
        </row>
        <row r="506">
          <cell r="A506" t="str">
            <v>5698-1</v>
          </cell>
          <cell r="B506">
            <v>41966</v>
          </cell>
          <cell r="C506" t="str">
            <v>Giulietta Dortch</v>
          </cell>
          <cell r="D506" t="str">
            <v>180 High Street,Windsor</v>
          </cell>
          <cell r="E506" t="str">
            <v>Melbourne</v>
          </cell>
          <cell r="F506" t="str">
            <v>VIC</v>
          </cell>
          <cell r="G506" t="str">
            <v>Consumer</v>
          </cell>
          <cell r="H506" t="str">
            <v>Connor Betts</v>
          </cell>
          <cell r="I506" t="str">
            <v>Low</v>
          </cell>
          <cell r="J506" t="str">
            <v>Cando PC940 Copier</v>
          </cell>
          <cell r="K506" t="str">
            <v>Technology</v>
          </cell>
          <cell r="L506" t="str">
            <v>Jumbo Drum</v>
          </cell>
          <cell r="M506" t="str">
            <v>Delivery Truck</v>
          </cell>
          <cell r="N506">
            <v>41970</v>
          </cell>
          <cell r="O506">
            <v>278.99</v>
          </cell>
          <cell r="P506">
            <v>449.99</v>
          </cell>
          <cell r="Q506">
            <v>34</v>
          </cell>
          <cell r="R506">
            <v>15299.66</v>
          </cell>
          <cell r="S506">
            <v>0.02</v>
          </cell>
          <cell r="T506">
            <v>305.9932</v>
          </cell>
          <cell r="U506">
            <v>15299.64</v>
          </cell>
          <cell r="V506">
            <v>49</v>
          </cell>
          <cell r="W506">
            <v>15348.64</v>
          </cell>
        </row>
        <row r="507">
          <cell r="A507" t="str">
            <v>5699-1</v>
          </cell>
          <cell r="B507">
            <v>41969</v>
          </cell>
          <cell r="C507" t="str">
            <v>Maurice Satty</v>
          </cell>
          <cell r="D507" t="str">
            <v>188 Pitt Street,Sydney</v>
          </cell>
          <cell r="E507" t="str">
            <v>Sydney</v>
          </cell>
          <cell r="F507" t="str">
            <v>NSW</v>
          </cell>
          <cell r="G507" t="str">
            <v>Corporate</v>
          </cell>
          <cell r="H507" t="str">
            <v>Tina Carlton</v>
          </cell>
          <cell r="I507" t="str">
            <v>High</v>
          </cell>
          <cell r="J507" t="str">
            <v>TechSavi Access Keyboard</v>
          </cell>
          <cell r="K507" t="str">
            <v>Technology</v>
          </cell>
          <cell r="L507" t="str">
            <v>Small Box</v>
          </cell>
          <cell r="M507" t="str">
            <v>Regular Air</v>
          </cell>
          <cell r="N507">
            <v>41971</v>
          </cell>
          <cell r="O507">
            <v>8.31</v>
          </cell>
          <cell r="P507">
            <v>15.98</v>
          </cell>
          <cell r="Q507">
            <v>5</v>
          </cell>
          <cell r="R507">
            <v>79.900000000000006</v>
          </cell>
          <cell r="S507">
            <v>0.08</v>
          </cell>
          <cell r="T507">
            <v>6.3920000000000003</v>
          </cell>
          <cell r="U507">
            <v>79.820000000000007</v>
          </cell>
          <cell r="V507">
            <v>6.5</v>
          </cell>
          <cell r="W507">
            <v>86.320000000000007</v>
          </cell>
        </row>
        <row r="508">
          <cell r="A508" t="str">
            <v>5701-1</v>
          </cell>
          <cell r="B508">
            <v>41973</v>
          </cell>
          <cell r="C508" t="str">
            <v>Lena Creighton</v>
          </cell>
          <cell r="D508" t="str">
            <v>127 Liverpool St,Sydney</v>
          </cell>
          <cell r="E508" t="str">
            <v>Sydney</v>
          </cell>
          <cell r="F508" t="str">
            <v>NSW</v>
          </cell>
          <cell r="G508" t="str">
            <v>Home Office</v>
          </cell>
          <cell r="H508" t="str">
            <v>Samantha Chairs</v>
          </cell>
          <cell r="I508" t="str">
            <v>High</v>
          </cell>
          <cell r="J508" t="str">
            <v>Alto Memo Cubes</v>
          </cell>
          <cell r="K508" t="str">
            <v>Office Supplies</v>
          </cell>
          <cell r="L508" t="str">
            <v>Wrap Bag</v>
          </cell>
          <cell r="M508" t="str">
            <v>Express Air</v>
          </cell>
          <cell r="N508">
            <v>41975</v>
          </cell>
          <cell r="O508">
            <v>3.32</v>
          </cell>
          <cell r="P508">
            <v>5.18</v>
          </cell>
          <cell r="Q508">
            <v>9</v>
          </cell>
          <cell r="R508">
            <v>46.62</v>
          </cell>
          <cell r="S508">
            <v>0.09</v>
          </cell>
          <cell r="T508">
            <v>4.1957999999999993</v>
          </cell>
          <cell r="U508">
            <v>46.529999999999994</v>
          </cell>
          <cell r="V508">
            <v>2.04</v>
          </cell>
          <cell r="W508">
            <v>48.569999999999993</v>
          </cell>
        </row>
        <row r="509">
          <cell r="A509" t="str">
            <v>5702-1</v>
          </cell>
          <cell r="B509">
            <v>41974</v>
          </cell>
          <cell r="C509" t="str">
            <v>Ritsa Hightower</v>
          </cell>
          <cell r="D509" t="str">
            <v>1/160 Anzac Parade,Kensington</v>
          </cell>
          <cell r="E509" t="str">
            <v>Sydney</v>
          </cell>
          <cell r="F509" t="str">
            <v>NSW</v>
          </cell>
          <cell r="G509" t="str">
            <v>Corporate</v>
          </cell>
          <cell r="H509" t="str">
            <v>Natasha Song</v>
          </cell>
          <cell r="I509" t="str">
            <v>Low</v>
          </cell>
          <cell r="J509" t="str">
            <v>Fluorescent Highlighters by DrawIt</v>
          </cell>
          <cell r="K509" t="str">
            <v>Office Supplies</v>
          </cell>
          <cell r="L509" t="str">
            <v>Wrap Bag</v>
          </cell>
          <cell r="M509" t="str">
            <v>Express Air</v>
          </cell>
          <cell r="N509">
            <v>41978</v>
          </cell>
          <cell r="O509">
            <v>1.95</v>
          </cell>
          <cell r="P509">
            <v>3.98</v>
          </cell>
          <cell r="Q509">
            <v>4</v>
          </cell>
          <cell r="R509">
            <v>15.92</v>
          </cell>
          <cell r="S509">
            <v>0.02</v>
          </cell>
          <cell r="T509">
            <v>0.31840000000000002</v>
          </cell>
          <cell r="U509">
            <v>15.9</v>
          </cell>
          <cell r="V509">
            <v>0.83</v>
          </cell>
          <cell r="W509">
            <v>16.73</v>
          </cell>
        </row>
        <row r="510">
          <cell r="A510" t="str">
            <v>5703-1</v>
          </cell>
          <cell r="B510">
            <v>41974</v>
          </cell>
          <cell r="C510" t="str">
            <v>Jesus Ocampo</v>
          </cell>
          <cell r="D510" t="str">
            <v>60 Commercial Rd,Prahran</v>
          </cell>
          <cell r="E510" t="str">
            <v>Melbourne</v>
          </cell>
          <cell r="F510" t="str">
            <v>VIC</v>
          </cell>
          <cell r="G510" t="str">
            <v>Small Business</v>
          </cell>
          <cell r="H510" t="str">
            <v>Yvette Biti</v>
          </cell>
          <cell r="I510" t="str">
            <v>Low</v>
          </cell>
          <cell r="J510" t="str">
            <v>Steady 52201 APSCO Electric Pencil Sharpener</v>
          </cell>
          <cell r="K510" t="str">
            <v>Office Supplies</v>
          </cell>
          <cell r="L510" t="str">
            <v>Small Pack</v>
          </cell>
          <cell r="M510" t="str">
            <v>Regular Air</v>
          </cell>
          <cell r="N510">
            <v>41981</v>
          </cell>
          <cell r="O510">
            <v>16.8</v>
          </cell>
          <cell r="P510">
            <v>40.97</v>
          </cell>
          <cell r="Q510">
            <v>47</v>
          </cell>
          <cell r="R510">
            <v>1925.59</v>
          </cell>
          <cell r="S510">
            <v>0.04</v>
          </cell>
          <cell r="T510">
            <v>77.023600000000002</v>
          </cell>
          <cell r="U510">
            <v>1925.55</v>
          </cell>
          <cell r="V510">
            <v>8.99</v>
          </cell>
          <cell r="W510">
            <v>1934.54</v>
          </cell>
        </row>
        <row r="511">
          <cell r="A511" t="str">
            <v>5705-1</v>
          </cell>
          <cell r="B511">
            <v>41977</v>
          </cell>
          <cell r="C511" t="str">
            <v>Ed Braxton</v>
          </cell>
          <cell r="D511" t="str">
            <v>499-501 Lygon Street,Carlton North</v>
          </cell>
          <cell r="E511" t="str">
            <v>Melbourne</v>
          </cell>
          <cell r="F511" t="str">
            <v>VIC</v>
          </cell>
          <cell r="G511" t="str">
            <v>Home Office</v>
          </cell>
          <cell r="H511" t="str">
            <v>Yvette Biti</v>
          </cell>
          <cell r="I511" t="str">
            <v>Medium</v>
          </cell>
          <cell r="J511" t="str">
            <v>Multi-Use Personal File Cart and Caster Set, Three Stacking Bins</v>
          </cell>
          <cell r="K511" t="str">
            <v>Office Supplies</v>
          </cell>
          <cell r="L511" t="str">
            <v>Small Box</v>
          </cell>
          <cell r="M511" t="str">
            <v>Regular Air</v>
          </cell>
          <cell r="N511">
            <v>41978</v>
          </cell>
          <cell r="O511">
            <v>14.95</v>
          </cell>
          <cell r="P511">
            <v>34.76</v>
          </cell>
          <cell r="Q511">
            <v>8</v>
          </cell>
          <cell r="R511">
            <v>278.08</v>
          </cell>
          <cell r="S511">
            <v>7.0000000000000007E-2</v>
          </cell>
          <cell r="T511">
            <v>19.465600000000002</v>
          </cell>
          <cell r="U511">
            <v>278.01</v>
          </cell>
          <cell r="V511">
            <v>8.2200000000000006</v>
          </cell>
          <cell r="W511">
            <v>286.23</v>
          </cell>
        </row>
        <row r="512">
          <cell r="A512" t="str">
            <v>5706-1</v>
          </cell>
          <cell r="B512">
            <v>41978</v>
          </cell>
          <cell r="C512" t="str">
            <v>Janet Martin</v>
          </cell>
          <cell r="D512" t="str">
            <v>24 Addison Rd,Marrickville</v>
          </cell>
          <cell r="E512" t="str">
            <v>Sydney</v>
          </cell>
          <cell r="F512" t="str">
            <v>NSW</v>
          </cell>
          <cell r="G512" t="str">
            <v>Corporate</v>
          </cell>
          <cell r="H512" t="str">
            <v>Radhya Staples</v>
          </cell>
          <cell r="I512" t="str">
            <v>Medium</v>
          </cell>
          <cell r="J512" t="str">
            <v>Colored Envelopes</v>
          </cell>
          <cell r="K512" t="str">
            <v>Office Supplies</v>
          </cell>
          <cell r="L512" t="str">
            <v>Small Box</v>
          </cell>
          <cell r="M512" t="str">
            <v>Express Air</v>
          </cell>
          <cell r="N512">
            <v>41979</v>
          </cell>
          <cell r="O512">
            <v>2.25</v>
          </cell>
          <cell r="P512">
            <v>3.69</v>
          </cell>
          <cell r="Q512">
            <v>41</v>
          </cell>
          <cell r="R512">
            <v>151.29</v>
          </cell>
          <cell r="S512">
            <v>0.08</v>
          </cell>
          <cell r="T512">
            <v>12.103199999999999</v>
          </cell>
          <cell r="U512">
            <v>151.20999999999998</v>
          </cell>
          <cell r="V512">
            <v>2.5</v>
          </cell>
          <cell r="W512">
            <v>153.70999999999998</v>
          </cell>
        </row>
        <row r="513">
          <cell r="A513" t="str">
            <v>5708-1</v>
          </cell>
          <cell r="B513">
            <v>41979</v>
          </cell>
          <cell r="C513" t="str">
            <v>Vivek Gonzalez</v>
          </cell>
          <cell r="D513" t="str">
            <v>53 Riley Street,Woolloomooloo</v>
          </cell>
          <cell r="E513" t="str">
            <v>Sydney</v>
          </cell>
          <cell r="F513" t="str">
            <v>NSW</v>
          </cell>
          <cell r="G513" t="str">
            <v>Consumer</v>
          </cell>
          <cell r="H513" t="str">
            <v>Tina Carlton</v>
          </cell>
          <cell r="I513" t="str">
            <v>Not Specified</v>
          </cell>
          <cell r="J513" t="str">
            <v>Artisan Round Ring Poly Binders</v>
          </cell>
          <cell r="K513" t="str">
            <v>Office Supplies</v>
          </cell>
          <cell r="L513" t="str">
            <v>Small Box</v>
          </cell>
          <cell r="M513" t="str">
            <v>Express Air</v>
          </cell>
          <cell r="N513">
            <v>41981</v>
          </cell>
          <cell r="O513">
            <v>1.82</v>
          </cell>
          <cell r="P513">
            <v>2.84</v>
          </cell>
          <cell r="Q513">
            <v>21</v>
          </cell>
          <cell r="R513">
            <v>59.64</v>
          </cell>
          <cell r="S513">
            <v>0.01</v>
          </cell>
          <cell r="T513">
            <v>0.59640000000000004</v>
          </cell>
          <cell r="U513">
            <v>59.63</v>
          </cell>
          <cell r="V513">
            <v>5.44</v>
          </cell>
          <cell r="W513">
            <v>65.070000000000007</v>
          </cell>
        </row>
        <row r="514">
          <cell r="A514" t="str">
            <v>5710-1</v>
          </cell>
          <cell r="B514">
            <v>41981</v>
          </cell>
          <cell r="C514" t="str">
            <v>Robert Barroso</v>
          </cell>
          <cell r="D514" t="str">
            <v>163 Concord Road,North Strathfield</v>
          </cell>
          <cell r="E514" t="str">
            <v>Sydney</v>
          </cell>
          <cell r="F514" t="str">
            <v>NSW</v>
          </cell>
          <cell r="G514" t="str">
            <v>Small Business</v>
          </cell>
          <cell r="H514" t="str">
            <v>Charlie Bui</v>
          </cell>
          <cell r="I514" t="str">
            <v>High</v>
          </cell>
          <cell r="J514" t="str">
            <v>Deluxe Rollaway Locking File with Drawer</v>
          </cell>
          <cell r="K514" t="str">
            <v>Office Supplies</v>
          </cell>
          <cell r="L514" t="str">
            <v>Small Box</v>
          </cell>
          <cell r="M514" t="str">
            <v>Regular Air</v>
          </cell>
          <cell r="N514">
            <v>41983</v>
          </cell>
          <cell r="O514">
            <v>178.83</v>
          </cell>
          <cell r="P514">
            <v>415.88</v>
          </cell>
          <cell r="Q514">
            <v>4</v>
          </cell>
          <cell r="R514">
            <v>1663.52</v>
          </cell>
          <cell r="S514">
            <v>0.03</v>
          </cell>
          <cell r="T514">
            <v>49.9056</v>
          </cell>
          <cell r="U514">
            <v>1663.49</v>
          </cell>
          <cell r="V514">
            <v>11.37</v>
          </cell>
          <cell r="W514">
            <v>1674.86</v>
          </cell>
        </row>
        <row r="515">
          <cell r="A515" t="str">
            <v>5711-1</v>
          </cell>
          <cell r="B515">
            <v>41982</v>
          </cell>
          <cell r="C515" t="str">
            <v>Linda Southworth</v>
          </cell>
          <cell r="D515" t="str">
            <v>359 Crown Street,Surry Hills</v>
          </cell>
          <cell r="E515" t="str">
            <v>Sydney</v>
          </cell>
          <cell r="F515" t="str">
            <v>NSW</v>
          </cell>
          <cell r="G515" t="str">
            <v>Consumer</v>
          </cell>
          <cell r="H515" t="str">
            <v>Phoebe Gour</v>
          </cell>
          <cell r="I515" t="str">
            <v>Medium</v>
          </cell>
          <cell r="J515" t="str">
            <v>Xit Blank Computer Paper</v>
          </cell>
          <cell r="K515" t="str">
            <v>Office Supplies</v>
          </cell>
          <cell r="L515" t="str">
            <v>Small Box</v>
          </cell>
          <cell r="M515" t="str">
            <v>Regular Air</v>
          </cell>
          <cell r="N515">
            <v>41984</v>
          </cell>
          <cell r="O515">
            <v>12.39</v>
          </cell>
          <cell r="P515">
            <v>19.98</v>
          </cell>
          <cell r="Q515">
            <v>48</v>
          </cell>
          <cell r="R515">
            <v>959.04</v>
          </cell>
          <cell r="S515">
            <v>0.01</v>
          </cell>
          <cell r="T515">
            <v>9.5904000000000007</v>
          </cell>
          <cell r="U515">
            <v>959.03</v>
          </cell>
          <cell r="V515">
            <v>5.77</v>
          </cell>
          <cell r="W515">
            <v>964.8</v>
          </cell>
        </row>
        <row r="516">
          <cell r="A516" t="str">
            <v>5712-1</v>
          </cell>
          <cell r="B516">
            <v>41983</v>
          </cell>
          <cell r="C516" t="str">
            <v>Bart Watters</v>
          </cell>
          <cell r="D516" t="str">
            <v>Westfield 1 Anderson St,Chatswood</v>
          </cell>
          <cell r="E516" t="str">
            <v>Sydney</v>
          </cell>
          <cell r="F516" t="str">
            <v>NSW</v>
          </cell>
          <cell r="G516" t="str">
            <v>Corporate</v>
          </cell>
          <cell r="H516" t="str">
            <v>Nicholas Fernandes</v>
          </cell>
          <cell r="I516" t="str">
            <v>Not Specified</v>
          </cell>
          <cell r="J516" t="str">
            <v>Apex Box Cutter Scissors</v>
          </cell>
          <cell r="K516" t="str">
            <v>Office Supplies</v>
          </cell>
          <cell r="L516" t="str">
            <v>Small Pack</v>
          </cell>
          <cell r="M516" t="str">
            <v>Regular Air</v>
          </cell>
          <cell r="N516">
            <v>41984</v>
          </cell>
          <cell r="O516">
            <v>4.1900000000000004</v>
          </cell>
          <cell r="P516">
            <v>10.23</v>
          </cell>
          <cell r="Q516">
            <v>46</v>
          </cell>
          <cell r="R516">
            <v>470.58000000000004</v>
          </cell>
          <cell r="S516">
            <v>0.01</v>
          </cell>
          <cell r="T516">
            <v>4.7058000000000009</v>
          </cell>
          <cell r="U516">
            <v>470.57000000000005</v>
          </cell>
          <cell r="V516">
            <v>4.68</v>
          </cell>
          <cell r="W516">
            <v>475.25000000000006</v>
          </cell>
        </row>
        <row r="517">
          <cell r="A517" t="str">
            <v>5713-1</v>
          </cell>
          <cell r="B517">
            <v>41983</v>
          </cell>
          <cell r="C517" t="str">
            <v>Marc Crier</v>
          </cell>
          <cell r="D517" t="str">
            <v>Westfield Sydney,Sydney</v>
          </cell>
          <cell r="E517" t="str">
            <v>Sydney</v>
          </cell>
          <cell r="F517" t="str">
            <v>NSW</v>
          </cell>
          <cell r="G517" t="str">
            <v>Corporate</v>
          </cell>
          <cell r="H517" t="str">
            <v>Natasha Song</v>
          </cell>
          <cell r="I517" t="str">
            <v>Low</v>
          </cell>
          <cell r="J517" t="str">
            <v>Laser Neon Mac Format Diskettes, 10/Pack</v>
          </cell>
          <cell r="K517" t="str">
            <v>Technology</v>
          </cell>
          <cell r="L517" t="str">
            <v>Small Pack</v>
          </cell>
          <cell r="M517" t="str">
            <v>Regular Air</v>
          </cell>
          <cell r="N517">
            <v>41985</v>
          </cell>
          <cell r="O517">
            <v>1.87</v>
          </cell>
          <cell r="P517">
            <v>8.1199999999999992</v>
          </cell>
          <cell r="Q517">
            <v>11</v>
          </cell>
          <cell r="R517">
            <v>89.32</v>
          </cell>
          <cell r="S517">
            <v>0.06</v>
          </cell>
          <cell r="T517">
            <v>5.3591999999999995</v>
          </cell>
          <cell r="U517">
            <v>89.259999999999991</v>
          </cell>
          <cell r="V517">
            <v>2.83</v>
          </cell>
          <cell r="W517">
            <v>92.089999999999989</v>
          </cell>
        </row>
        <row r="518">
          <cell r="A518" t="str">
            <v>5715-1</v>
          </cell>
          <cell r="B518">
            <v>41986</v>
          </cell>
          <cell r="C518" t="str">
            <v>Mike Kennedy</v>
          </cell>
          <cell r="D518" t="str">
            <v>99 Lygon Street,East Brunswick</v>
          </cell>
          <cell r="E518" t="str">
            <v>Melbourne</v>
          </cell>
          <cell r="F518" t="str">
            <v>VIC</v>
          </cell>
          <cell r="G518" t="str">
            <v>Corporate</v>
          </cell>
          <cell r="H518" t="str">
            <v>Connor Betts</v>
          </cell>
          <cell r="I518" t="str">
            <v>High</v>
          </cell>
          <cell r="J518" t="str">
            <v>Alto Parchment Paper, Assorted Colors</v>
          </cell>
          <cell r="K518" t="str">
            <v>Office Supplies</v>
          </cell>
          <cell r="L518" t="str">
            <v>Small Box</v>
          </cell>
          <cell r="M518" t="str">
            <v>Regular Air</v>
          </cell>
          <cell r="N518">
            <v>41988</v>
          </cell>
          <cell r="O518">
            <v>4.59</v>
          </cell>
          <cell r="P518">
            <v>7.28</v>
          </cell>
          <cell r="Q518">
            <v>36</v>
          </cell>
          <cell r="R518">
            <v>262.08</v>
          </cell>
          <cell r="S518">
            <v>0.05</v>
          </cell>
          <cell r="T518">
            <v>13.103999999999999</v>
          </cell>
          <cell r="U518">
            <v>262.02999999999997</v>
          </cell>
          <cell r="V518">
            <v>11.15</v>
          </cell>
          <cell r="W518">
            <v>273.17999999999995</v>
          </cell>
        </row>
        <row r="519">
          <cell r="A519" t="str">
            <v>5717-1</v>
          </cell>
          <cell r="B519">
            <v>41989</v>
          </cell>
          <cell r="C519" t="str">
            <v>Harry Greene</v>
          </cell>
          <cell r="D519" t="str">
            <v>470 Anzac Parade,Kingsford</v>
          </cell>
          <cell r="E519" t="str">
            <v>Sydney</v>
          </cell>
          <cell r="F519" t="str">
            <v>NSW</v>
          </cell>
          <cell r="G519" t="str">
            <v>Corporate</v>
          </cell>
          <cell r="H519" t="str">
            <v>Tina Carlton</v>
          </cell>
          <cell r="I519" t="str">
            <v>Medium</v>
          </cell>
          <cell r="J519" t="str">
            <v>Self-Adhesive Ring Binder Labels</v>
          </cell>
          <cell r="K519" t="str">
            <v>Office Supplies</v>
          </cell>
          <cell r="L519" t="str">
            <v>Small Box</v>
          </cell>
          <cell r="M519" t="str">
            <v>Regular Air</v>
          </cell>
          <cell r="N519">
            <v>41991</v>
          </cell>
          <cell r="O519">
            <v>2.1800000000000002</v>
          </cell>
          <cell r="P519">
            <v>3.52</v>
          </cell>
          <cell r="Q519">
            <v>23</v>
          </cell>
          <cell r="R519">
            <v>80.959999999999994</v>
          </cell>
          <cell r="S519">
            <v>7.0000000000000007E-2</v>
          </cell>
          <cell r="T519">
            <v>5.6672000000000002</v>
          </cell>
          <cell r="U519">
            <v>80.89</v>
          </cell>
          <cell r="V519">
            <v>6.83</v>
          </cell>
          <cell r="W519">
            <v>87.72</v>
          </cell>
        </row>
        <row r="520">
          <cell r="A520" t="str">
            <v>5718-1</v>
          </cell>
          <cell r="B520">
            <v>41995</v>
          </cell>
          <cell r="C520" t="str">
            <v>Theone Pippenger</v>
          </cell>
          <cell r="D520" t="str">
            <v>188 Pitt Street,Sydney</v>
          </cell>
          <cell r="E520" t="str">
            <v>Sydney</v>
          </cell>
          <cell r="F520" t="str">
            <v>NSW</v>
          </cell>
          <cell r="G520" t="str">
            <v>Corporate</v>
          </cell>
          <cell r="H520" t="str">
            <v>Tina Carlton</v>
          </cell>
          <cell r="I520" t="str">
            <v>Medium</v>
          </cell>
          <cell r="J520" t="str">
            <v>Colored Push Pins</v>
          </cell>
          <cell r="K520" t="str">
            <v>Office Supplies</v>
          </cell>
          <cell r="L520" t="str">
            <v>Wrap Bag</v>
          </cell>
          <cell r="M520" t="str">
            <v>Regular Air</v>
          </cell>
          <cell r="N520">
            <v>41996</v>
          </cell>
          <cell r="O520">
            <v>0.92</v>
          </cell>
          <cell r="P520">
            <v>1.81</v>
          </cell>
          <cell r="Q520">
            <v>48</v>
          </cell>
          <cell r="R520">
            <v>86.88</v>
          </cell>
          <cell r="S520">
            <v>0.1</v>
          </cell>
          <cell r="T520">
            <v>8.6880000000000006</v>
          </cell>
          <cell r="U520">
            <v>86.78</v>
          </cell>
          <cell r="V520">
            <v>1.56</v>
          </cell>
          <cell r="W520">
            <v>88.34</v>
          </cell>
        </row>
        <row r="521">
          <cell r="A521" t="str">
            <v>5719-1</v>
          </cell>
          <cell r="B521">
            <v>41998</v>
          </cell>
          <cell r="C521" t="str">
            <v>Brian Stugart</v>
          </cell>
          <cell r="D521" t="str">
            <v>88 Oxford St,Woollahra</v>
          </cell>
          <cell r="E521" t="str">
            <v>Sydney</v>
          </cell>
          <cell r="F521" t="str">
            <v>NSW</v>
          </cell>
          <cell r="G521" t="str">
            <v>Consumer</v>
          </cell>
          <cell r="H521" t="str">
            <v>Charlie Bui</v>
          </cell>
          <cell r="I521" t="str">
            <v>Medium</v>
          </cell>
          <cell r="J521" t="str">
            <v>Cando PC940 Copier</v>
          </cell>
          <cell r="K521" t="str">
            <v>Technology</v>
          </cell>
          <cell r="L521" t="str">
            <v>Large Box</v>
          </cell>
          <cell r="M521" t="str">
            <v>Regular Air</v>
          </cell>
          <cell r="N521">
            <v>42000</v>
          </cell>
          <cell r="O521">
            <v>216</v>
          </cell>
          <cell r="P521">
            <v>449.99</v>
          </cell>
          <cell r="Q521">
            <v>10</v>
          </cell>
          <cell r="R521">
            <v>4499.8999999999996</v>
          </cell>
          <cell r="S521">
            <v>0.01</v>
          </cell>
          <cell r="T521">
            <v>44.998999999999995</v>
          </cell>
          <cell r="U521">
            <v>4499.8899999999994</v>
          </cell>
          <cell r="V521">
            <v>24.49</v>
          </cell>
          <cell r="W521">
            <v>4524.3799999999992</v>
          </cell>
        </row>
        <row r="522">
          <cell r="A522" t="str">
            <v>5720-1</v>
          </cell>
          <cell r="B522">
            <v>41999</v>
          </cell>
          <cell r="C522" t="str">
            <v>Arthur Gainer</v>
          </cell>
          <cell r="D522" t="str">
            <v>180 High Street,Windsor</v>
          </cell>
          <cell r="E522" t="str">
            <v>Melbourne</v>
          </cell>
          <cell r="F522" t="str">
            <v>VIC</v>
          </cell>
          <cell r="G522" t="str">
            <v>Consumer</v>
          </cell>
          <cell r="H522" t="str">
            <v>Connor Betts</v>
          </cell>
          <cell r="I522" t="str">
            <v>High</v>
          </cell>
          <cell r="J522" t="str">
            <v>Smiths Metal Binder Clips</v>
          </cell>
          <cell r="K522" t="str">
            <v>Office Supplies</v>
          </cell>
          <cell r="L522" t="str">
            <v>Wrap Bag</v>
          </cell>
          <cell r="M522" t="str">
            <v>Regular Air</v>
          </cell>
          <cell r="N522">
            <v>42002</v>
          </cell>
          <cell r="O522">
            <v>1.6</v>
          </cell>
          <cell r="P522">
            <v>2.62</v>
          </cell>
          <cell r="Q522">
            <v>37</v>
          </cell>
          <cell r="R522">
            <v>96.94</v>
          </cell>
          <cell r="S522">
            <v>0.01</v>
          </cell>
          <cell r="T522">
            <v>0.96940000000000004</v>
          </cell>
          <cell r="U522">
            <v>96.929999999999993</v>
          </cell>
          <cell r="V522">
            <v>0.8</v>
          </cell>
          <cell r="W522">
            <v>97.72999999999999</v>
          </cell>
        </row>
        <row r="523">
          <cell r="A523" t="str">
            <v>5721-1</v>
          </cell>
          <cell r="B523">
            <v>41999</v>
          </cell>
          <cell r="C523" t="str">
            <v>Greg Guthrie</v>
          </cell>
          <cell r="D523" t="str">
            <v>523 King St,Newtown</v>
          </cell>
          <cell r="E523" t="str">
            <v>Sydney</v>
          </cell>
          <cell r="F523" t="str">
            <v>NSW</v>
          </cell>
          <cell r="G523" t="str">
            <v>Small Business</v>
          </cell>
          <cell r="H523" t="str">
            <v>Aanya Zhang</v>
          </cell>
          <cell r="I523" t="str">
            <v>High</v>
          </cell>
          <cell r="J523" t="str">
            <v>Smiths Standard Envelopes</v>
          </cell>
          <cell r="K523" t="str">
            <v>Office Supplies</v>
          </cell>
          <cell r="L523" t="str">
            <v>Small Box</v>
          </cell>
          <cell r="M523" t="str">
            <v>Regular Air</v>
          </cell>
          <cell r="N523">
            <v>42002</v>
          </cell>
          <cell r="O523">
            <v>3.52</v>
          </cell>
          <cell r="P523">
            <v>5.68</v>
          </cell>
          <cell r="Q523">
            <v>42</v>
          </cell>
          <cell r="R523">
            <v>238.56</v>
          </cell>
          <cell r="S523">
            <v>0.05</v>
          </cell>
          <cell r="T523">
            <v>11.928000000000001</v>
          </cell>
          <cell r="U523">
            <v>238.51</v>
          </cell>
          <cell r="V523">
            <v>1.39</v>
          </cell>
          <cell r="W523">
            <v>239.89999999999998</v>
          </cell>
        </row>
        <row r="524">
          <cell r="A524" t="str">
            <v>5722-1</v>
          </cell>
          <cell r="B524">
            <v>42000</v>
          </cell>
          <cell r="C524" t="str">
            <v>Matthew Grinstein</v>
          </cell>
          <cell r="D524" t="str">
            <v>105 Pitt St,Sydney</v>
          </cell>
          <cell r="E524" t="str">
            <v>Sydney</v>
          </cell>
          <cell r="F524" t="str">
            <v>NSW</v>
          </cell>
          <cell r="G524" t="str">
            <v>Small Business</v>
          </cell>
          <cell r="H524" t="str">
            <v>Charlie Bui</v>
          </cell>
          <cell r="I524" t="str">
            <v>Critical</v>
          </cell>
          <cell r="J524" t="str">
            <v>Artisan 479 Labels</v>
          </cell>
          <cell r="K524" t="str">
            <v>Office Supplies</v>
          </cell>
          <cell r="L524" t="str">
            <v>Small Box</v>
          </cell>
          <cell r="M524" t="str">
            <v>Express Air</v>
          </cell>
          <cell r="N524">
            <v>42001</v>
          </cell>
          <cell r="O524">
            <v>1.59</v>
          </cell>
          <cell r="P524">
            <v>2.61</v>
          </cell>
          <cell r="Q524">
            <v>37</v>
          </cell>
          <cell r="R524">
            <v>96.57</v>
          </cell>
          <cell r="S524">
            <v>0.09</v>
          </cell>
          <cell r="T524">
            <v>8.6912999999999982</v>
          </cell>
          <cell r="U524">
            <v>96.47999999999999</v>
          </cell>
          <cell r="V524">
            <v>0.5</v>
          </cell>
          <cell r="W524">
            <v>96.97999999999999</v>
          </cell>
        </row>
        <row r="525">
          <cell r="A525" t="str">
            <v>5728-1</v>
          </cell>
          <cell r="B525">
            <v>42001</v>
          </cell>
          <cell r="C525" t="str">
            <v>Charles Crestani</v>
          </cell>
          <cell r="D525" t="str">
            <v>Sydney Fish Market, Bank Street, Sydney</v>
          </cell>
          <cell r="E525" t="str">
            <v>Sydney</v>
          </cell>
          <cell r="F525" t="str">
            <v>NSW</v>
          </cell>
          <cell r="G525" t="str">
            <v>Consumer</v>
          </cell>
          <cell r="H525" t="str">
            <v>Phoebe Gour</v>
          </cell>
          <cell r="I525" t="str">
            <v>High</v>
          </cell>
          <cell r="J525" t="str">
            <v>Alto Perma 3000 Stacking Storage Drawers</v>
          </cell>
          <cell r="K525" t="str">
            <v>Office Supplies</v>
          </cell>
          <cell r="L525" t="str">
            <v>Small Box</v>
          </cell>
          <cell r="M525" t="str">
            <v>Regular Air</v>
          </cell>
          <cell r="N525">
            <v>42003</v>
          </cell>
          <cell r="O525">
            <v>7.13</v>
          </cell>
          <cell r="P525">
            <v>20.98</v>
          </cell>
          <cell r="Q525">
            <v>47</v>
          </cell>
          <cell r="R525">
            <v>986.06000000000006</v>
          </cell>
          <cell r="S525">
            <v>0.01</v>
          </cell>
          <cell r="T525">
            <v>9.8606000000000016</v>
          </cell>
          <cell r="U525">
            <v>986.05000000000007</v>
          </cell>
          <cell r="V525">
            <v>5.42</v>
          </cell>
          <cell r="W525">
            <v>991.47</v>
          </cell>
        </row>
        <row r="526">
          <cell r="A526" t="str">
            <v>5730-1</v>
          </cell>
          <cell r="B526">
            <v>42001</v>
          </cell>
          <cell r="C526" t="str">
            <v>Tim Taslimi</v>
          </cell>
          <cell r="D526" t="str">
            <v>188 Pitt Street,Sydney</v>
          </cell>
          <cell r="E526" t="str">
            <v>Sydney</v>
          </cell>
          <cell r="F526" t="str">
            <v>NSW</v>
          </cell>
          <cell r="G526" t="str">
            <v>Corporate</v>
          </cell>
          <cell r="H526" t="str">
            <v>Tina Carlton</v>
          </cell>
          <cell r="I526" t="str">
            <v>Not Specified</v>
          </cell>
          <cell r="J526" t="str">
            <v>Desktop 3-Pocket Hot File</v>
          </cell>
          <cell r="K526" t="str">
            <v>Office Supplies</v>
          </cell>
          <cell r="L526" t="str">
            <v>Small Box</v>
          </cell>
          <cell r="M526" t="str">
            <v>Regular Air</v>
          </cell>
          <cell r="N526">
            <v>42001</v>
          </cell>
          <cell r="O526">
            <v>22.18</v>
          </cell>
          <cell r="P526">
            <v>54.1</v>
          </cell>
          <cell r="Q526">
            <v>5</v>
          </cell>
          <cell r="R526">
            <v>270.5</v>
          </cell>
          <cell r="S526">
            <v>0.04</v>
          </cell>
          <cell r="T526">
            <v>10.82</v>
          </cell>
          <cell r="U526">
            <v>270.45999999999998</v>
          </cell>
          <cell r="V526">
            <v>19.989999999999998</v>
          </cell>
          <cell r="W526">
            <v>290.45</v>
          </cell>
        </row>
        <row r="527">
          <cell r="A527" t="str">
            <v>5731-1</v>
          </cell>
          <cell r="B527">
            <v>42003</v>
          </cell>
          <cell r="C527" t="str">
            <v>Christine Sundaresam</v>
          </cell>
          <cell r="D527" t="str">
            <v>7 Khartoum Rd,Macquarie Park</v>
          </cell>
          <cell r="E527" t="str">
            <v>Sydney</v>
          </cell>
          <cell r="F527" t="str">
            <v>NSW</v>
          </cell>
          <cell r="G527" t="str">
            <v>Small Business</v>
          </cell>
          <cell r="H527" t="str">
            <v>Preston Senome</v>
          </cell>
          <cell r="I527" t="str">
            <v>Not Specified</v>
          </cell>
          <cell r="J527" t="str">
            <v>Artisan Round Ring Poly Binders</v>
          </cell>
          <cell r="K527" t="str">
            <v>Office Supplies</v>
          </cell>
          <cell r="L527" t="str">
            <v>Small Box</v>
          </cell>
          <cell r="M527" t="str">
            <v>Regular Air</v>
          </cell>
          <cell r="N527">
            <v>42004</v>
          </cell>
          <cell r="O527">
            <v>1.82</v>
          </cell>
          <cell r="P527">
            <v>2.84</v>
          </cell>
          <cell r="Q527">
            <v>27</v>
          </cell>
          <cell r="R527">
            <v>76.679999999999993</v>
          </cell>
          <cell r="S527">
            <v>0.03</v>
          </cell>
          <cell r="T527">
            <v>2.3003999999999998</v>
          </cell>
          <cell r="U527">
            <v>76.649999999999991</v>
          </cell>
          <cell r="V527">
            <v>5.44</v>
          </cell>
          <cell r="W527">
            <v>82.089999999999989</v>
          </cell>
        </row>
        <row r="528">
          <cell r="A528" t="str">
            <v>5732-1</v>
          </cell>
          <cell r="B528">
            <v>42005</v>
          </cell>
          <cell r="C528" t="str">
            <v>Michael Oakman</v>
          </cell>
          <cell r="D528" t="str">
            <v>8 Rankins Lane ,Melbourne</v>
          </cell>
          <cell r="E528" t="str">
            <v>Melbourne</v>
          </cell>
          <cell r="F528" t="str">
            <v>VIC</v>
          </cell>
          <cell r="G528" t="str">
            <v>Small Business</v>
          </cell>
          <cell r="H528" t="str">
            <v>Connor Betts</v>
          </cell>
          <cell r="I528" t="str">
            <v>Not Specified</v>
          </cell>
          <cell r="J528" t="str">
            <v>Apex Design Stainless Steel Bent Scissors</v>
          </cell>
          <cell r="K528" t="str">
            <v>Office Supplies</v>
          </cell>
          <cell r="L528" t="str">
            <v>Small Pack</v>
          </cell>
          <cell r="M528" t="str">
            <v>Regular Air</v>
          </cell>
          <cell r="N528">
            <v>42007</v>
          </cell>
          <cell r="O528">
            <v>2.87</v>
          </cell>
          <cell r="P528">
            <v>6.84</v>
          </cell>
          <cell r="Q528">
            <v>35</v>
          </cell>
          <cell r="R528">
            <v>239.4</v>
          </cell>
          <cell r="S528">
            <v>0.01</v>
          </cell>
          <cell r="T528">
            <v>2.3940000000000001</v>
          </cell>
          <cell r="U528">
            <v>239.39000000000001</v>
          </cell>
          <cell r="V528">
            <v>4.42</v>
          </cell>
          <cell r="W528">
            <v>243.81</v>
          </cell>
        </row>
        <row r="529">
          <cell r="A529" t="str">
            <v>5734-1</v>
          </cell>
          <cell r="B529">
            <v>42006</v>
          </cell>
          <cell r="C529" t="str">
            <v>Ellis Ballard</v>
          </cell>
          <cell r="D529" t="str">
            <v>53-55 Liverpool St,Sydney</v>
          </cell>
          <cell r="E529" t="str">
            <v>Sydney</v>
          </cell>
          <cell r="F529" t="str">
            <v>NSW</v>
          </cell>
          <cell r="G529" t="str">
            <v>Corporate</v>
          </cell>
          <cell r="H529" t="str">
            <v>Tina Carlton</v>
          </cell>
          <cell r="I529" t="str">
            <v>Low</v>
          </cell>
          <cell r="J529" t="str">
            <v>600 Series Non-Flip</v>
          </cell>
          <cell r="K529" t="str">
            <v>Technology</v>
          </cell>
          <cell r="L529" t="str">
            <v>Small Box</v>
          </cell>
          <cell r="M529" t="str">
            <v>Regular Air</v>
          </cell>
          <cell r="N529">
            <v>42008</v>
          </cell>
          <cell r="O529">
            <v>19.78</v>
          </cell>
          <cell r="P529">
            <v>45.99</v>
          </cell>
          <cell r="Q529">
            <v>50</v>
          </cell>
          <cell r="R529">
            <v>2299.5</v>
          </cell>
          <cell r="S529">
            <v>0</v>
          </cell>
          <cell r="T529">
            <v>0</v>
          </cell>
          <cell r="U529">
            <v>2299.5</v>
          </cell>
          <cell r="V529">
            <v>4.99</v>
          </cell>
          <cell r="W529">
            <v>2304.4899999999998</v>
          </cell>
        </row>
        <row r="530">
          <cell r="A530" t="str">
            <v>5736-1</v>
          </cell>
          <cell r="B530">
            <v>42006</v>
          </cell>
          <cell r="C530" t="str">
            <v>Dave Hallsten</v>
          </cell>
          <cell r="D530" t="str">
            <v>1 John St,Waterloo</v>
          </cell>
          <cell r="E530" t="str">
            <v>Sydney</v>
          </cell>
          <cell r="F530" t="str">
            <v>NSW</v>
          </cell>
          <cell r="G530" t="str">
            <v>Home Office</v>
          </cell>
          <cell r="H530" t="str">
            <v>Charlie Bui</v>
          </cell>
          <cell r="I530" t="str">
            <v>Medium</v>
          </cell>
          <cell r="J530" t="str">
            <v>Col-Erase Pencils with Erasers</v>
          </cell>
          <cell r="K530" t="str">
            <v>Office Supplies</v>
          </cell>
          <cell r="L530" t="str">
            <v>Wrap Bag</v>
          </cell>
          <cell r="M530" t="str">
            <v>Regular Air</v>
          </cell>
          <cell r="N530">
            <v>42008</v>
          </cell>
          <cell r="O530">
            <v>2.68</v>
          </cell>
          <cell r="P530">
            <v>6.08</v>
          </cell>
          <cell r="Q530">
            <v>30</v>
          </cell>
          <cell r="R530">
            <v>182.4</v>
          </cell>
          <cell r="S530">
            <v>0.04</v>
          </cell>
          <cell r="T530">
            <v>7.2960000000000003</v>
          </cell>
          <cell r="U530">
            <v>182.36</v>
          </cell>
          <cell r="V530">
            <v>1.17</v>
          </cell>
          <cell r="W530">
            <v>183.53</v>
          </cell>
        </row>
        <row r="531">
          <cell r="A531" t="str">
            <v>5737-1</v>
          </cell>
          <cell r="B531">
            <v>42011</v>
          </cell>
          <cell r="C531" t="str">
            <v>Barry Franz</v>
          </cell>
          <cell r="D531" t="str">
            <v>499-501 Lygon Street,Carlton North</v>
          </cell>
          <cell r="E531" t="str">
            <v>Melbourne</v>
          </cell>
          <cell r="F531" t="str">
            <v>VIC</v>
          </cell>
          <cell r="G531" t="str">
            <v>Corporate</v>
          </cell>
          <cell r="H531" t="str">
            <v>Yvette Biti</v>
          </cell>
          <cell r="I531" t="str">
            <v>Medium</v>
          </cell>
          <cell r="J531" t="str">
            <v>Artisan Printable Repositionable Plastic Tabs</v>
          </cell>
          <cell r="K531" t="str">
            <v>Office Supplies</v>
          </cell>
          <cell r="L531" t="str">
            <v>Small Box</v>
          </cell>
          <cell r="M531" t="str">
            <v>Regular Air</v>
          </cell>
          <cell r="N531">
            <v>42013</v>
          </cell>
          <cell r="O531">
            <v>5.33</v>
          </cell>
          <cell r="P531">
            <v>8.6</v>
          </cell>
          <cell r="Q531">
            <v>48</v>
          </cell>
          <cell r="R531">
            <v>412.79999999999995</v>
          </cell>
          <cell r="S531">
            <v>0.02</v>
          </cell>
          <cell r="T531">
            <v>8.2559999999999985</v>
          </cell>
          <cell r="U531">
            <v>412.78</v>
          </cell>
          <cell r="V531">
            <v>6.19</v>
          </cell>
          <cell r="W531">
            <v>418.96999999999997</v>
          </cell>
        </row>
        <row r="532">
          <cell r="A532" t="str">
            <v>5738-1</v>
          </cell>
          <cell r="B532">
            <v>42011</v>
          </cell>
          <cell r="C532" t="str">
            <v>Sarah Brown</v>
          </cell>
          <cell r="D532" t="str">
            <v>10 O'Connell St,Sydney</v>
          </cell>
          <cell r="E532" t="str">
            <v>Sydney</v>
          </cell>
          <cell r="F532" t="str">
            <v>NSW</v>
          </cell>
          <cell r="G532" t="str">
            <v>Consumer</v>
          </cell>
          <cell r="H532" t="str">
            <v>Aanya Zhang</v>
          </cell>
          <cell r="I532" t="str">
            <v>Not Specified</v>
          </cell>
          <cell r="J532" t="str">
            <v>Beekin 6 Outlet Metallic Surge Strip</v>
          </cell>
          <cell r="K532" t="str">
            <v>Office Supplies</v>
          </cell>
          <cell r="L532" t="str">
            <v>Small Box</v>
          </cell>
          <cell r="M532" t="str">
            <v>Express Air</v>
          </cell>
          <cell r="N532">
            <v>42013</v>
          </cell>
          <cell r="O532">
            <v>4.46</v>
          </cell>
          <cell r="P532">
            <v>10.89</v>
          </cell>
          <cell r="Q532">
            <v>37</v>
          </cell>
          <cell r="R532">
            <v>402.93</v>
          </cell>
          <cell r="S532">
            <v>0</v>
          </cell>
          <cell r="T532">
            <v>0</v>
          </cell>
          <cell r="U532">
            <v>402.93</v>
          </cell>
          <cell r="V532">
            <v>4.5</v>
          </cell>
          <cell r="W532">
            <v>407.43</v>
          </cell>
        </row>
        <row r="533">
          <cell r="A533" t="str">
            <v>5740-1</v>
          </cell>
          <cell r="B533">
            <v>42013</v>
          </cell>
          <cell r="C533" t="str">
            <v>Katrina Willman</v>
          </cell>
          <cell r="D533" t="str">
            <v>120 Hardware St,Melbourne</v>
          </cell>
          <cell r="E533" t="str">
            <v>Melbourne</v>
          </cell>
          <cell r="F533" t="str">
            <v>VIC</v>
          </cell>
          <cell r="G533" t="str">
            <v>Consumer</v>
          </cell>
          <cell r="H533" t="str">
            <v>Yvette Biti</v>
          </cell>
          <cell r="I533" t="str">
            <v>High</v>
          </cell>
          <cell r="J533" t="str">
            <v>Assorted Color Push Pins</v>
          </cell>
          <cell r="K533" t="str">
            <v>Office Supplies</v>
          </cell>
          <cell r="L533" t="str">
            <v>Wrap Bag</v>
          </cell>
          <cell r="M533" t="str">
            <v>Regular Air</v>
          </cell>
          <cell r="N533">
            <v>42015</v>
          </cell>
          <cell r="O533">
            <v>0.87</v>
          </cell>
          <cell r="P533">
            <v>1.81</v>
          </cell>
          <cell r="Q533">
            <v>9</v>
          </cell>
          <cell r="R533">
            <v>16.29</v>
          </cell>
          <cell r="S533">
            <v>0.09</v>
          </cell>
          <cell r="T533">
            <v>1.4661</v>
          </cell>
          <cell r="U533">
            <v>16.2</v>
          </cell>
          <cell r="V533">
            <v>0.75</v>
          </cell>
          <cell r="W533">
            <v>16.95</v>
          </cell>
        </row>
        <row r="534">
          <cell r="A534" t="str">
            <v>5741-1</v>
          </cell>
          <cell r="B534">
            <v>42014</v>
          </cell>
          <cell r="C534" t="str">
            <v>Max Jones</v>
          </cell>
          <cell r="D534" t="str">
            <v>240-242 Johnston Street,Fitzroy</v>
          </cell>
          <cell r="E534" t="str">
            <v>Melbourne</v>
          </cell>
          <cell r="F534" t="str">
            <v>VIC</v>
          </cell>
          <cell r="G534" t="str">
            <v>Home Office</v>
          </cell>
          <cell r="H534" t="str">
            <v>Connor Betts</v>
          </cell>
          <cell r="I534" t="str">
            <v>Medium</v>
          </cell>
          <cell r="J534" t="str">
            <v>Artisan Flip-Chart Easel Binder, Black</v>
          </cell>
          <cell r="K534" t="str">
            <v>Office Supplies</v>
          </cell>
          <cell r="L534" t="str">
            <v>Small Box</v>
          </cell>
          <cell r="M534" t="str">
            <v>Regular Air</v>
          </cell>
          <cell r="N534">
            <v>42016</v>
          </cell>
          <cell r="O534">
            <v>13.88</v>
          </cell>
          <cell r="P534">
            <v>22.38</v>
          </cell>
          <cell r="Q534">
            <v>50</v>
          </cell>
          <cell r="R534">
            <v>1119</v>
          </cell>
          <cell r="S534">
            <v>7.0000000000000007E-2</v>
          </cell>
          <cell r="T534">
            <v>78.330000000000013</v>
          </cell>
          <cell r="U534">
            <v>1118.93</v>
          </cell>
          <cell r="V534">
            <v>15.1</v>
          </cell>
          <cell r="W534">
            <v>1134.03</v>
          </cell>
        </row>
        <row r="535">
          <cell r="A535" t="str">
            <v>5742-1</v>
          </cell>
          <cell r="B535">
            <v>42014</v>
          </cell>
          <cell r="C535" t="str">
            <v>Joy Smith</v>
          </cell>
          <cell r="D535" t="str">
            <v>221 Barkly St,St Kilda</v>
          </cell>
          <cell r="E535" t="str">
            <v>Melbourne</v>
          </cell>
          <cell r="F535" t="str">
            <v>VIC</v>
          </cell>
          <cell r="G535" t="str">
            <v>Consumer</v>
          </cell>
          <cell r="H535" t="str">
            <v>Yvette Biti</v>
          </cell>
          <cell r="I535" t="str">
            <v>Low</v>
          </cell>
          <cell r="J535" t="str">
            <v>Steady Liquid Accent Tank-Style Highlighters</v>
          </cell>
          <cell r="K535" t="str">
            <v>Office Supplies</v>
          </cell>
          <cell r="L535" t="str">
            <v>Wrap Bag</v>
          </cell>
          <cell r="M535" t="str">
            <v>Regular Air</v>
          </cell>
          <cell r="N535">
            <v>42014</v>
          </cell>
          <cell r="O535">
            <v>1.31</v>
          </cell>
          <cell r="P535">
            <v>2.84</v>
          </cell>
          <cell r="Q535">
            <v>21</v>
          </cell>
          <cell r="R535">
            <v>59.64</v>
          </cell>
          <cell r="S535">
            <v>0</v>
          </cell>
          <cell r="T535">
            <v>0</v>
          </cell>
          <cell r="U535">
            <v>59.64</v>
          </cell>
          <cell r="V535">
            <v>0.93</v>
          </cell>
          <cell r="W535">
            <v>60.57</v>
          </cell>
        </row>
        <row r="536">
          <cell r="A536" t="str">
            <v>5743-1</v>
          </cell>
          <cell r="B536">
            <v>42015</v>
          </cell>
          <cell r="C536" t="str">
            <v>Katherine Nockton</v>
          </cell>
          <cell r="D536" t="str">
            <v>Crown Complex,Southbank</v>
          </cell>
          <cell r="E536" t="str">
            <v>Melbourne</v>
          </cell>
          <cell r="F536" t="str">
            <v>VIC</v>
          </cell>
          <cell r="G536" t="str">
            <v>Corporate</v>
          </cell>
          <cell r="H536" t="str">
            <v>Yvette Biti</v>
          </cell>
          <cell r="I536" t="str">
            <v>Not Specified</v>
          </cell>
          <cell r="J536" t="str">
            <v>Laser DVD-RAM discs</v>
          </cell>
          <cell r="K536" t="str">
            <v>Technology</v>
          </cell>
          <cell r="L536" t="str">
            <v>Small Pack</v>
          </cell>
          <cell r="M536" t="str">
            <v>Regular Air</v>
          </cell>
          <cell r="N536">
            <v>42016</v>
          </cell>
          <cell r="O536">
            <v>20.18</v>
          </cell>
          <cell r="P536">
            <v>35.409999999999997</v>
          </cell>
          <cell r="Q536">
            <v>1</v>
          </cell>
          <cell r="R536">
            <v>35.409999999999997</v>
          </cell>
          <cell r="S536">
            <v>0</v>
          </cell>
          <cell r="T536">
            <v>0</v>
          </cell>
          <cell r="U536">
            <v>35.409999999999997</v>
          </cell>
          <cell r="V536">
            <v>1.99</v>
          </cell>
          <cell r="W536">
            <v>37.4</v>
          </cell>
        </row>
        <row r="537">
          <cell r="A537" t="str">
            <v>5745-1</v>
          </cell>
          <cell r="B537">
            <v>42015</v>
          </cell>
          <cell r="C537" t="str">
            <v>Troy Blackwell</v>
          </cell>
          <cell r="D537" t="str">
            <v>3/219 Canley Vale Road,Canley Heights</v>
          </cell>
          <cell r="E537" t="str">
            <v>Sydney</v>
          </cell>
          <cell r="F537" t="str">
            <v>NSW</v>
          </cell>
          <cell r="G537" t="str">
            <v>Home Office</v>
          </cell>
          <cell r="H537" t="str">
            <v>Mihael Khan</v>
          </cell>
          <cell r="I537" t="str">
            <v>Not Specified</v>
          </cell>
          <cell r="J537" t="str">
            <v>Steady EarthWrite Recycled Pencils, Medium Soft, #2</v>
          </cell>
          <cell r="K537" t="str">
            <v>Office Supplies</v>
          </cell>
          <cell r="L537" t="str">
            <v>Wrap Bag</v>
          </cell>
          <cell r="M537" t="str">
            <v>Regular Air</v>
          </cell>
          <cell r="N537">
            <v>42017</v>
          </cell>
          <cell r="O537">
            <v>0.9</v>
          </cell>
          <cell r="P537">
            <v>2.1</v>
          </cell>
          <cell r="Q537">
            <v>23</v>
          </cell>
          <cell r="R537">
            <v>48.300000000000004</v>
          </cell>
          <cell r="S537">
            <v>0.06</v>
          </cell>
          <cell r="T537">
            <v>2.8980000000000001</v>
          </cell>
          <cell r="U537">
            <v>48.24</v>
          </cell>
          <cell r="V537">
            <v>0.7</v>
          </cell>
          <cell r="W537">
            <v>48.940000000000005</v>
          </cell>
        </row>
        <row r="538">
          <cell r="A538" t="str">
            <v>5747-1</v>
          </cell>
          <cell r="B538">
            <v>42016</v>
          </cell>
          <cell r="C538" t="str">
            <v>Jim Sink</v>
          </cell>
          <cell r="D538" t="str">
            <v>Westfield Miranda, 600 Kingsway,Miranda</v>
          </cell>
          <cell r="E538" t="str">
            <v>Sydney</v>
          </cell>
          <cell r="F538" t="str">
            <v>NSW</v>
          </cell>
          <cell r="G538" t="str">
            <v>Corporate</v>
          </cell>
          <cell r="H538" t="str">
            <v>Preston Senome</v>
          </cell>
          <cell r="I538" t="str">
            <v>Not Specified</v>
          </cell>
          <cell r="J538" t="str">
            <v>Smiths Standard Envelopes</v>
          </cell>
          <cell r="K538" t="str">
            <v>Office Supplies</v>
          </cell>
          <cell r="L538" t="str">
            <v>Small Box</v>
          </cell>
          <cell r="M538" t="str">
            <v>Regular Air</v>
          </cell>
          <cell r="N538">
            <v>42018</v>
          </cell>
          <cell r="O538">
            <v>3.52</v>
          </cell>
          <cell r="P538">
            <v>5.68</v>
          </cell>
          <cell r="Q538">
            <v>18</v>
          </cell>
          <cell r="R538">
            <v>102.24</v>
          </cell>
          <cell r="S538">
            <v>0.06</v>
          </cell>
          <cell r="T538">
            <v>6.1343999999999994</v>
          </cell>
          <cell r="U538">
            <v>102.17999999999999</v>
          </cell>
          <cell r="V538">
            <v>1.39</v>
          </cell>
          <cell r="W538">
            <v>103.57</v>
          </cell>
        </row>
        <row r="539">
          <cell r="A539" t="str">
            <v>5749-1</v>
          </cell>
          <cell r="B539">
            <v>42016</v>
          </cell>
          <cell r="C539" t="str">
            <v>Jenna Caffey</v>
          </cell>
          <cell r="D539" t="str">
            <v>470 Anzac Parade,Kingsford</v>
          </cell>
          <cell r="E539" t="str">
            <v>Sydney</v>
          </cell>
          <cell r="F539" t="str">
            <v>NSW</v>
          </cell>
          <cell r="G539" t="str">
            <v>Consumer</v>
          </cell>
          <cell r="H539" t="str">
            <v>Tina Carlton</v>
          </cell>
          <cell r="I539" t="str">
            <v>Critical</v>
          </cell>
          <cell r="J539" t="str">
            <v>Wirebound Voice Message Log Book</v>
          </cell>
          <cell r="K539" t="str">
            <v>Office Supplies</v>
          </cell>
          <cell r="L539" t="str">
            <v>Wrap Bag</v>
          </cell>
          <cell r="M539" t="str">
            <v>Regular Air</v>
          </cell>
          <cell r="N539">
            <v>42017</v>
          </cell>
          <cell r="O539">
            <v>2.9</v>
          </cell>
          <cell r="P539">
            <v>4.76</v>
          </cell>
          <cell r="Q539">
            <v>42</v>
          </cell>
          <cell r="R539">
            <v>199.92</v>
          </cell>
          <cell r="S539">
            <v>7.0000000000000007E-2</v>
          </cell>
          <cell r="T539">
            <v>13.994400000000001</v>
          </cell>
          <cell r="U539">
            <v>199.85</v>
          </cell>
          <cell r="V539">
            <v>0.88</v>
          </cell>
          <cell r="W539">
            <v>200.73</v>
          </cell>
        </row>
        <row r="540">
          <cell r="A540" t="str">
            <v>5750-1</v>
          </cell>
          <cell r="B540">
            <v>42017</v>
          </cell>
          <cell r="C540" t="str">
            <v>Stephanie Ulpright</v>
          </cell>
          <cell r="D540" t="str">
            <v>541 Church St ,Richmond</v>
          </cell>
          <cell r="E540" t="str">
            <v>Melbourne</v>
          </cell>
          <cell r="F540" t="str">
            <v>VIC</v>
          </cell>
          <cell r="G540" t="str">
            <v>Consumer</v>
          </cell>
          <cell r="H540" t="str">
            <v>Yvette Biti</v>
          </cell>
          <cell r="I540" t="str">
            <v>High</v>
          </cell>
          <cell r="J540" t="str">
            <v>Apex Design Stainless Steel Bent Scissors</v>
          </cell>
          <cell r="K540" t="str">
            <v>Office Supplies</v>
          </cell>
          <cell r="L540" t="str">
            <v>Small Pack</v>
          </cell>
          <cell r="M540" t="str">
            <v>Regular Air</v>
          </cell>
          <cell r="N540">
            <v>42018</v>
          </cell>
          <cell r="O540">
            <v>2.87</v>
          </cell>
          <cell r="P540">
            <v>6.84</v>
          </cell>
          <cell r="Q540">
            <v>26</v>
          </cell>
          <cell r="R540">
            <v>177.84</v>
          </cell>
          <cell r="S540">
            <v>0.08</v>
          </cell>
          <cell r="T540">
            <v>14.2272</v>
          </cell>
          <cell r="U540">
            <v>177.76</v>
          </cell>
          <cell r="V540">
            <v>4.42</v>
          </cell>
          <cell r="W540">
            <v>182.17999999999998</v>
          </cell>
        </row>
        <row r="541">
          <cell r="A541" t="str">
            <v>5752-1</v>
          </cell>
          <cell r="B541">
            <v>42017</v>
          </cell>
          <cell r="C541" t="str">
            <v>Max Jones</v>
          </cell>
          <cell r="D541" t="str">
            <v>240-242 Johnston Street,Fitzroy</v>
          </cell>
          <cell r="E541" t="str">
            <v>Melbourne</v>
          </cell>
          <cell r="F541" t="str">
            <v>VIC</v>
          </cell>
          <cell r="G541" t="str">
            <v>Home Office</v>
          </cell>
          <cell r="H541" t="str">
            <v>Connor Betts</v>
          </cell>
          <cell r="I541" t="str">
            <v>Not Specified</v>
          </cell>
          <cell r="J541" t="str">
            <v>Steady EarthWrite Recycled Pencils, Medium Soft, #2</v>
          </cell>
          <cell r="K541" t="str">
            <v>Office Supplies</v>
          </cell>
          <cell r="L541" t="str">
            <v>Wrap Bag</v>
          </cell>
          <cell r="M541" t="str">
            <v>Regular Air</v>
          </cell>
          <cell r="N541">
            <v>42019</v>
          </cell>
          <cell r="O541">
            <v>0.9</v>
          </cell>
          <cell r="P541">
            <v>2.1</v>
          </cell>
          <cell r="Q541">
            <v>34</v>
          </cell>
          <cell r="R541">
            <v>71.400000000000006</v>
          </cell>
          <cell r="S541">
            <v>0.02</v>
          </cell>
          <cell r="T541">
            <v>1.4280000000000002</v>
          </cell>
          <cell r="U541">
            <v>71.38000000000001</v>
          </cell>
          <cell r="V541">
            <v>0.7</v>
          </cell>
          <cell r="W541">
            <v>72.080000000000013</v>
          </cell>
        </row>
        <row r="542">
          <cell r="A542" t="str">
            <v>5754-1</v>
          </cell>
          <cell r="B542">
            <v>42018</v>
          </cell>
          <cell r="C542" t="str">
            <v>Maya Herman</v>
          </cell>
          <cell r="D542" t="str">
            <v>273 George Street,Sydney</v>
          </cell>
          <cell r="E542" t="str">
            <v>Sydney</v>
          </cell>
          <cell r="F542" t="str">
            <v>NSW</v>
          </cell>
          <cell r="G542" t="str">
            <v>Corporate</v>
          </cell>
          <cell r="H542" t="str">
            <v>Leighton Forrest</v>
          </cell>
          <cell r="I542" t="str">
            <v>Critical</v>
          </cell>
          <cell r="J542" t="str">
            <v>Artisan Flip-Chart Easel Binder, Black</v>
          </cell>
          <cell r="K542" t="str">
            <v>Office Supplies</v>
          </cell>
          <cell r="L542" t="str">
            <v>Small Box</v>
          </cell>
          <cell r="M542" t="str">
            <v>Regular Air</v>
          </cell>
          <cell r="N542">
            <v>42019</v>
          </cell>
          <cell r="O542">
            <v>13.88</v>
          </cell>
          <cell r="P542">
            <v>22.38</v>
          </cell>
          <cell r="Q542">
            <v>39</v>
          </cell>
          <cell r="R542">
            <v>872.81999999999994</v>
          </cell>
          <cell r="S542">
            <v>7.0000000000000007E-2</v>
          </cell>
          <cell r="T542">
            <v>61.0974</v>
          </cell>
          <cell r="U542">
            <v>872.74999999999989</v>
          </cell>
          <cell r="V542">
            <v>15.1</v>
          </cell>
          <cell r="W542">
            <v>887.84999999999991</v>
          </cell>
        </row>
        <row r="543">
          <cell r="A543" t="str">
            <v>5755-1</v>
          </cell>
          <cell r="B543">
            <v>42019</v>
          </cell>
          <cell r="C543" t="str">
            <v>Clay Rozendal</v>
          </cell>
          <cell r="D543" t="str">
            <v>8 Rankins Lane ,Melbourne</v>
          </cell>
          <cell r="E543" t="str">
            <v>Melbourne</v>
          </cell>
          <cell r="F543" t="str">
            <v>VIC</v>
          </cell>
          <cell r="G543" t="str">
            <v>Corporate</v>
          </cell>
          <cell r="H543" t="str">
            <v>Connor Betts</v>
          </cell>
          <cell r="I543" t="str">
            <v>Critical</v>
          </cell>
          <cell r="J543" t="str">
            <v>Artisan 474 Labels</v>
          </cell>
          <cell r="K543" t="str">
            <v>Office Supplies</v>
          </cell>
          <cell r="L543" t="str">
            <v>Small Box</v>
          </cell>
          <cell r="M543" t="str">
            <v>Regular Air</v>
          </cell>
          <cell r="N543">
            <v>42021</v>
          </cell>
          <cell r="O543">
            <v>1.84</v>
          </cell>
          <cell r="P543">
            <v>2.88</v>
          </cell>
          <cell r="Q543">
            <v>27</v>
          </cell>
          <cell r="R543">
            <v>77.759999999999991</v>
          </cell>
          <cell r="S543">
            <v>0.06</v>
          </cell>
          <cell r="T543">
            <v>4.6655999999999995</v>
          </cell>
          <cell r="U543">
            <v>77.699999999999989</v>
          </cell>
          <cell r="V543">
            <v>0.99</v>
          </cell>
          <cell r="W543">
            <v>78.689999999999984</v>
          </cell>
        </row>
        <row r="544">
          <cell r="A544" t="str">
            <v>5757-1</v>
          </cell>
          <cell r="B544">
            <v>42020</v>
          </cell>
          <cell r="C544" t="str">
            <v>Philip Brown</v>
          </cell>
          <cell r="D544" t="str">
            <v>499-501 Lygon Street,Carlton North</v>
          </cell>
          <cell r="E544" t="str">
            <v>Melbourne</v>
          </cell>
          <cell r="F544" t="str">
            <v>VIC</v>
          </cell>
          <cell r="G544" t="str">
            <v>Corporate</v>
          </cell>
          <cell r="H544" t="str">
            <v>Yvette Biti</v>
          </cell>
          <cell r="I544" t="str">
            <v>High</v>
          </cell>
          <cell r="J544" t="str">
            <v>Emerson Stylus 1520 Color Inkjet Printer</v>
          </cell>
          <cell r="K544" t="str">
            <v>Technology</v>
          </cell>
          <cell r="L544" t="str">
            <v>Jumbo Drum</v>
          </cell>
          <cell r="M544" t="str">
            <v>Delivery Truck</v>
          </cell>
          <cell r="N544">
            <v>42021</v>
          </cell>
          <cell r="O544">
            <v>315.61</v>
          </cell>
          <cell r="P544">
            <v>500.97</v>
          </cell>
          <cell r="Q544">
            <v>37</v>
          </cell>
          <cell r="R544">
            <v>18535.89</v>
          </cell>
          <cell r="S544">
            <v>0</v>
          </cell>
          <cell r="T544">
            <v>0</v>
          </cell>
          <cell r="U544">
            <v>18535.89</v>
          </cell>
          <cell r="V544">
            <v>69.3</v>
          </cell>
          <cell r="W544">
            <v>18605.189999999999</v>
          </cell>
        </row>
        <row r="545">
          <cell r="A545" t="str">
            <v>5759-1</v>
          </cell>
          <cell r="B545">
            <v>42021</v>
          </cell>
          <cell r="C545" t="str">
            <v>Art Foster</v>
          </cell>
          <cell r="D545" t="str">
            <v>Westfield Parramatta,Parramatta</v>
          </cell>
          <cell r="E545" t="str">
            <v>Sydney</v>
          </cell>
          <cell r="F545" t="str">
            <v>NSW</v>
          </cell>
          <cell r="G545" t="str">
            <v>Home Office</v>
          </cell>
          <cell r="H545" t="str">
            <v>Stevie Bacata</v>
          </cell>
          <cell r="I545" t="str">
            <v>High</v>
          </cell>
          <cell r="J545" t="str">
            <v>Laser Neon Mac Format Diskettes, 10/Pack</v>
          </cell>
          <cell r="K545" t="str">
            <v>Technology</v>
          </cell>
          <cell r="L545" t="str">
            <v>Small Pack</v>
          </cell>
          <cell r="M545" t="str">
            <v>Regular Air</v>
          </cell>
          <cell r="N545">
            <v>42022</v>
          </cell>
          <cell r="O545">
            <v>1.87</v>
          </cell>
          <cell r="P545">
            <v>8.1199999999999992</v>
          </cell>
          <cell r="Q545">
            <v>47</v>
          </cell>
          <cell r="R545">
            <v>381.64</v>
          </cell>
          <cell r="S545">
            <v>7.0000000000000007E-2</v>
          </cell>
          <cell r="T545">
            <v>26.7148</v>
          </cell>
          <cell r="U545">
            <v>381.57</v>
          </cell>
          <cell r="V545">
            <v>2.83</v>
          </cell>
          <cell r="W545">
            <v>384.4</v>
          </cell>
        </row>
        <row r="546">
          <cell r="A546" t="str">
            <v>5760-1</v>
          </cell>
          <cell r="B546">
            <v>42021</v>
          </cell>
          <cell r="C546" t="str">
            <v>Doug Jacobs</v>
          </cell>
          <cell r="D546" t="str">
            <v>1/160 Anzac Parade,Kensington</v>
          </cell>
          <cell r="E546" t="str">
            <v>Sydney</v>
          </cell>
          <cell r="F546" t="str">
            <v>NSW</v>
          </cell>
          <cell r="G546" t="str">
            <v>Home Office</v>
          </cell>
          <cell r="H546" t="str">
            <v>Natasha Song</v>
          </cell>
          <cell r="I546" t="str">
            <v>Medium</v>
          </cell>
          <cell r="J546" t="str">
            <v>Multimedia Mailers</v>
          </cell>
          <cell r="K546" t="str">
            <v>Office Supplies</v>
          </cell>
          <cell r="L546" t="str">
            <v>Small Box</v>
          </cell>
          <cell r="M546" t="str">
            <v>Express Air</v>
          </cell>
          <cell r="N546">
            <v>42023</v>
          </cell>
          <cell r="O546">
            <v>99.39</v>
          </cell>
          <cell r="P546">
            <v>162.93</v>
          </cell>
          <cell r="Q546">
            <v>48</v>
          </cell>
          <cell r="R546">
            <v>7820.64</v>
          </cell>
          <cell r="S546">
            <v>0.04</v>
          </cell>
          <cell r="T546">
            <v>312.82560000000001</v>
          </cell>
          <cell r="U546">
            <v>7820.6</v>
          </cell>
          <cell r="V546">
            <v>19.989999999999998</v>
          </cell>
          <cell r="W546">
            <v>7840.59</v>
          </cell>
        </row>
        <row r="547">
          <cell r="A547" t="str">
            <v>5766-1</v>
          </cell>
          <cell r="B547">
            <v>42025</v>
          </cell>
          <cell r="C547" t="str">
            <v>Jennifer Braxton</v>
          </cell>
          <cell r="D547" t="str">
            <v>523 King St,Newtown</v>
          </cell>
          <cell r="E547" t="str">
            <v>Sydney</v>
          </cell>
          <cell r="F547" t="str">
            <v>NSW</v>
          </cell>
          <cell r="G547" t="str">
            <v>Small Business</v>
          </cell>
          <cell r="H547" t="str">
            <v>Aanya Zhang</v>
          </cell>
          <cell r="I547" t="str">
            <v>High</v>
          </cell>
          <cell r="J547" t="str">
            <v>Colored Envelopes</v>
          </cell>
          <cell r="K547" t="str">
            <v>Office Supplies</v>
          </cell>
          <cell r="L547" t="str">
            <v>Small Box</v>
          </cell>
          <cell r="M547" t="str">
            <v>Regular Air</v>
          </cell>
          <cell r="N547">
            <v>42027</v>
          </cell>
          <cell r="O547">
            <v>2.25</v>
          </cell>
          <cell r="P547">
            <v>3.69</v>
          </cell>
          <cell r="Q547">
            <v>13</v>
          </cell>
          <cell r="R547">
            <v>47.97</v>
          </cell>
          <cell r="S547">
            <v>0.05</v>
          </cell>
          <cell r="T547">
            <v>2.3985000000000003</v>
          </cell>
          <cell r="U547">
            <v>47.92</v>
          </cell>
          <cell r="V547">
            <v>2.5</v>
          </cell>
          <cell r="W547">
            <v>50.42</v>
          </cell>
        </row>
        <row r="548">
          <cell r="A548" t="str">
            <v>5773-1</v>
          </cell>
          <cell r="B548">
            <v>42027</v>
          </cell>
          <cell r="C548" t="str">
            <v>Christy Brittain</v>
          </cell>
          <cell r="D548" t="str">
            <v>Shop 1, 186-190 Church Street,Parramatta;46a Macleay Street,Potts Point</v>
          </cell>
          <cell r="E548" t="str">
            <v>Sydney</v>
          </cell>
          <cell r="F548" t="str">
            <v>NSW</v>
          </cell>
          <cell r="G548" t="str">
            <v>Consumer</v>
          </cell>
          <cell r="H548" t="str">
            <v>Mihael Khan</v>
          </cell>
          <cell r="I548" t="str">
            <v>Not Specified</v>
          </cell>
          <cell r="J548" t="str">
            <v>Message Book, One Form per Page</v>
          </cell>
          <cell r="K548" t="str">
            <v>Office Supplies</v>
          </cell>
          <cell r="L548" t="str">
            <v>Wrap Bag</v>
          </cell>
          <cell r="M548" t="str">
            <v>Regular Air</v>
          </cell>
          <cell r="N548">
            <v>42029</v>
          </cell>
          <cell r="O548">
            <v>2.41</v>
          </cell>
          <cell r="P548">
            <v>3.71</v>
          </cell>
          <cell r="Q548">
            <v>14</v>
          </cell>
          <cell r="R548">
            <v>51.94</v>
          </cell>
          <cell r="S548">
            <v>0.09</v>
          </cell>
          <cell r="T548">
            <v>4.6745999999999999</v>
          </cell>
          <cell r="U548">
            <v>51.849999999999994</v>
          </cell>
          <cell r="V548">
            <v>1.93</v>
          </cell>
          <cell r="W548">
            <v>53.779999999999994</v>
          </cell>
        </row>
        <row r="549">
          <cell r="A549" t="str">
            <v>5775-1</v>
          </cell>
          <cell r="B549">
            <v>42030</v>
          </cell>
          <cell r="C549" t="str">
            <v>Darrin Sayre</v>
          </cell>
          <cell r="D549" t="str">
            <v>Sydney Fish Market, Bank Street, Sydney</v>
          </cell>
          <cell r="E549" t="str">
            <v>Sydney</v>
          </cell>
          <cell r="F549" t="str">
            <v>NSW</v>
          </cell>
          <cell r="G549" t="str">
            <v>Consumer</v>
          </cell>
          <cell r="H549" t="str">
            <v>Phoebe Gour</v>
          </cell>
          <cell r="I549" t="str">
            <v>Not Specified</v>
          </cell>
          <cell r="J549" t="str">
            <v>OIC Thumb-Tacks</v>
          </cell>
          <cell r="K549" t="str">
            <v>Office Supplies</v>
          </cell>
          <cell r="L549" t="str">
            <v>Wrap Bag</v>
          </cell>
          <cell r="M549" t="str">
            <v>Regular Air</v>
          </cell>
          <cell r="N549">
            <v>42032</v>
          </cell>
          <cell r="O549">
            <v>0.71</v>
          </cell>
          <cell r="P549">
            <v>1.1399999999999999</v>
          </cell>
          <cell r="Q549">
            <v>42</v>
          </cell>
          <cell r="R549">
            <v>47.879999999999995</v>
          </cell>
          <cell r="S549">
            <v>0.06</v>
          </cell>
          <cell r="T549">
            <v>2.8727999999999998</v>
          </cell>
          <cell r="U549">
            <v>47.819999999999993</v>
          </cell>
          <cell r="V549">
            <v>0.7</v>
          </cell>
          <cell r="W549">
            <v>48.519999999999996</v>
          </cell>
        </row>
        <row r="550">
          <cell r="A550" t="str">
            <v>5777-1</v>
          </cell>
          <cell r="B550">
            <v>42032</v>
          </cell>
          <cell r="C550" t="str">
            <v>Phillip Flathmann</v>
          </cell>
          <cell r="D550" t="str">
            <v>Macquarie Centre Cnr Herring Road &amp; Waterloo Road,Macquarie Park</v>
          </cell>
          <cell r="E550" t="str">
            <v>Sydney</v>
          </cell>
          <cell r="F550" t="str">
            <v>NSW</v>
          </cell>
          <cell r="G550" t="str">
            <v>Small Business</v>
          </cell>
          <cell r="H550" t="str">
            <v>Nicholas Fernandes</v>
          </cell>
          <cell r="I550" t="str">
            <v>Medium</v>
          </cell>
          <cell r="J550" t="str">
            <v>Artisan 487 Labels</v>
          </cell>
          <cell r="K550" t="str">
            <v>Office Supplies</v>
          </cell>
          <cell r="L550" t="str">
            <v>Small Box</v>
          </cell>
          <cell r="M550" t="str">
            <v>Regular Air</v>
          </cell>
          <cell r="N550">
            <v>42033</v>
          </cell>
          <cell r="O550">
            <v>2.29</v>
          </cell>
          <cell r="P550">
            <v>3.69</v>
          </cell>
          <cell r="Q550">
            <v>4</v>
          </cell>
          <cell r="R550">
            <v>14.76</v>
          </cell>
          <cell r="S550">
            <v>0.01</v>
          </cell>
          <cell r="T550">
            <v>0.14760000000000001</v>
          </cell>
          <cell r="U550">
            <v>14.75</v>
          </cell>
          <cell r="V550">
            <v>0.5</v>
          </cell>
          <cell r="W550">
            <v>15.25</v>
          </cell>
        </row>
        <row r="551">
          <cell r="A551" t="str">
            <v>5778-1</v>
          </cell>
          <cell r="B551">
            <v>42034</v>
          </cell>
          <cell r="C551" t="str">
            <v>Corinna Mitchell</v>
          </cell>
          <cell r="D551" t="str">
            <v>27 Greenfield Parade,Bankstown</v>
          </cell>
          <cell r="E551" t="str">
            <v>Sydney</v>
          </cell>
          <cell r="F551" t="str">
            <v>NSW</v>
          </cell>
          <cell r="G551" t="str">
            <v>Corporate</v>
          </cell>
          <cell r="H551" t="str">
            <v>Nicholas Fernandes</v>
          </cell>
          <cell r="I551" t="str">
            <v>Not Specified</v>
          </cell>
          <cell r="J551" t="str">
            <v>Adesso Programmable 142-Key Keyboard</v>
          </cell>
          <cell r="K551" t="str">
            <v>Technology</v>
          </cell>
          <cell r="L551" t="str">
            <v>Small Box</v>
          </cell>
          <cell r="M551" t="str">
            <v>Regular Air</v>
          </cell>
          <cell r="N551">
            <v>42035</v>
          </cell>
          <cell r="O551">
            <v>32.020000000000003</v>
          </cell>
          <cell r="P551">
            <v>152.47999999999999</v>
          </cell>
          <cell r="Q551">
            <v>21</v>
          </cell>
          <cell r="R551">
            <v>3202.08</v>
          </cell>
          <cell r="S551">
            <v>0.03</v>
          </cell>
          <cell r="T551">
            <v>96.062399999999997</v>
          </cell>
          <cell r="U551">
            <v>3202.0499999999997</v>
          </cell>
          <cell r="V551">
            <v>4</v>
          </cell>
          <cell r="W551">
            <v>3206.0499999999997</v>
          </cell>
        </row>
        <row r="552">
          <cell r="A552" t="str">
            <v>5779-1</v>
          </cell>
          <cell r="B552">
            <v>42035</v>
          </cell>
          <cell r="C552" t="str">
            <v>Carl Ludwig</v>
          </cell>
          <cell r="D552" t="str">
            <v>1/173-179 Bronte Rd,Waverley</v>
          </cell>
          <cell r="E552" t="str">
            <v>Sydney</v>
          </cell>
          <cell r="F552" t="str">
            <v>NSW</v>
          </cell>
          <cell r="G552" t="str">
            <v>Corporate</v>
          </cell>
          <cell r="H552" t="str">
            <v>Leighton Forrest</v>
          </cell>
          <cell r="I552" t="str">
            <v>High</v>
          </cell>
          <cell r="J552" t="str">
            <v>Cando PC940 Copier</v>
          </cell>
          <cell r="K552" t="str">
            <v>Technology</v>
          </cell>
          <cell r="L552" t="str">
            <v>Jumbo Drum</v>
          </cell>
          <cell r="M552" t="str">
            <v>Delivery Truck</v>
          </cell>
          <cell r="N552">
            <v>42037</v>
          </cell>
          <cell r="O552">
            <v>278.99</v>
          </cell>
          <cell r="P552">
            <v>449.99</v>
          </cell>
          <cell r="Q552">
            <v>25</v>
          </cell>
          <cell r="R552">
            <v>11249.75</v>
          </cell>
          <cell r="S552">
            <v>0.01</v>
          </cell>
          <cell r="T552">
            <v>112.4975</v>
          </cell>
          <cell r="U552">
            <v>11249.74</v>
          </cell>
          <cell r="V552">
            <v>49</v>
          </cell>
          <cell r="W552">
            <v>11298.74</v>
          </cell>
        </row>
        <row r="553">
          <cell r="A553" t="str">
            <v>5781-1</v>
          </cell>
          <cell r="B553">
            <v>42036</v>
          </cell>
          <cell r="C553" t="str">
            <v>Cari Schnelling</v>
          </cell>
          <cell r="D553" t="str">
            <v>273 George Street,Sydney</v>
          </cell>
          <cell r="E553" t="str">
            <v>Sydney</v>
          </cell>
          <cell r="F553" t="str">
            <v>NSW</v>
          </cell>
          <cell r="G553" t="str">
            <v>Home Office</v>
          </cell>
          <cell r="H553" t="str">
            <v>Leighton Forrest</v>
          </cell>
          <cell r="I553" t="str">
            <v>High</v>
          </cell>
          <cell r="J553" t="str">
            <v>3Max Polarizing Task Lamp with Clamp Arm, Light Gray</v>
          </cell>
          <cell r="K553" t="str">
            <v>Furniture</v>
          </cell>
          <cell r="L553" t="str">
            <v>Large Box</v>
          </cell>
          <cell r="M553" t="str">
            <v>Regular Air</v>
          </cell>
          <cell r="N553">
            <v>42038</v>
          </cell>
          <cell r="O553">
            <v>56.16</v>
          </cell>
          <cell r="P553">
            <v>136.97999999999999</v>
          </cell>
          <cell r="Q553">
            <v>2</v>
          </cell>
          <cell r="R553">
            <v>273.95999999999998</v>
          </cell>
          <cell r="S553">
            <v>0.08</v>
          </cell>
          <cell r="T553">
            <v>21.916799999999999</v>
          </cell>
          <cell r="U553">
            <v>273.88</v>
          </cell>
          <cell r="V553">
            <v>24.49</v>
          </cell>
          <cell r="W553">
            <v>298.37</v>
          </cell>
        </row>
        <row r="554">
          <cell r="A554" t="str">
            <v>5782-1</v>
          </cell>
          <cell r="B554">
            <v>42036</v>
          </cell>
          <cell r="C554" t="str">
            <v>Julia Dunbar</v>
          </cell>
          <cell r="D554" t="str">
            <v>Qantas Domestic Terminal,Mascot</v>
          </cell>
          <cell r="E554" t="str">
            <v>Sydney</v>
          </cell>
          <cell r="F554" t="str">
            <v>NSW</v>
          </cell>
          <cell r="G554" t="str">
            <v>Consumer</v>
          </cell>
          <cell r="H554" t="str">
            <v>Phoebe Gour</v>
          </cell>
          <cell r="I554" t="str">
            <v>Critical</v>
          </cell>
          <cell r="J554" t="str">
            <v>Binding Machine Supplies</v>
          </cell>
          <cell r="K554" t="str">
            <v>Office Supplies</v>
          </cell>
          <cell r="L554" t="str">
            <v>Small Box</v>
          </cell>
          <cell r="M554" t="str">
            <v>Regular Air</v>
          </cell>
          <cell r="N554">
            <v>42038</v>
          </cell>
          <cell r="O554">
            <v>18.38</v>
          </cell>
          <cell r="P554">
            <v>29.17</v>
          </cell>
          <cell r="Q554">
            <v>43</v>
          </cell>
          <cell r="R554">
            <v>1254.3100000000002</v>
          </cell>
          <cell r="S554">
            <v>0.05</v>
          </cell>
          <cell r="T554">
            <v>62.715500000000013</v>
          </cell>
          <cell r="U554">
            <v>1254.2600000000002</v>
          </cell>
          <cell r="V554">
            <v>6.27</v>
          </cell>
          <cell r="W554">
            <v>1260.5300000000002</v>
          </cell>
        </row>
        <row r="555">
          <cell r="A555" t="str">
            <v>5783-1</v>
          </cell>
          <cell r="B555">
            <v>42037</v>
          </cell>
          <cell r="C555" t="str">
            <v>Paul Knutson</v>
          </cell>
          <cell r="D555" t="str">
            <v>1/173-179 Bronte Rd,Waverley</v>
          </cell>
          <cell r="E555" t="str">
            <v>Sydney</v>
          </cell>
          <cell r="F555" t="str">
            <v>NSW</v>
          </cell>
          <cell r="G555" t="str">
            <v>Corporate</v>
          </cell>
          <cell r="H555" t="str">
            <v>Leighton Forrest</v>
          </cell>
          <cell r="I555" t="str">
            <v>Critical</v>
          </cell>
          <cell r="J555" t="str">
            <v>Cando PC940 Copier</v>
          </cell>
          <cell r="K555" t="str">
            <v>Technology</v>
          </cell>
          <cell r="L555" t="str">
            <v>Jumbo Drum</v>
          </cell>
          <cell r="M555" t="str">
            <v>Delivery Truck</v>
          </cell>
          <cell r="N555">
            <v>42038</v>
          </cell>
          <cell r="O555">
            <v>278.99</v>
          </cell>
          <cell r="P555">
            <v>449.99</v>
          </cell>
          <cell r="Q555">
            <v>16</v>
          </cell>
          <cell r="R555">
            <v>7199.84</v>
          </cell>
          <cell r="S555">
            <v>0.09</v>
          </cell>
          <cell r="T555">
            <v>647.98559999999998</v>
          </cell>
          <cell r="U555">
            <v>7199.75</v>
          </cell>
          <cell r="V555">
            <v>49</v>
          </cell>
          <cell r="W555">
            <v>7248.75</v>
          </cell>
        </row>
        <row r="556">
          <cell r="A556" t="str">
            <v>5784-1</v>
          </cell>
          <cell r="B556">
            <v>42038</v>
          </cell>
          <cell r="C556" t="str">
            <v>Ionia McGrath</v>
          </cell>
          <cell r="D556" t="str">
            <v>Westfield Parramatta,Parramatta</v>
          </cell>
          <cell r="E556" t="str">
            <v>Sydney</v>
          </cell>
          <cell r="F556" t="str">
            <v>NSW</v>
          </cell>
          <cell r="G556" t="str">
            <v>Small Business</v>
          </cell>
          <cell r="H556" t="str">
            <v>Stevie Bacata</v>
          </cell>
          <cell r="I556" t="str">
            <v>High</v>
          </cell>
          <cell r="J556" t="str">
            <v>1726 Digital Answering Machine</v>
          </cell>
          <cell r="K556" t="str">
            <v>Technology</v>
          </cell>
          <cell r="L556" t="str">
            <v>Medium Box</v>
          </cell>
          <cell r="M556" t="str">
            <v>Regular Air</v>
          </cell>
          <cell r="N556">
            <v>42041</v>
          </cell>
          <cell r="O556">
            <v>8.82</v>
          </cell>
          <cell r="P556">
            <v>20.99</v>
          </cell>
          <cell r="Q556">
            <v>23</v>
          </cell>
          <cell r="R556">
            <v>482.77</v>
          </cell>
          <cell r="S556">
            <v>0.1</v>
          </cell>
          <cell r="T556">
            <v>48.277000000000001</v>
          </cell>
          <cell r="U556">
            <v>482.66999999999996</v>
          </cell>
          <cell r="V556">
            <v>4.8099999999999996</v>
          </cell>
          <cell r="W556">
            <v>487.47999999999996</v>
          </cell>
        </row>
        <row r="557">
          <cell r="A557" t="str">
            <v>5786-1</v>
          </cell>
          <cell r="B557">
            <v>42038</v>
          </cell>
          <cell r="C557" t="str">
            <v>Claire Good</v>
          </cell>
          <cell r="D557" t="str">
            <v>7/370-374 Victoria Ave,Chatswood</v>
          </cell>
          <cell r="E557" t="str">
            <v>Sydney</v>
          </cell>
          <cell r="F557" t="str">
            <v>NSW</v>
          </cell>
          <cell r="G557" t="str">
            <v>Home Office</v>
          </cell>
          <cell r="H557" t="str">
            <v>Stevie Bacata</v>
          </cell>
          <cell r="I557" t="str">
            <v>Medium</v>
          </cell>
          <cell r="J557" t="str">
            <v>Artisan Hi-Liter Fluorescent Desk Style Markers</v>
          </cell>
          <cell r="K557" t="str">
            <v>Office Supplies</v>
          </cell>
          <cell r="L557" t="str">
            <v>Wrap Bag</v>
          </cell>
          <cell r="M557" t="str">
            <v>Express Air</v>
          </cell>
          <cell r="N557">
            <v>42038</v>
          </cell>
          <cell r="O557">
            <v>1.76</v>
          </cell>
          <cell r="P557">
            <v>3.38</v>
          </cell>
          <cell r="Q557">
            <v>5</v>
          </cell>
          <cell r="R557">
            <v>16.899999999999999</v>
          </cell>
          <cell r="S557">
            <v>0.08</v>
          </cell>
          <cell r="T557">
            <v>1.3519999999999999</v>
          </cell>
          <cell r="U557">
            <v>16.82</v>
          </cell>
          <cell r="V557">
            <v>0.85</v>
          </cell>
          <cell r="W557">
            <v>17.670000000000002</v>
          </cell>
        </row>
        <row r="558">
          <cell r="A558" t="str">
            <v>5787-1</v>
          </cell>
          <cell r="B558">
            <v>42038</v>
          </cell>
          <cell r="C558" t="str">
            <v>Tom Stivers</v>
          </cell>
          <cell r="D558" t="str">
            <v>21 Wentworth St,Parramatta</v>
          </cell>
          <cell r="E558" t="str">
            <v>Sydney</v>
          </cell>
          <cell r="F558" t="str">
            <v>NSW</v>
          </cell>
          <cell r="G558" t="str">
            <v>Corporate</v>
          </cell>
          <cell r="H558" t="str">
            <v>Aanya Zhang</v>
          </cell>
          <cell r="I558" t="str">
            <v>Low</v>
          </cell>
          <cell r="J558" t="str">
            <v>Smiths SlimLine Pencil Sharpener</v>
          </cell>
          <cell r="K558" t="str">
            <v>Office Supplies</v>
          </cell>
          <cell r="L558" t="str">
            <v>Small Pack</v>
          </cell>
          <cell r="M558" t="str">
            <v>Regular Air</v>
          </cell>
          <cell r="N558">
            <v>42065</v>
          </cell>
          <cell r="O558">
            <v>4.79</v>
          </cell>
          <cell r="P558">
            <v>11.97</v>
          </cell>
          <cell r="Q558">
            <v>17</v>
          </cell>
          <cell r="R558">
            <v>203.49</v>
          </cell>
          <cell r="S558">
            <v>0.03</v>
          </cell>
          <cell r="T558">
            <v>6.1047000000000002</v>
          </cell>
          <cell r="U558">
            <v>203.46</v>
          </cell>
          <cell r="V558">
            <v>5.81</v>
          </cell>
          <cell r="W558">
            <v>209.27</v>
          </cell>
        </row>
        <row r="559">
          <cell r="A559" t="str">
            <v>5788-1</v>
          </cell>
          <cell r="B559">
            <v>42039</v>
          </cell>
          <cell r="C559" t="str">
            <v>Brad Thomas</v>
          </cell>
          <cell r="D559" t="str">
            <v>152 Bunnerong Road,Eastgardens</v>
          </cell>
          <cell r="E559" t="str">
            <v>Sydney</v>
          </cell>
          <cell r="F559" t="str">
            <v>NSW</v>
          </cell>
          <cell r="G559" t="str">
            <v>Home Office</v>
          </cell>
          <cell r="H559" t="str">
            <v>Tina Carlton</v>
          </cell>
          <cell r="I559" t="str">
            <v>Medium</v>
          </cell>
          <cell r="J559" t="str">
            <v>DrawIt Colored Pencils, 48-Color Set</v>
          </cell>
          <cell r="K559" t="str">
            <v>Office Supplies</v>
          </cell>
          <cell r="L559" t="str">
            <v>Wrap Bag</v>
          </cell>
          <cell r="M559" t="str">
            <v>Regular Air</v>
          </cell>
          <cell r="N559">
            <v>42041</v>
          </cell>
          <cell r="O559">
            <v>21.56</v>
          </cell>
          <cell r="P559">
            <v>36.549999999999997</v>
          </cell>
          <cell r="Q559">
            <v>34</v>
          </cell>
          <cell r="R559">
            <v>1242.6999999999998</v>
          </cell>
          <cell r="S559">
            <v>0.03</v>
          </cell>
          <cell r="T559">
            <v>37.280999999999992</v>
          </cell>
          <cell r="U559">
            <v>1242.6699999999998</v>
          </cell>
          <cell r="V559">
            <v>13.89</v>
          </cell>
          <cell r="W559">
            <v>1256.56</v>
          </cell>
        </row>
        <row r="560">
          <cell r="A560" t="str">
            <v>5790-1</v>
          </cell>
          <cell r="B560">
            <v>42039</v>
          </cell>
          <cell r="C560" t="str">
            <v>David Smith</v>
          </cell>
          <cell r="D560" t="str">
            <v>85-113 Dunning Ave,Roseberry</v>
          </cell>
          <cell r="E560" t="str">
            <v>Sydney</v>
          </cell>
          <cell r="F560" t="str">
            <v>NSW</v>
          </cell>
          <cell r="G560" t="str">
            <v>Small Business</v>
          </cell>
          <cell r="H560" t="str">
            <v>Mihael Khan</v>
          </cell>
          <cell r="I560" t="str">
            <v>Critical</v>
          </cell>
          <cell r="J560" t="str">
            <v>Smiths Bulldog Clip</v>
          </cell>
          <cell r="K560" t="str">
            <v>Office Supplies</v>
          </cell>
          <cell r="L560" t="str">
            <v>Wrap Bag</v>
          </cell>
          <cell r="M560" t="str">
            <v>Regular Air</v>
          </cell>
          <cell r="N560">
            <v>42041</v>
          </cell>
          <cell r="O560">
            <v>2.31</v>
          </cell>
          <cell r="P560">
            <v>3.78</v>
          </cell>
          <cell r="Q560">
            <v>34</v>
          </cell>
          <cell r="R560">
            <v>128.51999999999998</v>
          </cell>
          <cell r="S560">
            <v>0.03</v>
          </cell>
          <cell r="T560">
            <v>3.8555999999999995</v>
          </cell>
          <cell r="U560">
            <v>128.48999999999998</v>
          </cell>
          <cell r="V560">
            <v>0.71</v>
          </cell>
          <cell r="W560">
            <v>129.19999999999999</v>
          </cell>
        </row>
        <row r="561">
          <cell r="A561" t="str">
            <v>5791-1</v>
          </cell>
          <cell r="B561">
            <v>42042</v>
          </cell>
          <cell r="C561" t="str">
            <v>Carlos Soltero</v>
          </cell>
          <cell r="D561" t="str">
            <v>1/41B Elizabeth Bay Rd,Elizabeth Bay</v>
          </cell>
          <cell r="E561" t="str">
            <v>Sydney</v>
          </cell>
          <cell r="F561" t="str">
            <v>NSW</v>
          </cell>
          <cell r="G561" t="str">
            <v>Small Business</v>
          </cell>
          <cell r="H561" t="str">
            <v>Charlie Bui</v>
          </cell>
          <cell r="I561" t="str">
            <v>Medium</v>
          </cell>
          <cell r="J561" t="str">
            <v>TechSavi Cordless Elite Duo</v>
          </cell>
          <cell r="K561" t="str">
            <v>Technology</v>
          </cell>
          <cell r="L561" t="str">
            <v>Small Box</v>
          </cell>
          <cell r="M561" t="str">
            <v>Regular Air</v>
          </cell>
          <cell r="N561">
            <v>42053</v>
          </cell>
          <cell r="O561">
            <v>60.59</v>
          </cell>
          <cell r="P561">
            <v>100.98</v>
          </cell>
          <cell r="Q561">
            <v>13</v>
          </cell>
          <cell r="R561">
            <v>1312.74</v>
          </cell>
          <cell r="S561">
            <v>0.04</v>
          </cell>
          <cell r="T561">
            <v>52.509599999999999</v>
          </cell>
          <cell r="U561">
            <v>1312.7</v>
          </cell>
          <cell r="V561">
            <v>7.18</v>
          </cell>
          <cell r="W561">
            <v>1319.88</v>
          </cell>
        </row>
        <row r="562">
          <cell r="A562" t="str">
            <v>5793-1</v>
          </cell>
          <cell r="B562">
            <v>42043</v>
          </cell>
          <cell r="C562" t="str">
            <v>Doug Bickford</v>
          </cell>
          <cell r="D562" t="str">
            <v>221 Barkly St,St Kilda</v>
          </cell>
          <cell r="E562" t="str">
            <v>Melbourne</v>
          </cell>
          <cell r="F562" t="str">
            <v>VIC</v>
          </cell>
          <cell r="G562" t="str">
            <v>Small Business</v>
          </cell>
          <cell r="H562" t="str">
            <v>Yvette Biti</v>
          </cell>
          <cell r="I562" t="str">
            <v>Medium</v>
          </cell>
          <cell r="J562" t="str">
            <v>Multimedia Mailers</v>
          </cell>
          <cell r="K562" t="str">
            <v>Office Supplies</v>
          </cell>
          <cell r="L562" t="str">
            <v>Small Box</v>
          </cell>
          <cell r="M562" t="str">
            <v>Regular Air</v>
          </cell>
          <cell r="N562">
            <v>42045</v>
          </cell>
          <cell r="O562">
            <v>99.39</v>
          </cell>
          <cell r="P562">
            <v>162.93</v>
          </cell>
          <cell r="Q562">
            <v>39</v>
          </cell>
          <cell r="R562">
            <v>6354.27</v>
          </cell>
          <cell r="S562">
            <v>0.03</v>
          </cell>
          <cell r="T562">
            <v>190.62810000000002</v>
          </cell>
          <cell r="U562">
            <v>6354.2400000000007</v>
          </cell>
          <cell r="V562">
            <v>19.989999999999998</v>
          </cell>
          <cell r="W562">
            <v>6374.2300000000005</v>
          </cell>
        </row>
        <row r="563">
          <cell r="A563" t="str">
            <v>5795-1</v>
          </cell>
          <cell r="B563">
            <v>42044</v>
          </cell>
          <cell r="C563" t="str">
            <v>Linda Southworth</v>
          </cell>
          <cell r="D563" t="str">
            <v>359 Crown Street,Surry Hills</v>
          </cell>
          <cell r="E563" t="str">
            <v>Sydney</v>
          </cell>
          <cell r="F563" t="str">
            <v>NSW</v>
          </cell>
          <cell r="G563" t="str">
            <v>Consumer</v>
          </cell>
          <cell r="H563" t="str">
            <v>Phoebe Gour</v>
          </cell>
          <cell r="I563" t="str">
            <v>Low</v>
          </cell>
          <cell r="J563" t="str">
            <v>Alto Memo Cubes</v>
          </cell>
          <cell r="K563" t="str">
            <v>Office Supplies</v>
          </cell>
          <cell r="L563" t="str">
            <v>Wrap Bag</v>
          </cell>
          <cell r="M563" t="str">
            <v>Express Air</v>
          </cell>
          <cell r="N563">
            <v>42051</v>
          </cell>
          <cell r="O563">
            <v>3.32</v>
          </cell>
          <cell r="P563">
            <v>5.18</v>
          </cell>
          <cell r="Q563">
            <v>11</v>
          </cell>
          <cell r="R563">
            <v>56.98</v>
          </cell>
          <cell r="S563">
            <v>0.06</v>
          </cell>
          <cell r="T563">
            <v>3.4187999999999996</v>
          </cell>
          <cell r="U563">
            <v>56.919999999999995</v>
          </cell>
          <cell r="V563">
            <v>2.04</v>
          </cell>
          <cell r="W563">
            <v>58.959999999999994</v>
          </cell>
        </row>
        <row r="564">
          <cell r="A564" t="str">
            <v>5797-1</v>
          </cell>
          <cell r="B564">
            <v>42047</v>
          </cell>
          <cell r="C564" t="str">
            <v>Michelle Moray</v>
          </cell>
          <cell r="D564" t="str">
            <v>310 Wattle St,Ultimo</v>
          </cell>
          <cell r="E564" t="str">
            <v>Sydney</v>
          </cell>
          <cell r="F564" t="str">
            <v>NSW</v>
          </cell>
          <cell r="G564" t="str">
            <v>Corporate</v>
          </cell>
          <cell r="H564" t="str">
            <v>Aanya Zhang</v>
          </cell>
          <cell r="I564" t="str">
            <v>Low</v>
          </cell>
          <cell r="J564" t="str">
            <v>Apex Straight Scissors</v>
          </cell>
          <cell r="K564" t="str">
            <v>Office Supplies</v>
          </cell>
          <cell r="L564" t="str">
            <v>Small Pack</v>
          </cell>
          <cell r="M564" t="str">
            <v>Regular Air</v>
          </cell>
          <cell r="N564">
            <v>42047</v>
          </cell>
          <cell r="O564">
            <v>5.19</v>
          </cell>
          <cell r="P564">
            <v>12.98</v>
          </cell>
          <cell r="Q564">
            <v>50</v>
          </cell>
          <cell r="R564">
            <v>649</v>
          </cell>
          <cell r="S564">
            <v>0.08</v>
          </cell>
          <cell r="T564">
            <v>51.92</v>
          </cell>
          <cell r="U564">
            <v>648.91999999999996</v>
          </cell>
          <cell r="V564">
            <v>3.14</v>
          </cell>
          <cell r="W564">
            <v>652.05999999999995</v>
          </cell>
        </row>
        <row r="565">
          <cell r="A565" t="str">
            <v>5799-1</v>
          </cell>
          <cell r="B565">
            <v>42047</v>
          </cell>
          <cell r="C565" t="str">
            <v>Dorris Love</v>
          </cell>
          <cell r="D565" t="str">
            <v>359 Crown Street,Surry Hills</v>
          </cell>
          <cell r="E565" t="str">
            <v>Sydney</v>
          </cell>
          <cell r="F565" t="str">
            <v>NSW</v>
          </cell>
          <cell r="G565" t="str">
            <v>Home Office</v>
          </cell>
          <cell r="H565" t="str">
            <v>Phoebe Gour</v>
          </cell>
          <cell r="I565" t="str">
            <v>Not Specified</v>
          </cell>
          <cell r="J565" t="str">
            <v>UGen Ultra Professional Cordless Optical Suite</v>
          </cell>
          <cell r="K565" t="str">
            <v>Technology</v>
          </cell>
          <cell r="L565" t="str">
            <v>Small Box</v>
          </cell>
          <cell r="M565" t="str">
            <v>Regular Air</v>
          </cell>
          <cell r="N565">
            <v>42048</v>
          </cell>
          <cell r="O565">
            <v>156.5</v>
          </cell>
          <cell r="P565">
            <v>300.97000000000003</v>
          </cell>
          <cell r="Q565">
            <v>41</v>
          </cell>
          <cell r="R565">
            <v>12339.77</v>
          </cell>
          <cell r="S565">
            <v>0.1</v>
          </cell>
          <cell r="T565">
            <v>1233.9770000000001</v>
          </cell>
          <cell r="U565">
            <v>12339.67</v>
          </cell>
          <cell r="V565">
            <v>7.18</v>
          </cell>
          <cell r="W565">
            <v>12346.85</v>
          </cell>
        </row>
        <row r="566">
          <cell r="A566" t="str">
            <v>5800-1</v>
          </cell>
          <cell r="B566">
            <v>42049</v>
          </cell>
          <cell r="C566" t="str">
            <v>Ralph Arnett</v>
          </cell>
          <cell r="D566" t="str">
            <v>88 Oxford St,Woollahra</v>
          </cell>
          <cell r="E566" t="str">
            <v>Sydney</v>
          </cell>
          <cell r="F566" t="str">
            <v>NSW</v>
          </cell>
          <cell r="G566" t="str">
            <v>Consumer</v>
          </cell>
          <cell r="H566" t="str">
            <v>Charlie Bui</v>
          </cell>
          <cell r="I566" t="str">
            <v>Medium</v>
          </cell>
          <cell r="J566" t="str">
            <v>Alto Parchment Paper, Assorted Colors</v>
          </cell>
          <cell r="K566" t="str">
            <v>Office Supplies</v>
          </cell>
          <cell r="L566" t="str">
            <v>Small Box</v>
          </cell>
          <cell r="M566" t="str">
            <v>Express Air</v>
          </cell>
          <cell r="N566">
            <v>42050</v>
          </cell>
          <cell r="O566">
            <v>4.59</v>
          </cell>
          <cell r="P566">
            <v>7.28</v>
          </cell>
          <cell r="Q566">
            <v>5</v>
          </cell>
          <cell r="R566">
            <v>36.4</v>
          </cell>
          <cell r="S566">
            <v>0.05</v>
          </cell>
          <cell r="T566">
            <v>1.82</v>
          </cell>
          <cell r="U566">
            <v>36.35</v>
          </cell>
          <cell r="V566">
            <v>11.15</v>
          </cell>
          <cell r="W566">
            <v>47.5</v>
          </cell>
        </row>
        <row r="567">
          <cell r="A567" t="str">
            <v>5801-1</v>
          </cell>
          <cell r="B567">
            <v>42052</v>
          </cell>
          <cell r="C567" t="str">
            <v>Shahid Shariari</v>
          </cell>
          <cell r="D567" t="str">
            <v>3/219 Canley Vale Road,Canley Heights</v>
          </cell>
          <cell r="E567" t="str">
            <v>Sydney</v>
          </cell>
          <cell r="F567" t="str">
            <v>NSW</v>
          </cell>
          <cell r="G567" t="str">
            <v>Corporate</v>
          </cell>
          <cell r="H567" t="str">
            <v>Mihael Khan</v>
          </cell>
          <cell r="I567" t="str">
            <v>Medium</v>
          </cell>
          <cell r="J567" t="str">
            <v>Smiths SlimLine Pencil Sharpener</v>
          </cell>
          <cell r="K567" t="str">
            <v>Office Supplies</v>
          </cell>
          <cell r="L567" t="str">
            <v>Small Pack</v>
          </cell>
          <cell r="M567" t="str">
            <v>Regular Air</v>
          </cell>
          <cell r="N567">
            <v>42054</v>
          </cell>
          <cell r="O567">
            <v>4.79</v>
          </cell>
          <cell r="P567">
            <v>11.97</v>
          </cell>
          <cell r="Q567">
            <v>30</v>
          </cell>
          <cell r="R567">
            <v>359.1</v>
          </cell>
          <cell r="S567">
            <v>0.08</v>
          </cell>
          <cell r="T567">
            <v>28.728000000000002</v>
          </cell>
          <cell r="U567">
            <v>359.02000000000004</v>
          </cell>
          <cell r="V567">
            <v>5.81</v>
          </cell>
          <cell r="W567">
            <v>364.83000000000004</v>
          </cell>
        </row>
        <row r="568">
          <cell r="A568" t="str">
            <v>5803-1</v>
          </cell>
          <cell r="B568">
            <v>42053</v>
          </cell>
          <cell r="C568" t="str">
            <v>Jeremy Pistek</v>
          </cell>
          <cell r="D568" t="str">
            <v>85-113 Dunning Ave,Roseberry</v>
          </cell>
          <cell r="E568" t="str">
            <v>Sydney</v>
          </cell>
          <cell r="F568" t="str">
            <v>NSW</v>
          </cell>
          <cell r="G568" t="str">
            <v>Corporate</v>
          </cell>
          <cell r="H568" t="str">
            <v>Mihael Khan</v>
          </cell>
          <cell r="I568" t="str">
            <v>High</v>
          </cell>
          <cell r="J568" t="str">
            <v>Artisan Durable Binders</v>
          </cell>
          <cell r="K568" t="str">
            <v>Office Supplies</v>
          </cell>
          <cell r="L568" t="str">
            <v>Small Box</v>
          </cell>
          <cell r="M568" t="str">
            <v>Regular Air</v>
          </cell>
          <cell r="N568">
            <v>42055</v>
          </cell>
          <cell r="O568">
            <v>1.84</v>
          </cell>
          <cell r="P568">
            <v>2.88</v>
          </cell>
          <cell r="Q568">
            <v>22</v>
          </cell>
          <cell r="R568">
            <v>63.36</v>
          </cell>
          <cell r="S568">
            <v>0.1</v>
          </cell>
          <cell r="T568">
            <v>6.3360000000000003</v>
          </cell>
          <cell r="U568">
            <v>63.26</v>
          </cell>
          <cell r="V568">
            <v>1.49</v>
          </cell>
          <cell r="W568">
            <v>64.75</v>
          </cell>
        </row>
        <row r="569">
          <cell r="A569" t="str">
            <v>5806-1</v>
          </cell>
          <cell r="B569">
            <v>42058</v>
          </cell>
          <cell r="C569" t="str">
            <v>Brian Thompson</v>
          </cell>
          <cell r="D569" t="str">
            <v>154 Castlereagh St,Sydney</v>
          </cell>
          <cell r="E569" t="str">
            <v>Sydney</v>
          </cell>
          <cell r="F569" t="str">
            <v>NSW</v>
          </cell>
          <cell r="G569" t="str">
            <v>Home Office</v>
          </cell>
          <cell r="H569" t="str">
            <v>Samantha Chairs</v>
          </cell>
          <cell r="I569" t="str">
            <v>Critical</v>
          </cell>
          <cell r="J569" t="str">
            <v>Security-Tint Envelopes</v>
          </cell>
          <cell r="K569" t="str">
            <v>Office Supplies</v>
          </cell>
          <cell r="L569" t="str">
            <v>Small Box</v>
          </cell>
          <cell r="M569" t="str">
            <v>Regular Air</v>
          </cell>
          <cell r="N569">
            <v>42061</v>
          </cell>
          <cell r="O569">
            <v>4.8899999999999997</v>
          </cell>
          <cell r="P569">
            <v>7.64</v>
          </cell>
          <cell r="Q569">
            <v>32</v>
          </cell>
          <cell r="R569">
            <v>244.48</v>
          </cell>
          <cell r="S569">
            <v>0.06</v>
          </cell>
          <cell r="T569">
            <v>14.668799999999999</v>
          </cell>
          <cell r="U569">
            <v>244.42</v>
          </cell>
          <cell r="V569">
            <v>1.39</v>
          </cell>
          <cell r="W569">
            <v>245.80999999999997</v>
          </cell>
        </row>
        <row r="570">
          <cell r="A570" t="str">
            <v>5807-1</v>
          </cell>
          <cell r="B570">
            <v>42059</v>
          </cell>
          <cell r="C570" t="str">
            <v>Ann Blume</v>
          </cell>
          <cell r="D570" t="str">
            <v>180 High Street,Windsor</v>
          </cell>
          <cell r="E570" t="str">
            <v>Melbourne</v>
          </cell>
          <cell r="F570" t="str">
            <v>VIC</v>
          </cell>
          <cell r="G570" t="str">
            <v>Small Business</v>
          </cell>
          <cell r="H570" t="str">
            <v>Connor Betts</v>
          </cell>
          <cell r="I570" t="str">
            <v>Critical</v>
          </cell>
          <cell r="J570" t="str">
            <v>Artisan 487 Labels</v>
          </cell>
          <cell r="K570" t="str">
            <v>Office Supplies</v>
          </cell>
          <cell r="L570" t="str">
            <v>Small Box</v>
          </cell>
          <cell r="M570" t="str">
            <v>Regular Air</v>
          </cell>
          <cell r="N570">
            <v>42059</v>
          </cell>
          <cell r="O570">
            <v>2.29</v>
          </cell>
          <cell r="P570">
            <v>3.69</v>
          </cell>
          <cell r="Q570">
            <v>12</v>
          </cell>
          <cell r="R570">
            <v>44.28</v>
          </cell>
          <cell r="S570">
            <v>0.02</v>
          </cell>
          <cell r="T570">
            <v>0.88560000000000005</v>
          </cell>
          <cell r="U570">
            <v>44.26</v>
          </cell>
          <cell r="V570">
            <v>0.5</v>
          </cell>
          <cell r="W570">
            <v>44.76</v>
          </cell>
        </row>
        <row r="571">
          <cell r="A571" t="str">
            <v>5809-1</v>
          </cell>
          <cell r="B571">
            <v>42062</v>
          </cell>
          <cell r="C571" t="str">
            <v>Roy French</v>
          </cell>
          <cell r="D571" t="str">
            <v>78 Stanley St,Darlinghurst</v>
          </cell>
          <cell r="E571" t="str">
            <v>Sydney</v>
          </cell>
          <cell r="F571" t="str">
            <v>NSW</v>
          </cell>
          <cell r="G571" t="str">
            <v>Consumer</v>
          </cell>
          <cell r="H571" t="str">
            <v>Phoebe Gour</v>
          </cell>
          <cell r="I571" t="str">
            <v>High</v>
          </cell>
          <cell r="J571" t="str">
            <v>Artisan 474 Labels</v>
          </cell>
          <cell r="K571" t="str">
            <v>Office Supplies</v>
          </cell>
          <cell r="L571" t="str">
            <v>Small Box</v>
          </cell>
          <cell r="M571" t="str">
            <v>Express Air</v>
          </cell>
          <cell r="N571">
            <v>42063</v>
          </cell>
          <cell r="O571">
            <v>1.84</v>
          </cell>
          <cell r="P571">
            <v>2.88</v>
          </cell>
          <cell r="Q571">
            <v>9</v>
          </cell>
          <cell r="R571">
            <v>25.919999999999998</v>
          </cell>
          <cell r="S571">
            <v>0</v>
          </cell>
          <cell r="T571">
            <v>0</v>
          </cell>
          <cell r="U571">
            <v>25.919999999999998</v>
          </cell>
          <cell r="V571">
            <v>0.99</v>
          </cell>
          <cell r="W571">
            <v>26.909999999999997</v>
          </cell>
        </row>
        <row r="572">
          <cell r="A572" t="str">
            <v>5811-1</v>
          </cell>
          <cell r="B572">
            <v>42064</v>
          </cell>
          <cell r="C572" t="str">
            <v>Anne McFarland</v>
          </cell>
          <cell r="D572" t="str">
            <v>834 Bourke St,Waterloo</v>
          </cell>
          <cell r="E572" t="str">
            <v>Sydney</v>
          </cell>
          <cell r="F572" t="str">
            <v>NSW</v>
          </cell>
          <cell r="G572" t="str">
            <v>Consumer</v>
          </cell>
          <cell r="H572" t="str">
            <v>Charlie Bui</v>
          </cell>
          <cell r="I572" t="str">
            <v>Low</v>
          </cell>
          <cell r="J572" t="str">
            <v>TechSavi Access Keyboard</v>
          </cell>
          <cell r="K572" t="str">
            <v>Technology</v>
          </cell>
          <cell r="L572" t="str">
            <v>Small Box</v>
          </cell>
          <cell r="M572" t="str">
            <v>Regular Air</v>
          </cell>
          <cell r="N572">
            <v>42064</v>
          </cell>
          <cell r="O572">
            <v>10.07</v>
          </cell>
          <cell r="P572">
            <v>15.98</v>
          </cell>
          <cell r="Q572">
            <v>26</v>
          </cell>
          <cell r="R572">
            <v>415.48</v>
          </cell>
          <cell r="S572">
            <v>0.01</v>
          </cell>
          <cell r="T572">
            <v>4.1547999999999998</v>
          </cell>
          <cell r="U572">
            <v>415.47</v>
          </cell>
          <cell r="V572">
            <v>4</v>
          </cell>
          <cell r="W572">
            <v>419.47</v>
          </cell>
        </row>
        <row r="573">
          <cell r="A573" t="str">
            <v>5813-1</v>
          </cell>
          <cell r="B573">
            <v>42065</v>
          </cell>
          <cell r="C573" t="str">
            <v>Sarah Bern</v>
          </cell>
          <cell r="D573" t="str">
            <v>1-2/299 Sussex St,Sydney</v>
          </cell>
          <cell r="E573" t="str">
            <v>Sydney</v>
          </cell>
          <cell r="F573" t="str">
            <v>NSW</v>
          </cell>
          <cell r="G573" t="str">
            <v>Corporate</v>
          </cell>
          <cell r="H573" t="str">
            <v>Aanya Zhang</v>
          </cell>
          <cell r="I573" t="str">
            <v>Medium</v>
          </cell>
          <cell r="J573" t="str">
            <v>Artisan Hole Reinforcements</v>
          </cell>
          <cell r="K573" t="str">
            <v>Office Supplies</v>
          </cell>
          <cell r="L573" t="str">
            <v>Small Box</v>
          </cell>
          <cell r="M573" t="str">
            <v>Express Air</v>
          </cell>
          <cell r="N573">
            <v>42066</v>
          </cell>
          <cell r="O573">
            <v>3.99</v>
          </cell>
          <cell r="P573">
            <v>6.23</v>
          </cell>
          <cell r="Q573">
            <v>4</v>
          </cell>
          <cell r="R573">
            <v>24.92</v>
          </cell>
          <cell r="S573">
            <v>0.1</v>
          </cell>
          <cell r="T573">
            <v>2.4920000000000004</v>
          </cell>
          <cell r="U573">
            <v>24.82</v>
          </cell>
          <cell r="V573">
            <v>6.97</v>
          </cell>
          <cell r="W573">
            <v>31.79</v>
          </cell>
        </row>
        <row r="574">
          <cell r="A574" t="str">
            <v>5814-1</v>
          </cell>
          <cell r="B574">
            <v>42065</v>
          </cell>
          <cell r="C574" t="str">
            <v>Thomas Thornton</v>
          </cell>
          <cell r="D574" t="str">
            <v>222 Barkly St,St Kilda</v>
          </cell>
          <cell r="E574" t="str">
            <v>Melbourne</v>
          </cell>
          <cell r="F574" t="str">
            <v>VIC</v>
          </cell>
          <cell r="G574" t="str">
            <v>Consumer</v>
          </cell>
          <cell r="H574" t="str">
            <v>Yvette Biti</v>
          </cell>
          <cell r="I574" t="str">
            <v>Critical</v>
          </cell>
          <cell r="J574" t="str">
            <v>Steady Colorific Colored Pencils, 12/Box</v>
          </cell>
          <cell r="K574" t="str">
            <v>Office Supplies</v>
          </cell>
          <cell r="L574" t="str">
            <v>Wrap Bag</v>
          </cell>
          <cell r="M574" t="str">
            <v>Regular Air</v>
          </cell>
          <cell r="N574">
            <v>42067</v>
          </cell>
          <cell r="O574">
            <v>1.3</v>
          </cell>
          <cell r="P574">
            <v>2.88</v>
          </cell>
          <cell r="Q574">
            <v>43</v>
          </cell>
          <cell r="R574">
            <v>123.83999999999999</v>
          </cell>
          <cell r="S574">
            <v>0.1</v>
          </cell>
          <cell r="T574">
            <v>12.384</v>
          </cell>
          <cell r="U574">
            <v>123.74</v>
          </cell>
          <cell r="V574">
            <v>1.01</v>
          </cell>
          <cell r="W574">
            <v>124.75</v>
          </cell>
        </row>
        <row r="575">
          <cell r="A575" t="str">
            <v>5815-1</v>
          </cell>
          <cell r="B575">
            <v>42066</v>
          </cell>
          <cell r="C575" t="str">
            <v>Nicole Brennan</v>
          </cell>
          <cell r="D575" t="str">
            <v>310 Wattle St,Ultimo</v>
          </cell>
          <cell r="E575" t="str">
            <v>Sydney</v>
          </cell>
          <cell r="F575" t="str">
            <v>NSW</v>
          </cell>
          <cell r="G575" t="str">
            <v>Home Office</v>
          </cell>
          <cell r="H575" t="str">
            <v>Aanya Zhang</v>
          </cell>
          <cell r="I575" t="str">
            <v>High</v>
          </cell>
          <cell r="J575" t="str">
            <v>Lumi Crayons</v>
          </cell>
          <cell r="K575" t="str">
            <v>Office Supplies</v>
          </cell>
          <cell r="L575" t="str">
            <v>Wrap Bag</v>
          </cell>
          <cell r="M575" t="str">
            <v>Regular Air</v>
          </cell>
          <cell r="N575">
            <v>42067</v>
          </cell>
          <cell r="O575">
            <v>5.22</v>
          </cell>
          <cell r="P575">
            <v>9.85</v>
          </cell>
          <cell r="Q575">
            <v>41</v>
          </cell>
          <cell r="R575">
            <v>403.84999999999997</v>
          </cell>
          <cell r="S575">
            <v>0.05</v>
          </cell>
          <cell r="T575">
            <v>20.192499999999999</v>
          </cell>
          <cell r="U575">
            <v>403.79999999999995</v>
          </cell>
          <cell r="V575">
            <v>4.82</v>
          </cell>
          <cell r="W575">
            <v>408.61999999999995</v>
          </cell>
        </row>
        <row r="576">
          <cell r="A576" t="str">
            <v>5816-1</v>
          </cell>
          <cell r="B576">
            <v>42067</v>
          </cell>
          <cell r="C576" t="str">
            <v>Tracy Poddar</v>
          </cell>
          <cell r="D576" t="str">
            <v>834 Bourke St,Waterloo</v>
          </cell>
          <cell r="E576" t="str">
            <v>Sydney</v>
          </cell>
          <cell r="F576" t="str">
            <v>NSW</v>
          </cell>
          <cell r="G576" t="str">
            <v>Corporate</v>
          </cell>
          <cell r="H576" t="str">
            <v>Charlie Bui</v>
          </cell>
          <cell r="I576" t="str">
            <v>High</v>
          </cell>
          <cell r="J576" t="str">
            <v>Artisan Hi-Liter Pen Style Six-Color Fluorescent Set</v>
          </cell>
          <cell r="K576" t="str">
            <v>Office Supplies</v>
          </cell>
          <cell r="L576" t="str">
            <v>Wrap Bag</v>
          </cell>
          <cell r="M576" t="str">
            <v>Regular Air</v>
          </cell>
          <cell r="N576">
            <v>42069</v>
          </cell>
          <cell r="O576">
            <v>2.16</v>
          </cell>
          <cell r="P576">
            <v>3.85</v>
          </cell>
          <cell r="Q576">
            <v>4</v>
          </cell>
          <cell r="R576">
            <v>15.4</v>
          </cell>
          <cell r="S576">
            <v>0.09</v>
          </cell>
          <cell r="T576">
            <v>1.3859999999999999</v>
          </cell>
          <cell r="U576">
            <v>15.31</v>
          </cell>
          <cell r="V576">
            <v>0.7</v>
          </cell>
          <cell r="W576">
            <v>16.010000000000002</v>
          </cell>
        </row>
        <row r="577">
          <cell r="A577" t="str">
            <v>5818-1</v>
          </cell>
          <cell r="B577">
            <v>42069</v>
          </cell>
          <cell r="C577" t="str">
            <v>Trudy Brown</v>
          </cell>
          <cell r="D577" t="str">
            <v>180 High Street,Windsor</v>
          </cell>
          <cell r="E577" t="str">
            <v>Melbourne</v>
          </cell>
          <cell r="F577" t="str">
            <v>VIC</v>
          </cell>
          <cell r="G577" t="str">
            <v>Small Business</v>
          </cell>
          <cell r="H577" t="str">
            <v>Connor Betts</v>
          </cell>
          <cell r="I577" t="str">
            <v>High</v>
          </cell>
          <cell r="J577" t="str">
            <v>Artisan Printable Repositionable Plastic Tabs</v>
          </cell>
          <cell r="K577" t="str">
            <v>Office Supplies</v>
          </cell>
          <cell r="L577" t="str">
            <v>Small Box</v>
          </cell>
          <cell r="M577" t="str">
            <v>Regular Air</v>
          </cell>
          <cell r="N577">
            <v>42070</v>
          </cell>
          <cell r="O577">
            <v>5.33</v>
          </cell>
          <cell r="P577">
            <v>8.6</v>
          </cell>
          <cell r="Q577">
            <v>2</v>
          </cell>
          <cell r="R577">
            <v>17.2</v>
          </cell>
          <cell r="S577">
            <v>0.05</v>
          </cell>
          <cell r="T577">
            <v>0.86</v>
          </cell>
          <cell r="U577">
            <v>17.149999999999999</v>
          </cell>
          <cell r="V577">
            <v>6.19</v>
          </cell>
          <cell r="W577">
            <v>23.34</v>
          </cell>
        </row>
        <row r="578">
          <cell r="A578" t="str">
            <v>5819-1</v>
          </cell>
          <cell r="B578">
            <v>42074</v>
          </cell>
          <cell r="C578" t="str">
            <v>Anthony Garverick</v>
          </cell>
          <cell r="D578" t="str">
            <v>470 Anzac Parade,Kingsford</v>
          </cell>
          <cell r="E578" t="str">
            <v>Sydney</v>
          </cell>
          <cell r="F578" t="str">
            <v>NSW</v>
          </cell>
          <cell r="G578" t="str">
            <v>Small Business</v>
          </cell>
          <cell r="H578" t="str">
            <v>Tina Carlton</v>
          </cell>
          <cell r="I578" t="str">
            <v>High</v>
          </cell>
          <cell r="J578" t="str">
            <v>Steady Major Accent Highlighters</v>
          </cell>
          <cell r="K578" t="str">
            <v>Office Supplies</v>
          </cell>
          <cell r="L578" t="str">
            <v>Wrap Bag</v>
          </cell>
          <cell r="M578" t="str">
            <v>Regular Air</v>
          </cell>
          <cell r="N578">
            <v>42075</v>
          </cell>
          <cell r="O578">
            <v>3.75</v>
          </cell>
          <cell r="P578">
            <v>7.08</v>
          </cell>
          <cell r="Q578">
            <v>12</v>
          </cell>
          <cell r="R578">
            <v>84.960000000000008</v>
          </cell>
          <cell r="S578">
            <v>0.1</v>
          </cell>
          <cell r="T578">
            <v>8.4960000000000004</v>
          </cell>
          <cell r="U578">
            <v>84.860000000000014</v>
          </cell>
          <cell r="V578">
            <v>2.35</v>
          </cell>
          <cell r="W578">
            <v>87.210000000000008</v>
          </cell>
        </row>
        <row r="579">
          <cell r="A579" t="str">
            <v>5821-1</v>
          </cell>
          <cell r="B579">
            <v>42075</v>
          </cell>
          <cell r="C579" t="str">
            <v>Susan Pistek</v>
          </cell>
          <cell r="D579" t="str">
            <v>2a/285A Crown St,Surry Hills</v>
          </cell>
          <cell r="E579" t="str">
            <v>Sydney</v>
          </cell>
          <cell r="F579" t="str">
            <v>NSW</v>
          </cell>
          <cell r="G579" t="str">
            <v>Home Office</v>
          </cell>
          <cell r="H579" t="str">
            <v>Phoebe Gour</v>
          </cell>
          <cell r="I579" t="str">
            <v>Critical</v>
          </cell>
          <cell r="J579" t="str">
            <v>Artisan 481 Labels</v>
          </cell>
          <cell r="K579" t="str">
            <v>Office Supplies</v>
          </cell>
          <cell r="L579" t="str">
            <v>Small Box</v>
          </cell>
          <cell r="M579" t="str">
            <v>Regular Air</v>
          </cell>
          <cell r="N579">
            <v>42076</v>
          </cell>
          <cell r="O579">
            <v>1.94</v>
          </cell>
          <cell r="P579">
            <v>3.08</v>
          </cell>
          <cell r="Q579">
            <v>4</v>
          </cell>
          <cell r="R579">
            <v>12.32</v>
          </cell>
          <cell r="S579">
            <v>0.03</v>
          </cell>
          <cell r="T579">
            <v>0.36959999999999998</v>
          </cell>
          <cell r="U579">
            <v>12.290000000000001</v>
          </cell>
          <cell r="V579">
            <v>0.99</v>
          </cell>
          <cell r="W579">
            <v>13.280000000000001</v>
          </cell>
        </row>
        <row r="580">
          <cell r="A580" t="str">
            <v>5822-1</v>
          </cell>
          <cell r="B580">
            <v>42078</v>
          </cell>
          <cell r="C580" t="str">
            <v>Carlos Soltero</v>
          </cell>
          <cell r="D580" t="str">
            <v>1/41B Elizabeth Bay Rd,Elizabeth Bay</v>
          </cell>
          <cell r="E580" t="str">
            <v>Sydney</v>
          </cell>
          <cell r="F580" t="str">
            <v>NSW</v>
          </cell>
          <cell r="G580" t="str">
            <v>Consumer</v>
          </cell>
          <cell r="H580" t="str">
            <v>Charlie Bui</v>
          </cell>
          <cell r="I580" t="str">
            <v>High</v>
          </cell>
          <cell r="J580" t="str">
            <v>Self-Adhesive Ring Binder Labels</v>
          </cell>
          <cell r="K580" t="str">
            <v>Office Supplies</v>
          </cell>
          <cell r="L580" t="str">
            <v>Small Box</v>
          </cell>
          <cell r="M580" t="str">
            <v>Regular Air</v>
          </cell>
          <cell r="N580">
            <v>42080</v>
          </cell>
          <cell r="O580">
            <v>2.1800000000000002</v>
          </cell>
          <cell r="P580">
            <v>3.52</v>
          </cell>
          <cell r="Q580">
            <v>49</v>
          </cell>
          <cell r="R580">
            <v>172.48</v>
          </cell>
          <cell r="S580">
            <v>0.08</v>
          </cell>
          <cell r="T580">
            <v>13.798399999999999</v>
          </cell>
          <cell r="U580">
            <v>172.39999999999998</v>
          </cell>
          <cell r="V580">
            <v>6.83</v>
          </cell>
          <cell r="W580">
            <v>179.23</v>
          </cell>
        </row>
        <row r="581">
          <cell r="A581" t="str">
            <v>5824-1</v>
          </cell>
          <cell r="B581">
            <v>42079</v>
          </cell>
          <cell r="C581" t="str">
            <v>Keith Dawkins</v>
          </cell>
          <cell r="D581" t="str">
            <v>402 Argyle St,Moss Vale</v>
          </cell>
          <cell r="E581" t="str">
            <v>Sydney</v>
          </cell>
          <cell r="F581" t="str">
            <v>NSW</v>
          </cell>
          <cell r="G581" t="str">
            <v>Home Office</v>
          </cell>
          <cell r="H581" t="str">
            <v>Natasha Song</v>
          </cell>
          <cell r="I581" t="str">
            <v>Not Specified</v>
          </cell>
          <cell r="J581" t="str">
            <v>Emerson Stylus 1520 Color Inkjet Printer</v>
          </cell>
          <cell r="K581" t="str">
            <v>Technology</v>
          </cell>
          <cell r="L581" t="str">
            <v>Jumbo Drum</v>
          </cell>
          <cell r="M581" t="str">
            <v>Delivery Truck</v>
          </cell>
          <cell r="N581">
            <v>42080</v>
          </cell>
          <cell r="O581">
            <v>315.61</v>
          </cell>
          <cell r="P581">
            <v>500.97</v>
          </cell>
          <cell r="Q581">
            <v>3</v>
          </cell>
          <cell r="R581">
            <v>1502.91</v>
          </cell>
          <cell r="S581">
            <v>0.06</v>
          </cell>
          <cell r="T581">
            <v>90.174599999999998</v>
          </cell>
          <cell r="U581">
            <v>1502.8500000000001</v>
          </cell>
          <cell r="V581">
            <v>69.3</v>
          </cell>
          <cell r="W581">
            <v>1572.15</v>
          </cell>
        </row>
        <row r="582">
          <cell r="A582" t="str">
            <v>5826-1</v>
          </cell>
          <cell r="B582">
            <v>42079</v>
          </cell>
          <cell r="C582" t="str">
            <v>Harold Pawlan</v>
          </cell>
          <cell r="D582" t="str">
            <v>180 High Street,Windsor</v>
          </cell>
          <cell r="E582" t="str">
            <v>Melbourne</v>
          </cell>
          <cell r="F582" t="str">
            <v>VIC</v>
          </cell>
          <cell r="G582" t="str">
            <v>Small Business</v>
          </cell>
          <cell r="H582" t="str">
            <v>Connor Betts</v>
          </cell>
          <cell r="I582" t="str">
            <v>High</v>
          </cell>
          <cell r="J582" t="str">
            <v>Multi-Use Personal File Cart and Caster Set, Three Stacking Bins</v>
          </cell>
          <cell r="K582" t="str">
            <v>Office Supplies</v>
          </cell>
          <cell r="L582" t="str">
            <v>Small Box</v>
          </cell>
          <cell r="M582" t="str">
            <v>Regular Air</v>
          </cell>
          <cell r="N582">
            <v>42079</v>
          </cell>
          <cell r="O582">
            <v>14.95</v>
          </cell>
          <cell r="P582">
            <v>34.76</v>
          </cell>
          <cell r="Q582">
            <v>43</v>
          </cell>
          <cell r="R582">
            <v>1494.6799999999998</v>
          </cell>
          <cell r="S582">
            <v>0</v>
          </cell>
          <cell r="T582">
            <v>0</v>
          </cell>
          <cell r="U582">
            <v>1494.6799999999998</v>
          </cell>
          <cell r="V582">
            <v>8.2200000000000006</v>
          </cell>
          <cell r="W582">
            <v>1502.8999999999999</v>
          </cell>
        </row>
        <row r="583">
          <cell r="A583" t="str">
            <v>5827-1</v>
          </cell>
          <cell r="B583">
            <v>42080</v>
          </cell>
          <cell r="C583" t="str">
            <v>Natalie Webber</v>
          </cell>
          <cell r="D583" t="str">
            <v>98-104 Parramatta Rd,Camperdown</v>
          </cell>
          <cell r="E583" t="str">
            <v>Sydney</v>
          </cell>
          <cell r="F583" t="str">
            <v>NSW</v>
          </cell>
          <cell r="G583" t="str">
            <v>Consumer</v>
          </cell>
          <cell r="H583" t="str">
            <v>Phoebe Gour</v>
          </cell>
          <cell r="I583" t="str">
            <v>Critical</v>
          </cell>
          <cell r="J583" t="str">
            <v>DrawIt Colored Pencils, 48-Color Set</v>
          </cell>
          <cell r="K583" t="str">
            <v>Office Supplies</v>
          </cell>
          <cell r="L583" t="str">
            <v>Wrap Bag</v>
          </cell>
          <cell r="M583" t="str">
            <v>Regular Air</v>
          </cell>
          <cell r="N583">
            <v>42082</v>
          </cell>
          <cell r="O583">
            <v>21.56</v>
          </cell>
          <cell r="P583">
            <v>36.549999999999997</v>
          </cell>
          <cell r="Q583">
            <v>2</v>
          </cell>
          <cell r="R583">
            <v>73.099999999999994</v>
          </cell>
          <cell r="S583">
            <v>0.03</v>
          </cell>
          <cell r="T583">
            <v>2.1929999999999996</v>
          </cell>
          <cell r="U583">
            <v>73.069999999999993</v>
          </cell>
          <cell r="V583">
            <v>13.89</v>
          </cell>
          <cell r="W583">
            <v>86.96</v>
          </cell>
        </row>
        <row r="584">
          <cell r="A584" t="str">
            <v>5829-1</v>
          </cell>
          <cell r="B584">
            <v>42080</v>
          </cell>
          <cell r="C584" t="str">
            <v>Jonathan Howell</v>
          </cell>
          <cell r="D584" t="str">
            <v>180 High Street,Windsor</v>
          </cell>
          <cell r="E584" t="str">
            <v>Melbourne</v>
          </cell>
          <cell r="F584" t="str">
            <v>VIC</v>
          </cell>
          <cell r="G584" t="str">
            <v>Consumer</v>
          </cell>
          <cell r="H584" t="str">
            <v>Connor Betts</v>
          </cell>
          <cell r="I584" t="str">
            <v>Medium</v>
          </cell>
          <cell r="J584" t="str">
            <v>Xit Blank Computer Paper</v>
          </cell>
          <cell r="K584" t="str">
            <v>Office Supplies</v>
          </cell>
          <cell r="L584" t="str">
            <v>Small Box</v>
          </cell>
          <cell r="M584" t="str">
            <v>Regular Air</v>
          </cell>
          <cell r="N584">
            <v>42080</v>
          </cell>
          <cell r="O584">
            <v>12.39</v>
          </cell>
          <cell r="P584">
            <v>19.98</v>
          </cell>
          <cell r="Q584">
            <v>32</v>
          </cell>
          <cell r="R584">
            <v>639.36</v>
          </cell>
          <cell r="S584">
            <v>0.05</v>
          </cell>
          <cell r="T584">
            <v>31.968000000000004</v>
          </cell>
          <cell r="U584">
            <v>639.31000000000006</v>
          </cell>
          <cell r="V584">
            <v>5.77</v>
          </cell>
          <cell r="W584">
            <v>645.08000000000004</v>
          </cell>
        </row>
        <row r="585">
          <cell r="A585" t="str">
            <v>5831-1</v>
          </cell>
          <cell r="B585">
            <v>42081</v>
          </cell>
          <cell r="C585" t="str">
            <v>Erin Creighton</v>
          </cell>
          <cell r="D585" t="str">
            <v>523 King St,Newtown</v>
          </cell>
          <cell r="E585" t="str">
            <v>Sydney</v>
          </cell>
          <cell r="F585" t="str">
            <v>NSW</v>
          </cell>
          <cell r="G585" t="str">
            <v>Corporate</v>
          </cell>
          <cell r="H585" t="str">
            <v>Aanya Zhang</v>
          </cell>
          <cell r="I585" t="str">
            <v>Critical</v>
          </cell>
          <cell r="J585" t="str">
            <v>Apex Design Stainless Steel Bent Scissors</v>
          </cell>
          <cell r="K585" t="str">
            <v>Office Supplies</v>
          </cell>
          <cell r="L585" t="str">
            <v>Small Pack</v>
          </cell>
          <cell r="M585" t="str">
            <v>Regular Air</v>
          </cell>
          <cell r="N585">
            <v>42084</v>
          </cell>
          <cell r="O585">
            <v>2.87</v>
          </cell>
          <cell r="P585">
            <v>6.84</v>
          </cell>
          <cell r="Q585">
            <v>35</v>
          </cell>
          <cell r="R585">
            <v>239.4</v>
          </cell>
          <cell r="S585">
            <v>0.02</v>
          </cell>
          <cell r="T585">
            <v>4.7880000000000003</v>
          </cell>
          <cell r="U585">
            <v>239.38</v>
          </cell>
          <cell r="V585">
            <v>4.42</v>
          </cell>
          <cell r="W585">
            <v>243.79999999999998</v>
          </cell>
        </row>
        <row r="586">
          <cell r="A586" t="str">
            <v>5832-1</v>
          </cell>
          <cell r="B586">
            <v>42083</v>
          </cell>
          <cell r="C586" t="str">
            <v>Sibella Parks</v>
          </cell>
          <cell r="D586" t="str">
            <v>180 High Street,Windsor</v>
          </cell>
          <cell r="E586" t="str">
            <v>Melbourne</v>
          </cell>
          <cell r="F586" t="str">
            <v>VIC</v>
          </cell>
          <cell r="G586" t="str">
            <v>Small Business</v>
          </cell>
          <cell r="H586" t="str">
            <v>Connor Betts</v>
          </cell>
          <cell r="I586" t="str">
            <v>Critical</v>
          </cell>
          <cell r="J586" t="str">
            <v>Alto Keyboard-In-A-Box</v>
          </cell>
          <cell r="K586" t="str">
            <v>Technology</v>
          </cell>
          <cell r="L586" t="str">
            <v>Small Box</v>
          </cell>
          <cell r="M586" t="str">
            <v>Express Air</v>
          </cell>
          <cell r="N586">
            <v>42084</v>
          </cell>
          <cell r="O586">
            <v>6.4</v>
          </cell>
          <cell r="P586">
            <v>29.1</v>
          </cell>
          <cell r="Q586">
            <v>50</v>
          </cell>
          <cell r="R586">
            <v>1455</v>
          </cell>
          <cell r="S586">
            <v>0.09</v>
          </cell>
          <cell r="T586">
            <v>130.94999999999999</v>
          </cell>
          <cell r="U586">
            <v>1454.91</v>
          </cell>
          <cell r="V586">
            <v>4</v>
          </cell>
          <cell r="W586">
            <v>1458.91</v>
          </cell>
        </row>
        <row r="587">
          <cell r="A587" t="str">
            <v>5834-1</v>
          </cell>
          <cell r="B587">
            <v>42084</v>
          </cell>
          <cell r="C587" t="str">
            <v>Tony Sayre</v>
          </cell>
          <cell r="D587" t="str">
            <v>499-501 Lygon Street,Carlton North</v>
          </cell>
          <cell r="E587" t="str">
            <v>Melbourne</v>
          </cell>
          <cell r="F587" t="str">
            <v>VIC</v>
          </cell>
          <cell r="G587" t="str">
            <v>Small Business</v>
          </cell>
          <cell r="H587" t="str">
            <v>Yvette Biti</v>
          </cell>
          <cell r="I587" t="str">
            <v>Critical</v>
          </cell>
          <cell r="J587" t="str">
            <v>Steady Major Accent Highlighters</v>
          </cell>
          <cell r="K587" t="str">
            <v>Office Supplies</v>
          </cell>
          <cell r="L587" t="str">
            <v>Wrap Bag</v>
          </cell>
          <cell r="M587" t="str">
            <v>Regular Air</v>
          </cell>
          <cell r="N587">
            <v>42085</v>
          </cell>
          <cell r="O587">
            <v>3.75</v>
          </cell>
          <cell r="P587">
            <v>7.08</v>
          </cell>
          <cell r="Q587">
            <v>31</v>
          </cell>
          <cell r="R587">
            <v>219.48</v>
          </cell>
          <cell r="S587">
            <v>0.01</v>
          </cell>
          <cell r="T587">
            <v>2.1947999999999999</v>
          </cell>
          <cell r="U587">
            <v>219.47</v>
          </cell>
          <cell r="V587">
            <v>2.35</v>
          </cell>
          <cell r="W587">
            <v>221.82</v>
          </cell>
        </row>
        <row r="588">
          <cell r="A588" t="str">
            <v>5835-1</v>
          </cell>
          <cell r="B588">
            <v>42085</v>
          </cell>
          <cell r="C588" t="str">
            <v>Tom Ashbrook</v>
          </cell>
          <cell r="D588" t="str">
            <v>Westfield Sydney,Sydney</v>
          </cell>
          <cell r="E588" t="str">
            <v>Sydney</v>
          </cell>
          <cell r="F588" t="str">
            <v>NSW</v>
          </cell>
          <cell r="G588" t="str">
            <v>Home Office</v>
          </cell>
          <cell r="H588" t="str">
            <v>Natasha Song</v>
          </cell>
          <cell r="I588" t="str">
            <v>High</v>
          </cell>
          <cell r="J588" t="str">
            <v>Alto Parchment Paper, Assorted Colors</v>
          </cell>
          <cell r="K588" t="str">
            <v>Office Supplies</v>
          </cell>
          <cell r="L588" t="str">
            <v>Small Box</v>
          </cell>
          <cell r="M588" t="str">
            <v>Express Air</v>
          </cell>
          <cell r="N588">
            <v>42086</v>
          </cell>
          <cell r="O588">
            <v>4.59</v>
          </cell>
          <cell r="P588">
            <v>7.28</v>
          </cell>
          <cell r="Q588">
            <v>40</v>
          </cell>
          <cell r="R588">
            <v>291.2</v>
          </cell>
          <cell r="S588">
            <v>0.04</v>
          </cell>
          <cell r="T588">
            <v>11.648</v>
          </cell>
          <cell r="U588">
            <v>291.15999999999997</v>
          </cell>
          <cell r="V588">
            <v>11.15</v>
          </cell>
          <cell r="W588">
            <v>302.30999999999995</v>
          </cell>
        </row>
        <row r="589">
          <cell r="A589" t="str">
            <v>5837-1</v>
          </cell>
          <cell r="B589">
            <v>42087</v>
          </cell>
          <cell r="C589" t="str">
            <v>Astrea Jones</v>
          </cell>
          <cell r="D589" t="str">
            <v>485 Crown St,Surry Hills</v>
          </cell>
          <cell r="E589" t="str">
            <v>Sydney</v>
          </cell>
          <cell r="F589" t="str">
            <v>NSW</v>
          </cell>
          <cell r="G589" t="str">
            <v>Corporate</v>
          </cell>
          <cell r="H589" t="str">
            <v>Leighton Forrest</v>
          </cell>
          <cell r="I589" t="str">
            <v>Medium</v>
          </cell>
          <cell r="J589" t="str">
            <v>Artisan Durable Poly Binders</v>
          </cell>
          <cell r="K589" t="str">
            <v>Office Supplies</v>
          </cell>
          <cell r="L589" t="str">
            <v>Small Box</v>
          </cell>
          <cell r="M589" t="str">
            <v>Regular Air</v>
          </cell>
          <cell r="N589">
            <v>42089</v>
          </cell>
          <cell r="O589">
            <v>3.37</v>
          </cell>
          <cell r="P589">
            <v>5.53</v>
          </cell>
          <cell r="Q589">
            <v>23</v>
          </cell>
          <cell r="R589">
            <v>127.19000000000001</v>
          </cell>
          <cell r="S589">
            <v>0.1</v>
          </cell>
          <cell r="T589">
            <v>12.719000000000001</v>
          </cell>
          <cell r="U589">
            <v>127.09000000000002</v>
          </cell>
          <cell r="V589">
            <v>6.98</v>
          </cell>
          <cell r="W589">
            <v>134.07000000000002</v>
          </cell>
        </row>
        <row r="590">
          <cell r="A590" t="str">
            <v>5838-1</v>
          </cell>
          <cell r="B590">
            <v>42087</v>
          </cell>
          <cell r="C590" t="str">
            <v>Brad Norvell</v>
          </cell>
          <cell r="D590" t="str">
            <v>120 Hardware St,Melbourne</v>
          </cell>
          <cell r="E590" t="str">
            <v>Melbourne</v>
          </cell>
          <cell r="F590" t="str">
            <v>VIC</v>
          </cell>
          <cell r="G590" t="str">
            <v>Corporate</v>
          </cell>
          <cell r="H590" t="str">
            <v>Yvette Biti</v>
          </cell>
          <cell r="I590" t="str">
            <v>Critical</v>
          </cell>
          <cell r="J590" t="str">
            <v>Smiths Standard Envelopes</v>
          </cell>
          <cell r="K590" t="str">
            <v>Office Supplies</v>
          </cell>
          <cell r="L590" t="str">
            <v>Small Box</v>
          </cell>
          <cell r="M590" t="str">
            <v>Regular Air</v>
          </cell>
          <cell r="N590">
            <v>42088</v>
          </cell>
          <cell r="O590">
            <v>3.52</v>
          </cell>
          <cell r="P590">
            <v>5.68</v>
          </cell>
          <cell r="Q590">
            <v>8</v>
          </cell>
          <cell r="R590">
            <v>45.44</v>
          </cell>
          <cell r="S590">
            <v>0.02</v>
          </cell>
          <cell r="T590">
            <v>0.90879999999999994</v>
          </cell>
          <cell r="U590">
            <v>45.419999999999995</v>
          </cell>
          <cell r="V590">
            <v>1.39</v>
          </cell>
          <cell r="W590">
            <v>46.809999999999995</v>
          </cell>
        </row>
        <row r="591">
          <cell r="A591" t="str">
            <v>5840-1</v>
          </cell>
          <cell r="B591">
            <v>42088</v>
          </cell>
          <cell r="C591" t="str">
            <v>Ed Braxton</v>
          </cell>
          <cell r="D591" t="str">
            <v>499-501 Lygon Street,Carlton North</v>
          </cell>
          <cell r="E591" t="str">
            <v>Melbourne</v>
          </cell>
          <cell r="F591" t="str">
            <v>VIC</v>
          </cell>
          <cell r="G591" t="str">
            <v>Home Office</v>
          </cell>
          <cell r="H591" t="str">
            <v>Yvette Biti</v>
          </cell>
          <cell r="I591" t="str">
            <v>Not Specified</v>
          </cell>
          <cell r="J591" t="str">
            <v>1726 Digital Answering Machine</v>
          </cell>
          <cell r="K591" t="str">
            <v>Technology</v>
          </cell>
          <cell r="L591" t="str">
            <v>Medium Box</v>
          </cell>
          <cell r="M591" t="str">
            <v>Regular Air</v>
          </cell>
          <cell r="N591">
            <v>42090</v>
          </cell>
          <cell r="O591">
            <v>8.82</v>
          </cell>
          <cell r="P591">
            <v>20.99</v>
          </cell>
          <cell r="Q591">
            <v>45</v>
          </cell>
          <cell r="R591">
            <v>944.55</v>
          </cell>
          <cell r="S591">
            <v>0.03</v>
          </cell>
          <cell r="T591">
            <v>28.336499999999997</v>
          </cell>
          <cell r="U591">
            <v>944.52</v>
          </cell>
          <cell r="V591">
            <v>4.8099999999999996</v>
          </cell>
          <cell r="W591">
            <v>949.32999999999993</v>
          </cell>
        </row>
        <row r="592">
          <cell r="A592" t="str">
            <v>5841-1</v>
          </cell>
          <cell r="B592">
            <v>42088</v>
          </cell>
          <cell r="C592" t="str">
            <v>Erin Creighton</v>
          </cell>
          <cell r="D592" t="str">
            <v>523 King St,Newtown</v>
          </cell>
          <cell r="E592" t="str">
            <v>Sydney</v>
          </cell>
          <cell r="F592" t="str">
            <v>NSW</v>
          </cell>
          <cell r="G592" t="str">
            <v>Corporate</v>
          </cell>
          <cell r="H592" t="str">
            <v>Aanya Zhang</v>
          </cell>
          <cell r="I592" t="str">
            <v>Not Specified</v>
          </cell>
          <cell r="J592" t="str">
            <v>Pizazz Drawing Pencil Set</v>
          </cell>
          <cell r="K592" t="str">
            <v>Office Supplies</v>
          </cell>
          <cell r="L592" t="str">
            <v>Wrap Bag</v>
          </cell>
          <cell r="M592" t="str">
            <v>Express Air</v>
          </cell>
          <cell r="N592">
            <v>42090</v>
          </cell>
          <cell r="O592">
            <v>1.53</v>
          </cell>
          <cell r="P592">
            <v>2.78</v>
          </cell>
          <cell r="Q592">
            <v>34</v>
          </cell>
          <cell r="R592">
            <v>94.52</v>
          </cell>
          <cell r="S592">
            <v>0</v>
          </cell>
          <cell r="T592">
            <v>0</v>
          </cell>
          <cell r="U592">
            <v>94.52</v>
          </cell>
          <cell r="V592">
            <v>1.34</v>
          </cell>
          <cell r="W592">
            <v>95.86</v>
          </cell>
        </row>
        <row r="593">
          <cell r="A593" t="str">
            <v>5842-1</v>
          </cell>
          <cell r="B593">
            <v>42093</v>
          </cell>
          <cell r="C593" t="str">
            <v>Mike Kennedy</v>
          </cell>
          <cell r="D593" t="str">
            <v>99 Lygon Street,East Brunswick</v>
          </cell>
          <cell r="E593" t="str">
            <v>Melbourne</v>
          </cell>
          <cell r="F593" t="str">
            <v>VIC</v>
          </cell>
          <cell r="G593" t="str">
            <v>Small Business</v>
          </cell>
          <cell r="H593" t="str">
            <v>Connor Betts</v>
          </cell>
          <cell r="I593" t="str">
            <v>Medium</v>
          </cell>
          <cell r="J593" t="str">
            <v>UGen Ultra Cordless Optical Suite</v>
          </cell>
          <cell r="K593" t="str">
            <v>Technology</v>
          </cell>
          <cell r="L593" t="str">
            <v>Small Box</v>
          </cell>
          <cell r="M593" t="str">
            <v>Regular Air</v>
          </cell>
          <cell r="N593">
            <v>42095</v>
          </cell>
          <cell r="O593">
            <v>54.52</v>
          </cell>
          <cell r="P593">
            <v>100.97</v>
          </cell>
          <cell r="Q593">
            <v>13</v>
          </cell>
          <cell r="R593">
            <v>1312.61</v>
          </cell>
          <cell r="S593">
            <v>0.06</v>
          </cell>
          <cell r="T593">
            <v>78.756599999999992</v>
          </cell>
          <cell r="U593">
            <v>1312.55</v>
          </cell>
          <cell r="V593">
            <v>7.18</v>
          </cell>
          <cell r="W593">
            <v>1319.73</v>
          </cell>
        </row>
        <row r="594">
          <cell r="A594" t="str">
            <v>5843-1</v>
          </cell>
          <cell r="B594">
            <v>42098</v>
          </cell>
          <cell r="C594" t="str">
            <v>Valerie Mitchum</v>
          </cell>
          <cell r="D594" t="str">
            <v>Westfield Sydney,Sydney</v>
          </cell>
          <cell r="E594" t="str">
            <v>Sydney</v>
          </cell>
          <cell r="F594" t="str">
            <v>NSW</v>
          </cell>
          <cell r="G594" t="str">
            <v>Home Office</v>
          </cell>
          <cell r="H594" t="str">
            <v>Natasha Song</v>
          </cell>
          <cell r="I594" t="str">
            <v>Medium</v>
          </cell>
          <cell r="J594" t="str">
            <v>Cando S750 Color Inkjet Printer</v>
          </cell>
          <cell r="K594" t="str">
            <v>Technology</v>
          </cell>
          <cell r="L594" t="str">
            <v>Jumbo Drum</v>
          </cell>
          <cell r="M594" t="str">
            <v>Delivery Truck</v>
          </cell>
          <cell r="N594">
            <v>42099</v>
          </cell>
          <cell r="O594">
            <v>75</v>
          </cell>
          <cell r="P594">
            <v>120.97</v>
          </cell>
          <cell r="Q594">
            <v>38</v>
          </cell>
          <cell r="R594">
            <v>4596.8599999999997</v>
          </cell>
          <cell r="S594">
            <v>0.09</v>
          </cell>
          <cell r="T594">
            <v>413.71739999999994</v>
          </cell>
          <cell r="U594">
            <v>4596.7699999999995</v>
          </cell>
          <cell r="V594">
            <v>26.3</v>
          </cell>
          <cell r="W594">
            <v>4623.07</v>
          </cell>
        </row>
        <row r="595">
          <cell r="A595" t="str">
            <v>5845-1</v>
          </cell>
          <cell r="B595">
            <v>42098</v>
          </cell>
          <cell r="C595" t="str">
            <v>Michael Paige</v>
          </cell>
          <cell r="D595" t="str">
            <v>506 Swan Street,Richmond</v>
          </cell>
          <cell r="E595" t="str">
            <v>Melbourne</v>
          </cell>
          <cell r="F595" t="str">
            <v>VIC</v>
          </cell>
          <cell r="G595" t="str">
            <v>Small Business</v>
          </cell>
          <cell r="H595" t="str">
            <v>Connor Betts</v>
          </cell>
          <cell r="I595" t="str">
            <v>High</v>
          </cell>
          <cell r="J595" t="str">
            <v>Unpadded Memo Slips</v>
          </cell>
          <cell r="K595" t="str">
            <v>Office Supplies</v>
          </cell>
          <cell r="L595" t="str">
            <v>Wrap Bag</v>
          </cell>
          <cell r="M595" t="str">
            <v>Regular Air</v>
          </cell>
          <cell r="N595">
            <v>42099</v>
          </cell>
          <cell r="O595">
            <v>2.59</v>
          </cell>
          <cell r="P595">
            <v>3.98</v>
          </cell>
          <cell r="Q595">
            <v>2</v>
          </cell>
          <cell r="R595">
            <v>7.96</v>
          </cell>
          <cell r="S595">
            <v>0.04</v>
          </cell>
          <cell r="T595">
            <v>0.31840000000000002</v>
          </cell>
          <cell r="U595">
            <v>7.92</v>
          </cell>
          <cell r="V595">
            <v>2.97</v>
          </cell>
          <cell r="W595">
            <v>10.89</v>
          </cell>
        </row>
        <row r="596">
          <cell r="A596" t="str">
            <v>5847-1</v>
          </cell>
          <cell r="B596">
            <v>42102</v>
          </cell>
          <cell r="C596" t="str">
            <v>Carol Triggs</v>
          </cell>
          <cell r="D596" t="str">
            <v>644 George St,Sydney</v>
          </cell>
          <cell r="E596" t="str">
            <v>Sydney</v>
          </cell>
          <cell r="F596" t="str">
            <v>NSW</v>
          </cell>
          <cell r="G596" t="str">
            <v>Home Office</v>
          </cell>
          <cell r="H596" t="str">
            <v>Radhya Staples</v>
          </cell>
          <cell r="I596" t="str">
            <v>Critical</v>
          </cell>
          <cell r="J596" t="str">
            <v>Artisan Durable Poly Binders</v>
          </cell>
          <cell r="K596" t="str">
            <v>Office Supplies</v>
          </cell>
          <cell r="L596" t="str">
            <v>Small Box</v>
          </cell>
          <cell r="M596" t="str">
            <v>Regular Air</v>
          </cell>
          <cell r="N596">
            <v>42103</v>
          </cell>
          <cell r="O596">
            <v>3.37</v>
          </cell>
          <cell r="P596">
            <v>5.53</v>
          </cell>
          <cell r="Q596">
            <v>9</v>
          </cell>
          <cell r="R596">
            <v>49.77</v>
          </cell>
          <cell r="S596">
            <v>0.09</v>
          </cell>
          <cell r="T596">
            <v>4.4793000000000003</v>
          </cell>
          <cell r="U596">
            <v>49.68</v>
          </cell>
          <cell r="V596">
            <v>6.98</v>
          </cell>
          <cell r="W596">
            <v>56.66</v>
          </cell>
        </row>
        <row r="597">
          <cell r="A597" t="str">
            <v>5848-1</v>
          </cell>
          <cell r="B597">
            <v>42102</v>
          </cell>
          <cell r="C597" t="str">
            <v>Craig Molinari</v>
          </cell>
          <cell r="D597" t="str">
            <v>Shop 1 797 Botany Rd,Rosebery</v>
          </cell>
          <cell r="E597" t="str">
            <v>Sydney</v>
          </cell>
          <cell r="F597" t="str">
            <v>NSW</v>
          </cell>
          <cell r="G597" t="str">
            <v>Small Business</v>
          </cell>
          <cell r="H597" t="str">
            <v>Phoebe Gour</v>
          </cell>
          <cell r="I597" t="str">
            <v>Not Specified</v>
          </cell>
          <cell r="J597" t="str">
            <v>Wirebound Message Book, 4 per Page</v>
          </cell>
          <cell r="K597" t="str">
            <v>Office Supplies</v>
          </cell>
          <cell r="L597" t="str">
            <v>Wrap Bag</v>
          </cell>
          <cell r="M597" t="str">
            <v>Regular Air</v>
          </cell>
          <cell r="N597">
            <v>42103</v>
          </cell>
          <cell r="O597">
            <v>3.48</v>
          </cell>
          <cell r="P597">
            <v>5.43</v>
          </cell>
          <cell r="Q597">
            <v>13</v>
          </cell>
          <cell r="R597">
            <v>70.59</v>
          </cell>
          <cell r="S597">
            <v>0.02</v>
          </cell>
          <cell r="T597">
            <v>1.4118000000000002</v>
          </cell>
          <cell r="U597">
            <v>70.570000000000007</v>
          </cell>
          <cell r="V597">
            <v>0.95</v>
          </cell>
          <cell r="W597">
            <v>71.52000000000001</v>
          </cell>
        </row>
        <row r="598">
          <cell r="A598" t="str">
            <v>5850-1</v>
          </cell>
          <cell r="B598">
            <v>42104</v>
          </cell>
          <cell r="C598" t="str">
            <v>Bradley Nguyen</v>
          </cell>
          <cell r="D598" t="str">
            <v>Shop 1, 186-190 Church Street,Parramatta;46a Macleay Street,Potts Point</v>
          </cell>
          <cell r="E598" t="str">
            <v>Sydney</v>
          </cell>
          <cell r="F598" t="str">
            <v>NSW</v>
          </cell>
          <cell r="G598" t="str">
            <v>Consumer</v>
          </cell>
          <cell r="H598" t="str">
            <v>Mihael Khan</v>
          </cell>
          <cell r="I598" t="str">
            <v>High</v>
          </cell>
          <cell r="J598" t="str">
            <v>Alto Six-Outlet Power Strip, 4 Cord Length</v>
          </cell>
          <cell r="K598" t="str">
            <v>Office Supplies</v>
          </cell>
          <cell r="L598" t="str">
            <v>Small Box</v>
          </cell>
          <cell r="M598" t="str">
            <v>Regular Air</v>
          </cell>
          <cell r="N598">
            <v>42107</v>
          </cell>
          <cell r="O598">
            <v>3.53</v>
          </cell>
          <cell r="P598">
            <v>8.6199999999999992</v>
          </cell>
          <cell r="Q598">
            <v>50</v>
          </cell>
          <cell r="R598">
            <v>430.99999999999994</v>
          </cell>
          <cell r="S598">
            <v>7.0000000000000007E-2</v>
          </cell>
          <cell r="T598">
            <v>30.169999999999998</v>
          </cell>
          <cell r="U598">
            <v>430.92999999999995</v>
          </cell>
          <cell r="V598">
            <v>4.5</v>
          </cell>
          <cell r="W598">
            <v>435.42999999999995</v>
          </cell>
        </row>
        <row r="599">
          <cell r="A599" t="str">
            <v>5851-1</v>
          </cell>
          <cell r="B599">
            <v>42104</v>
          </cell>
          <cell r="C599" t="str">
            <v>Tom Stivers</v>
          </cell>
          <cell r="D599" t="str">
            <v>21 Wentworth St,Parramatta</v>
          </cell>
          <cell r="E599" t="str">
            <v>Sydney</v>
          </cell>
          <cell r="F599" t="str">
            <v>NSW</v>
          </cell>
          <cell r="G599" t="str">
            <v>Small Business</v>
          </cell>
          <cell r="H599" t="str">
            <v>Aanya Zhang</v>
          </cell>
          <cell r="I599" t="str">
            <v>Critical</v>
          </cell>
          <cell r="J599" t="str">
            <v>Beekin 105-Key Black Keyboard</v>
          </cell>
          <cell r="K599" t="str">
            <v>Technology</v>
          </cell>
          <cell r="L599" t="str">
            <v>Small Box</v>
          </cell>
          <cell r="M599" t="str">
            <v>Regular Air</v>
          </cell>
          <cell r="N599">
            <v>42106</v>
          </cell>
          <cell r="O599">
            <v>6.39</v>
          </cell>
          <cell r="P599">
            <v>19.98</v>
          </cell>
          <cell r="Q599">
            <v>35</v>
          </cell>
          <cell r="R599">
            <v>699.30000000000007</v>
          </cell>
          <cell r="S599">
            <v>0.1</v>
          </cell>
          <cell r="T599">
            <v>69.930000000000007</v>
          </cell>
          <cell r="U599">
            <v>699.2</v>
          </cell>
          <cell r="V599">
            <v>4</v>
          </cell>
          <cell r="W599">
            <v>703.2</v>
          </cell>
        </row>
        <row r="600">
          <cell r="A600" t="str">
            <v>5852-1</v>
          </cell>
          <cell r="B600">
            <v>42104</v>
          </cell>
          <cell r="C600" t="str">
            <v>Katrina Edelman</v>
          </cell>
          <cell r="D600" t="str">
            <v>Westfield Miranda, 600 Kingsway,Miranda</v>
          </cell>
          <cell r="E600" t="str">
            <v>Sydney</v>
          </cell>
          <cell r="F600" t="str">
            <v>NSW</v>
          </cell>
          <cell r="G600" t="str">
            <v>Corporate</v>
          </cell>
          <cell r="H600" t="str">
            <v>Preston Senome</v>
          </cell>
          <cell r="I600" t="str">
            <v>Critical</v>
          </cell>
          <cell r="J600" t="str">
            <v>Pizazz Drawing Pencil Set</v>
          </cell>
          <cell r="K600" t="str">
            <v>Office Supplies</v>
          </cell>
          <cell r="L600" t="str">
            <v>Wrap Bag</v>
          </cell>
          <cell r="M600" t="str">
            <v>Regular Air</v>
          </cell>
          <cell r="N600">
            <v>42105</v>
          </cell>
          <cell r="O600">
            <v>1.53</v>
          </cell>
          <cell r="P600">
            <v>2.78</v>
          </cell>
          <cell r="Q600">
            <v>19</v>
          </cell>
          <cell r="R600">
            <v>52.819999999999993</v>
          </cell>
          <cell r="S600">
            <v>0.06</v>
          </cell>
          <cell r="T600">
            <v>3.1691999999999996</v>
          </cell>
          <cell r="U600">
            <v>52.759999999999991</v>
          </cell>
          <cell r="V600">
            <v>1.34</v>
          </cell>
          <cell r="W600">
            <v>54.099999999999994</v>
          </cell>
        </row>
        <row r="601">
          <cell r="A601" t="str">
            <v>5854-1</v>
          </cell>
          <cell r="B601">
            <v>42105</v>
          </cell>
          <cell r="C601" t="str">
            <v>Anthony Rawles</v>
          </cell>
          <cell r="D601" t="str">
            <v>Shop 1, 186-190 Church Street,Parramatta;46a Macleay Street,Potts Point</v>
          </cell>
          <cell r="E601" t="str">
            <v>Sydney</v>
          </cell>
          <cell r="F601" t="str">
            <v>NSW</v>
          </cell>
          <cell r="G601" t="str">
            <v>Small Business</v>
          </cell>
          <cell r="H601" t="str">
            <v>Mihael Khan</v>
          </cell>
          <cell r="I601" t="str">
            <v>Medium</v>
          </cell>
          <cell r="J601" t="str">
            <v>TechSavi Access Keyboard</v>
          </cell>
          <cell r="K601" t="str">
            <v>Technology</v>
          </cell>
          <cell r="L601" t="str">
            <v>Small Box</v>
          </cell>
          <cell r="M601" t="str">
            <v>Regular Air</v>
          </cell>
          <cell r="N601">
            <v>42106</v>
          </cell>
          <cell r="O601">
            <v>10.07</v>
          </cell>
          <cell r="P601">
            <v>15.98</v>
          </cell>
          <cell r="Q601">
            <v>40</v>
          </cell>
          <cell r="R601">
            <v>639.20000000000005</v>
          </cell>
          <cell r="S601">
            <v>0.01</v>
          </cell>
          <cell r="T601">
            <v>6.3920000000000003</v>
          </cell>
          <cell r="U601">
            <v>639.19000000000005</v>
          </cell>
          <cell r="V601">
            <v>4</v>
          </cell>
          <cell r="W601">
            <v>643.19000000000005</v>
          </cell>
        </row>
        <row r="602">
          <cell r="A602" t="str">
            <v>5856-1</v>
          </cell>
          <cell r="B602">
            <v>42107</v>
          </cell>
          <cell r="C602" t="str">
            <v>Alejandro Grove</v>
          </cell>
          <cell r="D602" t="str">
            <v>155 Oxford Street,Darlinghurst</v>
          </cell>
          <cell r="E602" t="str">
            <v>Sydney</v>
          </cell>
          <cell r="F602" t="str">
            <v>NSW</v>
          </cell>
          <cell r="G602" t="str">
            <v>Corporate</v>
          </cell>
          <cell r="H602" t="str">
            <v>Samantha Chairs</v>
          </cell>
          <cell r="I602" t="str">
            <v>High</v>
          </cell>
          <cell r="J602" t="str">
            <v>Artisan Hi-Liter Pen Style Six-Color Fluorescent Set</v>
          </cell>
          <cell r="K602" t="str">
            <v>Office Supplies</v>
          </cell>
          <cell r="L602" t="str">
            <v>Wrap Bag</v>
          </cell>
          <cell r="M602" t="str">
            <v>Regular Air</v>
          </cell>
          <cell r="N602">
            <v>42108</v>
          </cell>
          <cell r="O602">
            <v>2.16</v>
          </cell>
          <cell r="P602">
            <v>3.85</v>
          </cell>
          <cell r="Q602">
            <v>42</v>
          </cell>
          <cell r="R602">
            <v>161.70000000000002</v>
          </cell>
          <cell r="S602">
            <v>0.01</v>
          </cell>
          <cell r="T602">
            <v>1.6170000000000002</v>
          </cell>
          <cell r="U602">
            <v>161.69000000000003</v>
          </cell>
          <cell r="V602">
            <v>0.7</v>
          </cell>
          <cell r="W602">
            <v>162.39000000000001</v>
          </cell>
        </row>
        <row r="603">
          <cell r="A603" t="str">
            <v>5857-1</v>
          </cell>
          <cell r="B603">
            <v>42112</v>
          </cell>
          <cell r="C603" t="str">
            <v>Philip Brown</v>
          </cell>
          <cell r="D603" t="str">
            <v>499-501 Lygon Street,Carlton North</v>
          </cell>
          <cell r="E603" t="str">
            <v>Melbourne</v>
          </cell>
          <cell r="F603" t="str">
            <v>VIC</v>
          </cell>
          <cell r="G603" t="str">
            <v>Corporate</v>
          </cell>
          <cell r="H603" t="str">
            <v>Yvette Biti</v>
          </cell>
          <cell r="I603" t="str">
            <v>Medium</v>
          </cell>
          <cell r="J603" t="str">
            <v>Artisan Durable Poly Binders</v>
          </cell>
          <cell r="K603" t="str">
            <v>Office Supplies</v>
          </cell>
          <cell r="L603" t="str">
            <v>Small Box</v>
          </cell>
          <cell r="M603" t="str">
            <v>Regular Air</v>
          </cell>
          <cell r="N603">
            <v>42113</v>
          </cell>
          <cell r="O603">
            <v>3.37</v>
          </cell>
          <cell r="P603">
            <v>5.53</v>
          </cell>
          <cell r="Q603">
            <v>30</v>
          </cell>
          <cell r="R603">
            <v>165.9</v>
          </cell>
          <cell r="S603">
            <v>0.01</v>
          </cell>
          <cell r="T603">
            <v>1.659</v>
          </cell>
          <cell r="U603">
            <v>165.89000000000001</v>
          </cell>
          <cell r="V603">
            <v>6.98</v>
          </cell>
          <cell r="W603">
            <v>172.87</v>
          </cell>
        </row>
        <row r="604">
          <cell r="A604" t="str">
            <v>5859-1</v>
          </cell>
          <cell r="B604">
            <v>42112</v>
          </cell>
          <cell r="C604" t="str">
            <v>Arthur Gainer</v>
          </cell>
          <cell r="D604" t="str">
            <v>180 High Street,Windsor</v>
          </cell>
          <cell r="E604" t="str">
            <v>Melbourne</v>
          </cell>
          <cell r="F604" t="str">
            <v>VIC</v>
          </cell>
          <cell r="G604" t="str">
            <v>Corporate</v>
          </cell>
          <cell r="H604" t="str">
            <v>Connor Betts</v>
          </cell>
          <cell r="I604" t="str">
            <v>Medium</v>
          </cell>
          <cell r="J604" t="str">
            <v>Artisan Durable Poly Binders</v>
          </cell>
          <cell r="K604" t="str">
            <v>Office Supplies</v>
          </cell>
          <cell r="L604" t="str">
            <v>Small Box</v>
          </cell>
          <cell r="M604" t="str">
            <v>Regular Air</v>
          </cell>
          <cell r="N604">
            <v>42113</v>
          </cell>
          <cell r="O604">
            <v>3.37</v>
          </cell>
          <cell r="P604">
            <v>5.53</v>
          </cell>
          <cell r="Q604">
            <v>27</v>
          </cell>
          <cell r="R604">
            <v>149.31</v>
          </cell>
          <cell r="S604">
            <v>0.04</v>
          </cell>
          <cell r="T604">
            <v>5.9724000000000004</v>
          </cell>
          <cell r="U604">
            <v>149.27000000000001</v>
          </cell>
          <cell r="V604">
            <v>6.98</v>
          </cell>
          <cell r="W604">
            <v>156.25</v>
          </cell>
        </row>
        <row r="605">
          <cell r="A605" t="str">
            <v>5861-1</v>
          </cell>
          <cell r="B605">
            <v>42112</v>
          </cell>
          <cell r="C605" t="str">
            <v>Trudy Schmidt</v>
          </cell>
          <cell r="D605" t="str">
            <v>333-339 Enmore Rd,Marrickville</v>
          </cell>
          <cell r="E605" t="str">
            <v>Sydney</v>
          </cell>
          <cell r="F605" t="str">
            <v>NSW</v>
          </cell>
          <cell r="G605" t="str">
            <v>Small Business</v>
          </cell>
          <cell r="H605" t="str">
            <v>Preston Senome</v>
          </cell>
          <cell r="I605" t="str">
            <v>Medium</v>
          </cell>
          <cell r="J605" t="str">
            <v>Binder Posts</v>
          </cell>
          <cell r="K605" t="str">
            <v>Office Supplies</v>
          </cell>
          <cell r="L605" t="str">
            <v>Small Box</v>
          </cell>
          <cell r="M605" t="str">
            <v>Regular Air</v>
          </cell>
          <cell r="N605">
            <v>42112</v>
          </cell>
          <cell r="O605">
            <v>3.5</v>
          </cell>
          <cell r="P605">
            <v>5.74</v>
          </cell>
          <cell r="Q605">
            <v>23</v>
          </cell>
          <cell r="R605">
            <v>132.02000000000001</v>
          </cell>
          <cell r="S605">
            <v>0.06</v>
          </cell>
          <cell r="T605">
            <v>7.9212000000000007</v>
          </cell>
          <cell r="U605">
            <v>131.96</v>
          </cell>
          <cell r="V605">
            <v>5.01</v>
          </cell>
          <cell r="W605">
            <v>136.97</v>
          </cell>
        </row>
        <row r="606">
          <cell r="A606" t="str">
            <v>5863-1</v>
          </cell>
          <cell r="B606">
            <v>42113</v>
          </cell>
          <cell r="C606" t="str">
            <v>Thais Sissman</v>
          </cell>
          <cell r="D606" t="str">
            <v>53-55 Liverpool St,Sydney</v>
          </cell>
          <cell r="E606" t="str">
            <v>Sydney</v>
          </cell>
          <cell r="F606" t="str">
            <v>NSW</v>
          </cell>
          <cell r="G606" t="str">
            <v>Corporate</v>
          </cell>
          <cell r="H606" t="str">
            <v>Tina Carlton</v>
          </cell>
          <cell r="I606" t="str">
            <v>Not Specified</v>
          </cell>
          <cell r="J606" t="str">
            <v>Beekin 105-Key Black Keyboard</v>
          </cell>
          <cell r="K606" t="str">
            <v>Technology</v>
          </cell>
          <cell r="L606" t="str">
            <v>Small Box</v>
          </cell>
          <cell r="M606" t="str">
            <v>Express Air</v>
          </cell>
          <cell r="N606">
            <v>42113</v>
          </cell>
          <cell r="O606">
            <v>6.39</v>
          </cell>
          <cell r="P606">
            <v>19.98</v>
          </cell>
          <cell r="Q606">
            <v>6</v>
          </cell>
          <cell r="R606">
            <v>119.88</v>
          </cell>
          <cell r="S606">
            <v>0.08</v>
          </cell>
          <cell r="T606">
            <v>9.5904000000000007</v>
          </cell>
          <cell r="U606">
            <v>119.8</v>
          </cell>
          <cell r="V606">
            <v>4</v>
          </cell>
          <cell r="W606">
            <v>123.8</v>
          </cell>
        </row>
        <row r="607">
          <cell r="A607" t="str">
            <v>5865-1</v>
          </cell>
          <cell r="B607">
            <v>42114</v>
          </cell>
          <cell r="C607" t="str">
            <v>Art Ferguson</v>
          </cell>
          <cell r="D607" t="str">
            <v>85-113 Dunning Ave,Roseberry</v>
          </cell>
          <cell r="E607" t="str">
            <v>Sydney</v>
          </cell>
          <cell r="F607" t="str">
            <v>NSW</v>
          </cell>
          <cell r="G607" t="str">
            <v>Corporate</v>
          </cell>
          <cell r="H607" t="str">
            <v>Mihael Khan</v>
          </cell>
          <cell r="I607" t="str">
            <v>High</v>
          </cell>
          <cell r="J607" t="str">
            <v>Artisan Hi-Liter Smear-Safe Highlighters</v>
          </cell>
          <cell r="K607" t="str">
            <v>Office Supplies</v>
          </cell>
          <cell r="L607" t="str">
            <v>Wrap Bag</v>
          </cell>
          <cell r="M607" t="str">
            <v>Express Air</v>
          </cell>
          <cell r="N607">
            <v>42116</v>
          </cell>
          <cell r="O607">
            <v>2.98</v>
          </cell>
          <cell r="P607">
            <v>5.84</v>
          </cell>
          <cell r="Q607">
            <v>12</v>
          </cell>
          <cell r="R607">
            <v>70.08</v>
          </cell>
          <cell r="S607">
            <v>0.02</v>
          </cell>
          <cell r="T607">
            <v>1.4016</v>
          </cell>
          <cell r="U607">
            <v>70.06</v>
          </cell>
          <cell r="V607">
            <v>0.83</v>
          </cell>
          <cell r="W607">
            <v>70.89</v>
          </cell>
        </row>
        <row r="608">
          <cell r="A608" t="str">
            <v>5867-1</v>
          </cell>
          <cell r="B608">
            <v>42117</v>
          </cell>
          <cell r="C608" t="str">
            <v>Deborah Brumfield</v>
          </cell>
          <cell r="D608" t="str">
            <v>501 George St,Sydney</v>
          </cell>
          <cell r="E608" t="str">
            <v>Sydney</v>
          </cell>
          <cell r="F608" t="str">
            <v>NSW</v>
          </cell>
          <cell r="G608" t="str">
            <v>Small Business</v>
          </cell>
          <cell r="H608" t="str">
            <v>Samantha Chairs</v>
          </cell>
          <cell r="I608" t="str">
            <v>High</v>
          </cell>
          <cell r="J608" t="str">
            <v>HFX LaserJet 3310 Copier</v>
          </cell>
          <cell r="K608" t="str">
            <v>Technology</v>
          </cell>
          <cell r="L608" t="str">
            <v>Large Box</v>
          </cell>
          <cell r="M608" t="str">
            <v>Regular Air</v>
          </cell>
          <cell r="N608">
            <v>42117</v>
          </cell>
          <cell r="O608">
            <v>377.99</v>
          </cell>
          <cell r="P608">
            <v>599.99</v>
          </cell>
          <cell r="Q608">
            <v>50</v>
          </cell>
          <cell r="R608">
            <v>29999.5</v>
          </cell>
          <cell r="S608">
            <v>0.09</v>
          </cell>
          <cell r="T608">
            <v>2699.9549999999999</v>
          </cell>
          <cell r="U608">
            <v>29999.41</v>
          </cell>
          <cell r="V608">
            <v>24.49</v>
          </cell>
          <cell r="W608">
            <v>30023.9</v>
          </cell>
        </row>
        <row r="609">
          <cell r="A609" t="str">
            <v>5868-1</v>
          </cell>
          <cell r="B609">
            <v>42118</v>
          </cell>
          <cell r="C609" t="str">
            <v>Christopher Schild</v>
          </cell>
          <cell r="D609" t="str">
            <v>4A Lyons St,Strathfield</v>
          </cell>
          <cell r="E609" t="str">
            <v>Sydney</v>
          </cell>
          <cell r="F609" t="str">
            <v>NSW</v>
          </cell>
          <cell r="G609" t="str">
            <v>Corporate</v>
          </cell>
          <cell r="H609" t="str">
            <v>Tina Carlton</v>
          </cell>
          <cell r="I609" t="str">
            <v>Low</v>
          </cell>
          <cell r="J609" t="str">
            <v>Artisan Hi-Liter Fluorescent Desk Style Markers</v>
          </cell>
          <cell r="K609" t="str">
            <v>Office Supplies</v>
          </cell>
          <cell r="L609" t="str">
            <v>Wrap Bag</v>
          </cell>
          <cell r="M609" t="str">
            <v>Regular Air</v>
          </cell>
          <cell r="N609">
            <v>42118</v>
          </cell>
          <cell r="O609">
            <v>1.76</v>
          </cell>
          <cell r="P609">
            <v>3.38</v>
          </cell>
          <cell r="Q609">
            <v>31</v>
          </cell>
          <cell r="R609">
            <v>104.78</v>
          </cell>
          <cell r="S609">
            <v>0.04</v>
          </cell>
          <cell r="T609">
            <v>4.1912000000000003</v>
          </cell>
          <cell r="U609">
            <v>104.74</v>
          </cell>
          <cell r="V609">
            <v>0.85</v>
          </cell>
          <cell r="W609">
            <v>105.58999999999999</v>
          </cell>
        </row>
        <row r="610">
          <cell r="A610" t="str">
            <v>5870-1</v>
          </cell>
          <cell r="B610">
            <v>42119</v>
          </cell>
          <cell r="C610" t="str">
            <v>Frank Carlisle</v>
          </cell>
          <cell r="D610" t="str">
            <v>8 Rankins Lane ,Melbourne</v>
          </cell>
          <cell r="E610" t="str">
            <v>Melbourne</v>
          </cell>
          <cell r="F610" t="str">
            <v>VIC</v>
          </cell>
          <cell r="G610" t="str">
            <v>Small Business</v>
          </cell>
          <cell r="H610" t="str">
            <v>Connor Betts</v>
          </cell>
          <cell r="I610" t="str">
            <v>Critical</v>
          </cell>
          <cell r="J610" t="str">
            <v>Cando PC940 Copier</v>
          </cell>
          <cell r="K610" t="str">
            <v>Technology</v>
          </cell>
          <cell r="L610" t="str">
            <v>Large Box</v>
          </cell>
          <cell r="M610" t="str">
            <v>Regular Air</v>
          </cell>
          <cell r="N610">
            <v>42121</v>
          </cell>
          <cell r="O610">
            <v>216</v>
          </cell>
          <cell r="P610">
            <v>449.99</v>
          </cell>
          <cell r="Q610">
            <v>2</v>
          </cell>
          <cell r="R610">
            <v>899.98</v>
          </cell>
          <cell r="S610">
            <v>0.08</v>
          </cell>
          <cell r="T610">
            <v>71.998400000000004</v>
          </cell>
          <cell r="U610">
            <v>899.9</v>
          </cell>
          <cell r="V610">
            <v>24.49</v>
          </cell>
          <cell r="W610">
            <v>924.39</v>
          </cell>
        </row>
        <row r="611">
          <cell r="A611" t="str">
            <v>5872-1</v>
          </cell>
          <cell r="B611">
            <v>42120</v>
          </cell>
          <cell r="C611" t="str">
            <v>Greg Tran</v>
          </cell>
          <cell r="D611" t="str">
            <v>Crown Complex,Southbank</v>
          </cell>
          <cell r="E611" t="str">
            <v>Melbourne</v>
          </cell>
          <cell r="F611" t="str">
            <v>VIC</v>
          </cell>
          <cell r="G611" t="str">
            <v>Home Office</v>
          </cell>
          <cell r="H611" t="str">
            <v>Yvette Biti</v>
          </cell>
          <cell r="I611" t="str">
            <v>Critical</v>
          </cell>
          <cell r="J611" t="str">
            <v>Artisan Flip-Chart Easel Binder, Black</v>
          </cell>
          <cell r="K611" t="str">
            <v>Office Supplies</v>
          </cell>
          <cell r="L611" t="str">
            <v>Small Box</v>
          </cell>
          <cell r="M611" t="str">
            <v>Regular Air</v>
          </cell>
          <cell r="N611">
            <v>42122</v>
          </cell>
          <cell r="O611">
            <v>13.88</v>
          </cell>
          <cell r="P611">
            <v>22.38</v>
          </cell>
          <cell r="Q611">
            <v>6</v>
          </cell>
          <cell r="R611">
            <v>134.28</v>
          </cell>
          <cell r="S611">
            <v>0</v>
          </cell>
          <cell r="T611">
            <v>0</v>
          </cell>
          <cell r="U611">
            <v>134.28</v>
          </cell>
          <cell r="V611">
            <v>15.1</v>
          </cell>
          <cell r="W611">
            <v>149.38</v>
          </cell>
        </row>
        <row r="612">
          <cell r="A612" t="str">
            <v>5873-1</v>
          </cell>
          <cell r="B612">
            <v>42122</v>
          </cell>
          <cell r="C612" t="str">
            <v>Dianna Arnett</v>
          </cell>
          <cell r="D612" t="str">
            <v>99 Lygon Street,East Brunswick</v>
          </cell>
          <cell r="E612" t="str">
            <v>Melbourne</v>
          </cell>
          <cell r="F612" t="str">
            <v>VIC</v>
          </cell>
          <cell r="G612" t="str">
            <v>Home Office</v>
          </cell>
          <cell r="H612" t="str">
            <v>Connor Betts</v>
          </cell>
          <cell r="I612" t="str">
            <v>Low</v>
          </cell>
          <cell r="J612" t="str">
            <v>Artisan Hanging File Binders</v>
          </cell>
          <cell r="K612" t="str">
            <v>Office Supplies</v>
          </cell>
          <cell r="L612" t="str">
            <v>Small Box</v>
          </cell>
          <cell r="M612" t="str">
            <v>Express Air</v>
          </cell>
          <cell r="N612">
            <v>42124</v>
          </cell>
          <cell r="O612">
            <v>3.65</v>
          </cell>
          <cell r="P612">
            <v>5.98</v>
          </cell>
          <cell r="Q612">
            <v>50</v>
          </cell>
          <cell r="R612">
            <v>299</v>
          </cell>
          <cell r="S612">
            <v>0.09</v>
          </cell>
          <cell r="T612">
            <v>26.91</v>
          </cell>
          <cell r="U612">
            <v>298.91000000000003</v>
          </cell>
          <cell r="V612">
            <v>1.49</v>
          </cell>
          <cell r="W612">
            <v>300.40000000000003</v>
          </cell>
        </row>
        <row r="613">
          <cell r="A613" t="str">
            <v>5875-1</v>
          </cell>
          <cell r="B613">
            <v>42122</v>
          </cell>
          <cell r="C613" t="str">
            <v>Cindy Schnelling</v>
          </cell>
          <cell r="D613" t="str">
            <v>240-242 Johnston Street,Fitzroy</v>
          </cell>
          <cell r="E613" t="str">
            <v>Melbourne</v>
          </cell>
          <cell r="F613" t="str">
            <v>VIC</v>
          </cell>
          <cell r="G613" t="str">
            <v>Corporate</v>
          </cell>
          <cell r="H613" t="str">
            <v>Connor Betts</v>
          </cell>
          <cell r="I613" t="str">
            <v>Not Specified</v>
          </cell>
          <cell r="J613" t="str">
            <v>Emerson Stylus 1520 Color Inkjet Printer</v>
          </cell>
          <cell r="K613" t="str">
            <v>Technology</v>
          </cell>
          <cell r="L613" t="str">
            <v>Jumbo Drum</v>
          </cell>
          <cell r="M613" t="str">
            <v>Delivery Truck</v>
          </cell>
          <cell r="N613">
            <v>42125</v>
          </cell>
          <cell r="O613">
            <v>315.61</v>
          </cell>
          <cell r="P613">
            <v>500.97</v>
          </cell>
          <cell r="Q613">
            <v>44</v>
          </cell>
          <cell r="R613">
            <v>22042.68</v>
          </cell>
          <cell r="S613">
            <v>0.09</v>
          </cell>
          <cell r="T613">
            <v>1983.8411999999998</v>
          </cell>
          <cell r="U613">
            <v>22042.59</v>
          </cell>
          <cell r="V613">
            <v>69.3</v>
          </cell>
          <cell r="W613">
            <v>22111.89</v>
          </cell>
        </row>
        <row r="614">
          <cell r="A614" t="str">
            <v>5877-1</v>
          </cell>
          <cell r="B614">
            <v>42123</v>
          </cell>
          <cell r="C614" t="str">
            <v>Chuck Clark</v>
          </cell>
          <cell r="D614" t="str">
            <v>53-55 Liverpool St,Sydney</v>
          </cell>
          <cell r="E614" t="str">
            <v>Sydney</v>
          </cell>
          <cell r="F614" t="str">
            <v>NSW</v>
          </cell>
          <cell r="G614" t="str">
            <v>Corporate</v>
          </cell>
          <cell r="H614" t="str">
            <v>Tina Carlton</v>
          </cell>
          <cell r="I614" t="str">
            <v>Low</v>
          </cell>
          <cell r="J614" t="str">
            <v>Artisan 474 Labels</v>
          </cell>
          <cell r="K614" t="str">
            <v>Office Supplies</v>
          </cell>
          <cell r="L614" t="str">
            <v>Small Box</v>
          </cell>
          <cell r="M614" t="str">
            <v>Regular Air</v>
          </cell>
          <cell r="N614">
            <v>42128</v>
          </cell>
          <cell r="O614">
            <v>1.84</v>
          </cell>
          <cell r="P614">
            <v>2.88</v>
          </cell>
          <cell r="Q614">
            <v>29</v>
          </cell>
          <cell r="R614">
            <v>83.52</v>
          </cell>
          <cell r="S614">
            <v>0.03</v>
          </cell>
          <cell r="T614">
            <v>2.5055999999999998</v>
          </cell>
          <cell r="U614">
            <v>83.49</v>
          </cell>
          <cell r="V614">
            <v>0.99</v>
          </cell>
          <cell r="W614">
            <v>84.47999999999999</v>
          </cell>
        </row>
        <row r="615">
          <cell r="A615" t="str">
            <v>5879-1</v>
          </cell>
          <cell r="B615">
            <v>42124</v>
          </cell>
          <cell r="C615" t="str">
            <v>Pauline Webber</v>
          </cell>
          <cell r="D615" t="str">
            <v>499-501 Lygon Street,Carlton North</v>
          </cell>
          <cell r="E615" t="str">
            <v>Melbourne</v>
          </cell>
          <cell r="F615" t="str">
            <v>VIC</v>
          </cell>
          <cell r="G615" t="str">
            <v>Consumer</v>
          </cell>
          <cell r="H615" t="str">
            <v>Yvette Biti</v>
          </cell>
          <cell r="I615" t="str">
            <v>High</v>
          </cell>
          <cell r="J615" t="str">
            <v>Artisan Poly Binder Pockets</v>
          </cell>
          <cell r="K615" t="str">
            <v>Office Supplies</v>
          </cell>
          <cell r="L615" t="str">
            <v>Small Box</v>
          </cell>
          <cell r="M615" t="str">
            <v>Regular Air</v>
          </cell>
          <cell r="N615">
            <v>42126</v>
          </cell>
          <cell r="O615">
            <v>2.2599999999999998</v>
          </cell>
          <cell r="P615">
            <v>3.58</v>
          </cell>
          <cell r="Q615">
            <v>7</v>
          </cell>
          <cell r="R615">
            <v>25.060000000000002</v>
          </cell>
          <cell r="S615">
            <v>0.09</v>
          </cell>
          <cell r="T615">
            <v>2.2554000000000003</v>
          </cell>
          <cell r="U615">
            <v>24.970000000000002</v>
          </cell>
          <cell r="V615">
            <v>5.47</v>
          </cell>
          <cell r="W615">
            <v>30.44</v>
          </cell>
        </row>
        <row r="616">
          <cell r="A616" t="str">
            <v>5881-1</v>
          </cell>
          <cell r="B616">
            <v>42125</v>
          </cell>
          <cell r="C616" t="str">
            <v>Chad McGuire</v>
          </cell>
          <cell r="D616" t="str">
            <v>73 MacLeay St,Potts Point</v>
          </cell>
          <cell r="E616" t="str">
            <v>Sydney</v>
          </cell>
          <cell r="F616" t="str">
            <v>NSW</v>
          </cell>
          <cell r="G616" t="str">
            <v>Small Business</v>
          </cell>
          <cell r="H616" t="str">
            <v>Natasha Song</v>
          </cell>
          <cell r="I616" t="str">
            <v>Not Specified</v>
          </cell>
          <cell r="J616" t="str">
            <v>Smiths File Caddy</v>
          </cell>
          <cell r="K616" t="str">
            <v>Office Supplies</v>
          </cell>
          <cell r="L616" t="str">
            <v>Small Box</v>
          </cell>
          <cell r="M616" t="str">
            <v>Regular Air</v>
          </cell>
          <cell r="N616">
            <v>42126</v>
          </cell>
          <cell r="O616">
            <v>4.03</v>
          </cell>
          <cell r="P616">
            <v>9.3800000000000008</v>
          </cell>
          <cell r="Q616">
            <v>31</v>
          </cell>
          <cell r="R616">
            <v>290.78000000000003</v>
          </cell>
          <cell r="S616">
            <v>0.08</v>
          </cell>
          <cell r="T616">
            <v>23.262400000000003</v>
          </cell>
          <cell r="U616">
            <v>290.70000000000005</v>
          </cell>
          <cell r="V616">
            <v>7.28</v>
          </cell>
          <cell r="W616">
            <v>297.98</v>
          </cell>
        </row>
        <row r="617">
          <cell r="A617" t="str">
            <v>5882-1</v>
          </cell>
          <cell r="B617">
            <v>42126</v>
          </cell>
          <cell r="C617" t="str">
            <v>Denny Blanton</v>
          </cell>
          <cell r="D617" t="str">
            <v>105 Pitt St,Sydney</v>
          </cell>
          <cell r="E617" t="str">
            <v>Sydney</v>
          </cell>
          <cell r="F617" t="str">
            <v>NSW</v>
          </cell>
          <cell r="G617" t="str">
            <v>Home Office</v>
          </cell>
          <cell r="H617" t="str">
            <v>Charlie Bui</v>
          </cell>
          <cell r="I617" t="str">
            <v>Critical</v>
          </cell>
          <cell r="J617" t="str">
            <v>Apex Elite Stainless Steel Scissors</v>
          </cell>
          <cell r="K617" t="str">
            <v>Office Supplies</v>
          </cell>
          <cell r="L617" t="str">
            <v>Small Pack</v>
          </cell>
          <cell r="M617" t="str">
            <v>Regular Air</v>
          </cell>
          <cell r="N617">
            <v>42127</v>
          </cell>
          <cell r="O617">
            <v>3.42</v>
          </cell>
          <cell r="P617">
            <v>8.34</v>
          </cell>
          <cell r="Q617">
            <v>21</v>
          </cell>
          <cell r="R617">
            <v>175.14</v>
          </cell>
          <cell r="S617">
            <v>0.03</v>
          </cell>
          <cell r="T617">
            <v>5.2541999999999991</v>
          </cell>
          <cell r="U617">
            <v>175.10999999999999</v>
          </cell>
          <cell r="V617">
            <v>2.64</v>
          </cell>
          <cell r="W617">
            <v>177.74999999999997</v>
          </cell>
        </row>
        <row r="618">
          <cell r="A618" t="str">
            <v>5884-1</v>
          </cell>
          <cell r="B618">
            <v>42127</v>
          </cell>
          <cell r="C618" t="str">
            <v>Suzanne McNair</v>
          </cell>
          <cell r="D618" t="str">
            <v>Crown Complex,Southbank</v>
          </cell>
          <cell r="E618" t="str">
            <v>Melbourne</v>
          </cell>
          <cell r="F618" t="str">
            <v>VIC</v>
          </cell>
          <cell r="G618" t="str">
            <v>Corporate</v>
          </cell>
          <cell r="H618" t="str">
            <v>Connor Betts</v>
          </cell>
          <cell r="I618" t="str">
            <v>Critical</v>
          </cell>
          <cell r="J618" t="str">
            <v>TechSavi Access Keyboard</v>
          </cell>
          <cell r="K618" t="str">
            <v>Technology</v>
          </cell>
          <cell r="L618" t="str">
            <v>Small Box</v>
          </cell>
          <cell r="M618" t="str">
            <v>Regular Air</v>
          </cell>
          <cell r="N618">
            <v>42129</v>
          </cell>
          <cell r="O618">
            <v>10.07</v>
          </cell>
          <cell r="P618">
            <v>15.98</v>
          </cell>
          <cell r="Q618">
            <v>26</v>
          </cell>
          <cell r="R618">
            <v>415.48</v>
          </cell>
          <cell r="S618">
            <v>0.03</v>
          </cell>
          <cell r="T618">
            <v>12.464399999999999</v>
          </cell>
          <cell r="U618">
            <v>415.45000000000005</v>
          </cell>
          <cell r="V618">
            <v>4</v>
          </cell>
          <cell r="W618">
            <v>419.45000000000005</v>
          </cell>
        </row>
        <row r="619">
          <cell r="A619" t="str">
            <v>5885-1</v>
          </cell>
          <cell r="B619">
            <v>42128</v>
          </cell>
          <cell r="C619" t="str">
            <v>Guy Armstrong</v>
          </cell>
          <cell r="D619" t="str">
            <v>6 Mary St,Newtown</v>
          </cell>
          <cell r="E619" t="str">
            <v>Sydney</v>
          </cell>
          <cell r="F619" t="str">
            <v>NSW</v>
          </cell>
          <cell r="G619" t="str">
            <v>Corporate</v>
          </cell>
          <cell r="H619" t="str">
            <v>Samantha Chairs</v>
          </cell>
          <cell r="I619" t="str">
            <v>High</v>
          </cell>
          <cell r="J619" t="str">
            <v>24 Capacity Maxi Data Binder Racks, Pearl</v>
          </cell>
          <cell r="K619" t="str">
            <v>Office Supplies</v>
          </cell>
          <cell r="L619" t="str">
            <v>Small Box</v>
          </cell>
          <cell r="M619" t="str">
            <v>Regular Air</v>
          </cell>
          <cell r="N619">
            <v>42129</v>
          </cell>
          <cell r="O619">
            <v>84.22</v>
          </cell>
          <cell r="P619">
            <v>210.55</v>
          </cell>
          <cell r="Q619">
            <v>18</v>
          </cell>
          <cell r="R619">
            <v>3789.9</v>
          </cell>
          <cell r="S619">
            <v>0.05</v>
          </cell>
          <cell r="T619">
            <v>189.495</v>
          </cell>
          <cell r="U619">
            <v>3789.85</v>
          </cell>
          <cell r="V619">
            <v>9.99</v>
          </cell>
          <cell r="W619">
            <v>3799.8399999999997</v>
          </cell>
        </row>
        <row r="620">
          <cell r="A620" t="str">
            <v>5886-1</v>
          </cell>
          <cell r="B620">
            <v>42130</v>
          </cell>
          <cell r="C620" t="str">
            <v>Michelle Lonsdale</v>
          </cell>
          <cell r="D620" t="str">
            <v>180 High Street,Windsor</v>
          </cell>
          <cell r="E620" t="str">
            <v>Melbourne</v>
          </cell>
          <cell r="F620" t="str">
            <v>VIC</v>
          </cell>
          <cell r="G620" t="str">
            <v>Home Office</v>
          </cell>
          <cell r="H620" t="str">
            <v>Connor Betts</v>
          </cell>
          <cell r="I620" t="str">
            <v>Low</v>
          </cell>
          <cell r="J620" t="str">
            <v>Artisan Flip-Chart Easel Binder, Black</v>
          </cell>
          <cell r="K620" t="str">
            <v>Office Supplies</v>
          </cell>
          <cell r="L620" t="str">
            <v>Small Box</v>
          </cell>
          <cell r="M620" t="str">
            <v>Regular Air</v>
          </cell>
          <cell r="N620">
            <v>42132</v>
          </cell>
          <cell r="O620">
            <v>13.88</v>
          </cell>
          <cell r="P620">
            <v>22.38</v>
          </cell>
          <cell r="Q620">
            <v>45</v>
          </cell>
          <cell r="R620">
            <v>1007.0999999999999</v>
          </cell>
          <cell r="S620">
            <v>0.05</v>
          </cell>
          <cell r="T620">
            <v>50.354999999999997</v>
          </cell>
          <cell r="U620">
            <v>1007.05</v>
          </cell>
          <cell r="V620">
            <v>15.1</v>
          </cell>
          <cell r="W620">
            <v>1022.15</v>
          </cell>
        </row>
        <row r="621">
          <cell r="A621" t="str">
            <v>5891-1</v>
          </cell>
          <cell r="B621">
            <v>42136</v>
          </cell>
          <cell r="C621" t="str">
            <v>Sean ODonnell</v>
          </cell>
          <cell r="D621" t="str">
            <v>541 Church St ,Richmond</v>
          </cell>
          <cell r="E621" t="str">
            <v>Melbourne</v>
          </cell>
          <cell r="F621" t="str">
            <v>VIC</v>
          </cell>
          <cell r="G621" t="str">
            <v>Corporate</v>
          </cell>
          <cell r="H621" t="str">
            <v>Yvette Biti</v>
          </cell>
          <cell r="I621" t="str">
            <v>High</v>
          </cell>
          <cell r="J621" t="str">
            <v>Adams "While You Were Out" Message Pads</v>
          </cell>
          <cell r="K621" t="str">
            <v>Office Supplies</v>
          </cell>
          <cell r="L621" t="str">
            <v>Wrap Bag</v>
          </cell>
          <cell r="M621" t="str">
            <v>Regular Air</v>
          </cell>
          <cell r="N621">
            <v>42138</v>
          </cell>
          <cell r="O621">
            <v>1.88</v>
          </cell>
          <cell r="P621">
            <v>3.14</v>
          </cell>
          <cell r="Q621">
            <v>50</v>
          </cell>
          <cell r="R621">
            <v>157</v>
          </cell>
          <cell r="S621">
            <v>0</v>
          </cell>
          <cell r="T621">
            <v>0</v>
          </cell>
          <cell r="U621">
            <v>157</v>
          </cell>
          <cell r="V621">
            <v>1.1399999999999999</v>
          </cell>
          <cell r="W621">
            <v>158.13999999999999</v>
          </cell>
        </row>
        <row r="622">
          <cell r="A622" t="str">
            <v>5893-1</v>
          </cell>
          <cell r="B622">
            <v>42138</v>
          </cell>
          <cell r="C622" t="str">
            <v>Ricardo Block</v>
          </cell>
          <cell r="D622" t="str">
            <v>106 Ebley Street,Bondi Junction</v>
          </cell>
          <cell r="E622" t="str">
            <v>Sydney</v>
          </cell>
          <cell r="F622" t="str">
            <v>NSW</v>
          </cell>
          <cell r="G622" t="str">
            <v>Corporate</v>
          </cell>
          <cell r="H622" t="str">
            <v>Leighton Forrest</v>
          </cell>
          <cell r="I622" t="str">
            <v>Medium</v>
          </cell>
          <cell r="J622" t="str">
            <v>Bagged Rubber Bands</v>
          </cell>
          <cell r="K622" t="str">
            <v>Office Supplies</v>
          </cell>
          <cell r="L622" t="str">
            <v>Wrap Bag</v>
          </cell>
          <cell r="M622" t="str">
            <v>Express Air</v>
          </cell>
          <cell r="N622">
            <v>42138</v>
          </cell>
          <cell r="O622">
            <v>0.24</v>
          </cell>
          <cell r="P622">
            <v>1.26</v>
          </cell>
          <cell r="Q622">
            <v>35</v>
          </cell>
          <cell r="R622">
            <v>44.1</v>
          </cell>
          <cell r="S622">
            <v>0.06</v>
          </cell>
          <cell r="T622">
            <v>2.6459999999999999</v>
          </cell>
          <cell r="U622">
            <v>44.04</v>
          </cell>
          <cell r="V622">
            <v>0.7</v>
          </cell>
          <cell r="W622">
            <v>44.74</v>
          </cell>
        </row>
        <row r="623">
          <cell r="A623" t="str">
            <v>5894-1</v>
          </cell>
          <cell r="B623">
            <v>42138</v>
          </cell>
          <cell r="C623" t="str">
            <v>Shui Tom</v>
          </cell>
          <cell r="D623" t="str">
            <v>1 John Street,Waterloo</v>
          </cell>
          <cell r="E623" t="str">
            <v>Sydney</v>
          </cell>
          <cell r="F623" t="str">
            <v>NSW</v>
          </cell>
          <cell r="G623" t="str">
            <v>Home Office</v>
          </cell>
          <cell r="H623" t="str">
            <v>Charlie Bui</v>
          </cell>
          <cell r="I623" t="str">
            <v>High</v>
          </cell>
          <cell r="J623" t="str">
            <v>Deluxe Rollaway Locking File with Drawer</v>
          </cell>
          <cell r="K623" t="str">
            <v>Office Supplies</v>
          </cell>
          <cell r="L623" t="str">
            <v>Small Box</v>
          </cell>
          <cell r="M623" t="str">
            <v>Regular Air</v>
          </cell>
          <cell r="N623">
            <v>42140</v>
          </cell>
          <cell r="O623">
            <v>178.83</v>
          </cell>
          <cell r="P623">
            <v>415.88</v>
          </cell>
          <cell r="Q623">
            <v>11</v>
          </cell>
          <cell r="R623">
            <v>4574.68</v>
          </cell>
          <cell r="S623">
            <v>0.06</v>
          </cell>
          <cell r="T623">
            <v>274.48079999999999</v>
          </cell>
          <cell r="U623">
            <v>4574.62</v>
          </cell>
          <cell r="V623">
            <v>11.37</v>
          </cell>
          <cell r="W623">
            <v>4585.99</v>
          </cell>
        </row>
        <row r="624">
          <cell r="A624" t="str">
            <v>5896-1</v>
          </cell>
          <cell r="B624">
            <v>42139</v>
          </cell>
          <cell r="C624" t="str">
            <v>Penelope Sewall</v>
          </cell>
          <cell r="D624" t="str">
            <v>96 Liverpool St,Sydney</v>
          </cell>
          <cell r="E624" t="str">
            <v>Sydney</v>
          </cell>
          <cell r="F624" t="str">
            <v>NSW</v>
          </cell>
          <cell r="G624" t="str">
            <v>Home Office</v>
          </cell>
          <cell r="H624" t="str">
            <v>Samantha Chairs</v>
          </cell>
          <cell r="I624" t="str">
            <v>High</v>
          </cell>
          <cell r="J624" t="str">
            <v>Apex Straight Scissors</v>
          </cell>
          <cell r="K624" t="str">
            <v>Office Supplies</v>
          </cell>
          <cell r="L624" t="str">
            <v>Small Pack</v>
          </cell>
          <cell r="M624" t="str">
            <v>Regular Air</v>
          </cell>
          <cell r="N624">
            <v>42141</v>
          </cell>
          <cell r="O624">
            <v>5.19</v>
          </cell>
          <cell r="P624">
            <v>12.98</v>
          </cell>
          <cell r="Q624">
            <v>23</v>
          </cell>
          <cell r="R624">
            <v>298.54000000000002</v>
          </cell>
          <cell r="S624">
            <v>0.01</v>
          </cell>
          <cell r="T624">
            <v>2.9854000000000003</v>
          </cell>
          <cell r="U624">
            <v>298.53000000000003</v>
          </cell>
          <cell r="V624">
            <v>3.14</v>
          </cell>
          <cell r="W624">
            <v>301.67</v>
          </cell>
        </row>
        <row r="625">
          <cell r="A625" t="str">
            <v>5897-1</v>
          </cell>
          <cell r="B625">
            <v>42141</v>
          </cell>
          <cell r="C625" t="str">
            <v>Muhammed MacIntyre</v>
          </cell>
          <cell r="D625" t="str">
            <v>106 Ebley Street,Bondi Junction</v>
          </cell>
          <cell r="E625" t="str">
            <v>Sydney</v>
          </cell>
          <cell r="F625" t="str">
            <v>NSW</v>
          </cell>
          <cell r="G625" t="str">
            <v>Small Business</v>
          </cell>
          <cell r="H625" t="str">
            <v>Leighton Forrest</v>
          </cell>
          <cell r="I625" t="str">
            <v>High</v>
          </cell>
          <cell r="J625" t="str">
            <v>Smiths Pen Style Liquid Stix; Assorted (yellow, pink, green, blue, orange), 5/Pack</v>
          </cell>
          <cell r="K625" t="str">
            <v>Office Supplies</v>
          </cell>
          <cell r="L625" t="str">
            <v>Wrap Bag</v>
          </cell>
          <cell r="M625" t="str">
            <v>Regular Air</v>
          </cell>
          <cell r="N625">
            <v>42142</v>
          </cell>
          <cell r="O625">
            <v>3.88</v>
          </cell>
          <cell r="P625">
            <v>6.47</v>
          </cell>
          <cell r="Q625">
            <v>7</v>
          </cell>
          <cell r="R625">
            <v>45.29</v>
          </cell>
          <cell r="S625">
            <v>0.02</v>
          </cell>
          <cell r="T625">
            <v>0.90580000000000005</v>
          </cell>
          <cell r="U625">
            <v>45.269999999999996</v>
          </cell>
          <cell r="V625">
            <v>1.22</v>
          </cell>
          <cell r="W625">
            <v>46.489999999999995</v>
          </cell>
        </row>
        <row r="626">
          <cell r="A626" t="str">
            <v>5898-1</v>
          </cell>
          <cell r="B626">
            <v>42141</v>
          </cell>
          <cell r="C626" t="str">
            <v>Frank Hawley</v>
          </cell>
          <cell r="D626" t="str">
            <v>Shop 1 797 Botany Rd,Rosebery</v>
          </cell>
          <cell r="E626" t="str">
            <v>Sydney</v>
          </cell>
          <cell r="F626" t="str">
            <v>NSW</v>
          </cell>
          <cell r="G626" t="str">
            <v>Home Office</v>
          </cell>
          <cell r="H626" t="str">
            <v>Phoebe Gour</v>
          </cell>
          <cell r="I626" t="str">
            <v>Not Specified</v>
          </cell>
          <cell r="J626" t="str">
            <v>Xit Blank Computer Paper</v>
          </cell>
          <cell r="K626" t="str">
            <v>Office Supplies</v>
          </cell>
          <cell r="L626" t="str">
            <v>Small Box</v>
          </cell>
          <cell r="M626" t="str">
            <v>Regular Air</v>
          </cell>
          <cell r="N626">
            <v>42144</v>
          </cell>
          <cell r="O626">
            <v>12.39</v>
          </cell>
          <cell r="P626">
            <v>19.98</v>
          </cell>
          <cell r="Q626">
            <v>33</v>
          </cell>
          <cell r="R626">
            <v>659.34</v>
          </cell>
          <cell r="S626">
            <v>0.09</v>
          </cell>
          <cell r="T626">
            <v>59.340600000000002</v>
          </cell>
          <cell r="U626">
            <v>659.25</v>
          </cell>
          <cell r="V626">
            <v>5.77</v>
          </cell>
          <cell r="W626">
            <v>665.02</v>
          </cell>
        </row>
        <row r="627">
          <cell r="A627" t="str">
            <v>5900-1</v>
          </cell>
          <cell r="B627">
            <v>42142</v>
          </cell>
          <cell r="C627" t="str">
            <v>Sibella Parks</v>
          </cell>
          <cell r="D627" t="str">
            <v>180 High Street,Windsor</v>
          </cell>
          <cell r="E627" t="str">
            <v>Melbourne</v>
          </cell>
          <cell r="F627" t="str">
            <v>VIC</v>
          </cell>
          <cell r="G627" t="str">
            <v>Small Business</v>
          </cell>
          <cell r="H627" t="str">
            <v>Connor Betts</v>
          </cell>
          <cell r="I627" t="str">
            <v>Not Specified</v>
          </cell>
          <cell r="J627" t="str">
            <v>Artisan Reinforcements for Hole-Punch Pages</v>
          </cell>
          <cell r="K627" t="str">
            <v>Office Supplies</v>
          </cell>
          <cell r="L627" t="str">
            <v>Small Box</v>
          </cell>
          <cell r="M627" t="str">
            <v>Regular Air</v>
          </cell>
          <cell r="N627">
            <v>42142</v>
          </cell>
          <cell r="O627">
            <v>1.19</v>
          </cell>
          <cell r="P627">
            <v>1.98</v>
          </cell>
          <cell r="Q627">
            <v>29</v>
          </cell>
          <cell r="R627">
            <v>57.42</v>
          </cell>
          <cell r="S627">
            <v>0.09</v>
          </cell>
          <cell r="T627">
            <v>5.1677999999999997</v>
          </cell>
          <cell r="U627">
            <v>57.33</v>
          </cell>
          <cell r="V627">
            <v>4.7699999999999996</v>
          </cell>
          <cell r="W627">
            <v>62.099999999999994</v>
          </cell>
        </row>
        <row r="628">
          <cell r="A628" t="str">
            <v>5902-1</v>
          </cell>
          <cell r="B628">
            <v>42142</v>
          </cell>
          <cell r="C628" t="str">
            <v>Brian DeCherney</v>
          </cell>
          <cell r="D628" t="str">
            <v>523 King St,Newtown</v>
          </cell>
          <cell r="E628" t="str">
            <v>Sydney</v>
          </cell>
          <cell r="F628" t="str">
            <v>NSW</v>
          </cell>
          <cell r="G628" t="str">
            <v>Corporate</v>
          </cell>
          <cell r="H628" t="str">
            <v>Aanya Zhang</v>
          </cell>
          <cell r="I628" t="str">
            <v>Low</v>
          </cell>
          <cell r="J628" t="str">
            <v>Laser DVD-RAM discs</v>
          </cell>
          <cell r="K628" t="str">
            <v>Technology</v>
          </cell>
          <cell r="L628" t="str">
            <v>Small Pack</v>
          </cell>
          <cell r="M628" t="str">
            <v>Regular Air</v>
          </cell>
          <cell r="N628">
            <v>42149</v>
          </cell>
          <cell r="O628">
            <v>20.18</v>
          </cell>
          <cell r="P628">
            <v>35.409999999999997</v>
          </cell>
          <cell r="Q628">
            <v>1</v>
          </cell>
          <cell r="R628">
            <v>35.409999999999997</v>
          </cell>
          <cell r="S628">
            <v>0.1</v>
          </cell>
          <cell r="T628">
            <v>3.5409999999999999</v>
          </cell>
          <cell r="U628">
            <v>35.309999999999995</v>
          </cell>
          <cell r="V628">
            <v>1.99</v>
          </cell>
          <cell r="W628">
            <v>37.299999999999997</v>
          </cell>
        </row>
        <row r="629">
          <cell r="A629" t="str">
            <v>5904-1</v>
          </cell>
          <cell r="B629">
            <v>42143</v>
          </cell>
          <cell r="C629" t="str">
            <v>Carlos Meador</v>
          </cell>
          <cell r="D629" t="str">
            <v>152 Bunnerong Road,Eastgardens</v>
          </cell>
          <cell r="E629" t="str">
            <v>Sydney</v>
          </cell>
          <cell r="F629" t="str">
            <v>NSW</v>
          </cell>
          <cell r="G629" t="str">
            <v>Corporate</v>
          </cell>
          <cell r="H629" t="str">
            <v>Tina Carlton</v>
          </cell>
          <cell r="I629" t="str">
            <v>Critical</v>
          </cell>
          <cell r="J629" t="str">
            <v>Artisan Durable Binders</v>
          </cell>
          <cell r="K629" t="str">
            <v>Office Supplies</v>
          </cell>
          <cell r="L629" t="str">
            <v>Small Box</v>
          </cell>
          <cell r="M629" t="str">
            <v>Regular Air</v>
          </cell>
          <cell r="N629">
            <v>42144</v>
          </cell>
          <cell r="O629">
            <v>1.84</v>
          </cell>
          <cell r="P629">
            <v>2.88</v>
          </cell>
          <cell r="Q629">
            <v>16</v>
          </cell>
          <cell r="R629">
            <v>46.08</v>
          </cell>
          <cell r="S629">
            <v>0.05</v>
          </cell>
          <cell r="T629">
            <v>2.3039999999999998</v>
          </cell>
          <cell r="U629">
            <v>46.03</v>
          </cell>
          <cell r="V629">
            <v>1.49</v>
          </cell>
          <cell r="W629">
            <v>47.52</v>
          </cell>
        </row>
        <row r="630">
          <cell r="A630" t="str">
            <v>5906-1</v>
          </cell>
          <cell r="B630">
            <v>42144</v>
          </cell>
          <cell r="C630" t="str">
            <v>Mike Kennedy</v>
          </cell>
          <cell r="D630" t="str">
            <v>99 Lygon Street,East Brunswick</v>
          </cell>
          <cell r="E630" t="str">
            <v>Melbourne</v>
          </cell>
          <cell r="F630" t="str">
            <v>VIC</v>
          </cell>
          <cell r="G630" t="str">
            <v>Corporate</v>
          </cell>
          <cell r="H630" t="str">
            <v>Connor Betts</v>
          </cell>
          <cell r="I630" t="str">
            <v>High</v>
          </cell>
          <cell r="J630" t="str">
            <v>Artisan Durable Binders</v>
          </cell>
          <cell r="K630" t="str">
            <v>Office Supplies</v>
          </cell>
          <cell r="L630" t="str">
            <v>Small Box</v>
          </cell>
          <cell r="M630" t="str">
            <v>Regular Air</v>
          </cell>
          <cell r="N630">
            <v>42147</v>
          </cell>
          <cell r="O630">
            <v>1.84</v>
          </cell>
          <cell r="P630">
            <v>2.88</v>
          </cell>
          <cell r="Q630">
            <v>26</v>
          </cell>
          <cell r="R630">
            <v>74.88</v>
          </cell>
          <cell r="S630">
            <v>0.08</v>
          </cell>
          <cell r="T630">
            <v>5.9904000000000002</v>
          </cell>
          <cell r="U630">
            <v>74.8</v>
          </cell>
          <cell r="V630">
            <v>1.49</v>
          </cell>
          <cell r="W630">
            <v>76.289999999999992</v>
          </cell>
        </row>
        <row r="631">
          <cell r="A631" t="str">
            <v>5907-1</v>
          </cell>
          <cell r="B631">
            <v>42144</v>
          </cell>
          <cell r="C631" t="str">
            <v>Allen Armold</v>
          </cell>
          <cell r="D631" t="str">
            <v>224A Gertrude St,Fitzroy</v>
          </cell>
          <cell r="E631" t="str">
            <v>Melbourne</v>
          </cell>
          <cell r="F631" t="str">
            <v>VIC</v>
          </cell>
          <cell r="G631" t="str">
            <v>Home Office</v>
          </cell>
          <cell r="H631" t="str">
            <v>Connor Betts</v>
          </cell>
          <cell r="I631" t="str">
            <v>Critical</v>
          </cell>
          <cell r="J631" t="str">
            <v>Laser DVD-RAM discs</v>
          </cell>
          <cell r="K631" t="str">
            <v>Technology</v>
          </cell>
          <cell r="L631" t="str">
            <v>Small Pack</v>
          </cell>
          <cell r="M631" t="str">
            <v>Regular Air</v>
          </cell>
          <cell r="N631">
            <v>42146</v>
          </cell>
          <cell r="O631">
            <v>20.18</v>
          </cell>
          <cell r="P631">
            <v>35.409999999999997</v>
          </cell>
          <cell r="Q631">
            <v>49</v>
          </cell>
          <cell r="R631">
            <v>1735.09</v>
          </cell>
          <cell r="S631">
            <v>0.02</v>
          </cell>
          <cell r="T631">
            <v>34.701799999999999</v>
          </cell>
          <cell r="U631">
            <v>1735.07</v>
          </cell>
          <cell r="V631">
            <v>1.99</v>
          </cell>
          <cell r="W631">
            <v>1737.06</v>
          </cell>
        </row>
        <row r="632">
          <cell r="A632" t="str">
            <v>5908-1</v>
          </cell>
          <cell r="B632">
            <v>42144</v>
          </cell>
          <cell r="C632" t="str">
            <v>Alan Shonely</v>
          </cell>
          <cell r="D632" t="str">
            <v>Macquarie Centre Cnr Herring Road &amp; Waterloo Road,Macquarie Park</v>
          </cell>
          <cell r="E632" t="str">
            <v>Sydney</v>
          </cell>
          <cell r="F632" t="str">
            <v>NSW</v>
          </cell>
          <cell r="G632" t="str">
            <v>Small Business</v>
          </cell>
          <cell r="H632" t="str">
            <v>Nicholas Fernandes</v>
          </cell>
          <cell r="I632" t="str">
            <v>Critical</v>
          </cell>
          <cell r="J632" t="str">
            <v>UGen RF Keyboard</v>
          </cell>
          <cell r="K632" t="str">
            <v>Technology</v>
          </cell>
          <cell r="L632" t="str">
            <v>Small Box</v>
          </cell>
          <cell r="M632" t="str">
            <v>Regular Air</v>
          </cell>
          <cell r="N632">
            <v>42145</v>
          </cell>
          <cell r="O632">
            <v>81.59</v>
          </cell>
          <cell r="P632">
            <v>159.99</v>
          </cell>
          <cell r="Q632">
            <v>19</v>
          </cell>
          <cell r="R632">
            <v>3039.8100000000004</v>
          </cell>
          <cell r="S632">
            <v>0.1</v>
          </cell>
          <cell r="T632">
            <v>303.98100000000005</v>
          </cell>
          <cell r="U632">
            <v>3039.7100000000005</v>
          </cell>
          <cell r="V632">
            <v>5.5</v>
          </cell>
          <cell r="W632">
            <v>3045.2100000000005</v>
          </cell>
        </row>
        <row r="633">
          <cell r="A633" t="str">
            <v>5909-1</v>
          </cell>
          <cell r="B633">
            <v>42146</v>
          </cell>
          <cell r="C633" t="str">
            <v>Thomas Boland</v>
          </cell>
          <cell r="D633" t="str">
            <v>3/219 Canley Vale Road,Canley Heights</v>
          </cell>
          <cell r="E633" t="str">
            <v>Sydney</v>
          </cell>
          <cell r="F633" t="str">
            <v>NSW</v>
          </cell>
          <cell r="G633" t="str">
            <v>Corporate</v>
          </cell>
          <cell r="H633" t="str">
            <v>Mihael Khan</v>
          </cell>
          <cell r="I633" t="str">
            <v>Critical</v>
          </cell>
          <cell r="J633" t="str">
            <v>Smiths Bulldog Clip</v>
          </cell>
          <cell r="K633" t="str">
            <v>Office Supplies</v>
          </cell>
          <cell r="L633" t="str">
            <v>Wrap Bag</v>
          </cell>
          <cell r="M633" t="str">
            <v>Regular Air</v>
          </cell>
          <cell r="N633">
            <v>42148</v>
          </cell>
          <cell r="O633">
            <v>2.31</v>
          </cell>
          <cell r="P633">
            <v>3.78</v>
          </cell>
          <cell r="Q633">
            <v>19</v>
          </cell>
          <cell r="R633">
            <v>71.819999999999993</v>
          </cell>
          <cell r="S633">
            <v>0.03</v>
          </cell>
          <cell r="T633">
            <v>2.1545999999999998</v>
          </cell>
          <cell r="U633">
            <v>71.789999999999992</v>
          </cell>
          <cell r="V633">
            <v>0.71</v>
          </cell>
          <cell r="W633">
            <v>72.499999999999986</v>
          </cell>
        </row>
        <row r="634">
          <cell r="A634" t="str">
            <v>5911-1</v>
          </cell>
          <cell r="B634">
            <v>42148</v>
          </cell>
          <cell r="C634" t="str">
            <v>Maurice Satty</v>
          </cell>
          <cell r="D634" t="str">
            <v>188 Pitt Street,Sydney</v>
          </cell>
          <cell r="E634" t="str">
            <v>Sydney</v>
          </cell>
          <cell r="F634" t="str">
            <v>NSW</v>
          </cell>
          <cell r="G634" t="str">
            <v>Corporate</v>
          </cell>
          <cell r="H634" t="str">
            <v>Tina Carlton</v>
          </cell>
          <cell r="I634" t="str">
            <v>Medium</v>
          </cell>
          <cell r="J634" t="str">
            <v>Steady EarthWrite Recycled Pencils, Medium Soft, #2</v>
          </cell>
          <cell r="K634" t="str">
            <v>Office Supplies</v>
          </cell>
          <cell r="L634" t="str">
            <v>Wrap Bag</v>
          </cell>
          <cell r="M634" t="str">
            <v>Regular Air</v>
          </cell>
          <cell r="N634">
            <v>42149</v>
          </cell>
          <cell r="O634">
            <v>0.9</v>
          </cell>
          <cell r="P634">
            <v>2.1</v>
          </cell>
          <cell r="Q634">
            <v>17</v>
          </cell>
          <cell r="R634">
            <v>35.700000000000003</v>
          </cell>
          <cell r="S634">
            <v>0.09</v>
          </cell>
          <cell r="T634">
            <v>3.2130000000000001</v>
          </cell>
          <cell r="U634">
            <v>35.61</v>
          </cell>
          <cell r="V634">
            <v>0.7</v>
          </cell>
          <cell r="W634">
            <v>36.31</v>
          </cell>
        </row>
        <row r="635">
          <cell r="A635" t="str">
            <v>5913-1</v>
          </cell>
          <cell r="B635">
            <v>42148</v>
          </cell>
          <cell r="C635" t="str">
            <v>Mike Gockenbach</v>
          </cell>
          <cell r="D635" t="str">
            <v>180 High Street,Windsor</v>
          </cell>
          <cell r="E635" t="str">
            <v>Melbourne</v>
          </cell>
          <cell r="F635" t="str">
            <v>VIC</v>
          </cell>
          <cell r="G635" t="str">
            <v>Consumer</v>
          </cell>
          <cell r="H635" t="str">
            <v>Connor Betts</v>
          </cell>
          <cell r="I635" t="str">
            <v>Low</v>
          </cell>
          <cell r="J635" t="str">
            <v>Steady Major Accent Highlighters</v>
          </cell>
          <cell r="K635" t="str">
            <v>Office Supplies</v>
          </cell>
          <cell r="L635" t="str">
            <v>Wrap Bag</v>
          </cell>
          <cell r="M635" t="str">
            <v>Regular Air</v>
          </cell>
          <cell r="N635">
            <v>42152</v>
          </cell>
          <cell r="O635">
            <v>3.75</v>
          </cell>
          <cell r="P635">
            <v>7.08</v>
          </cell>
          <cell r="Q635">
            <v>49</v>
          </cell>
          <cell r="R635">
            <v>346.92</v>
          </cell>
          <cell r="S635">
            <v>0</v>
          </cell>
          <cell r="T635">
            <v>0</v>
          </cell>
          <cell r="U635">
            <v>346.92</v>
          </cell>
          <cell r="V635">
            <v>2.35</v>
          </cell>
          <cell r="W635">
            <v>349.27000000000004</v>
          </cell>
        </row>
        <row r="636">
          <cell r="A636" t="str">
            <v>5914-1</v>
          </cell>
          <cell r="B636">
            <v>42150</v>
          </cell>
          <cell r="C636" t="str">
            <v>Patrick Ryan</v>
          </cell>
          <cell r="D636" t="str">
            <v>Cnr Williams Road &amp; Lechlade Ave,South Yarra</v>
          </cell>
          <cell r="E636" t="str">
            <v>Melbourne</v>
          </cell>
          <cell r="F636" t="str">
            <v>VIC</v>
          </cell>
          <cell r="G636" t="str">
            <v>Corporate</v>
          </cell>
          <cell r="H636" t="str">
            <v>Yvette Biti</v>
          </cell>
          <cell r="I636" t="str">
            <v>Critical</v>
          </cell>
          <cell r="J636" t="str">
            <v>12 Colored Short Pencils</v>
          </cell>
          <cell r="K636" t="str">
            <v>Office Supplies</v>
          </cell>
          <cell r="L636" t="str">
            <v>Wrap Bag</v>
          </cell>
          <cell r="M636" t="str">
            <v>Regular Air</v>
          </cell>
          <cell r="N636">
            <v>42152</v>
          </cell>
          <cell r="O636">
            <v>1.0900000000000001</v>
          </cell>
          <cell r="P636">
            <v>2.6</v>
          </cell>
          <cell r="Q636">
            <v>8</v>
          </cell>
          <cell r="R636">
            <v>20.8</v>
          </cell>
          <cell r="S636">
            <v>0.04</v>
          </cell>
          <cell r="T636">
            <v>0.83200000000000007</v>
          </cell>
          <cell r="U636">
            <v>20.76</v>
          </cell>
          <cell r="V636">
            <v>2.4</v>
          </cell>
          <cell r="W636">
            <v>23.16</v>
          </cell>
        </row>
        <row r="637">
          <cell r="A637" t="str">
            <v>5916-1</v>
          </cell>
          <cell r="B637">
            <v>42151</v>
          </cell>
          <cell r="C637" t="str">
            <v>Jack OBriant</v>
          </cell>
          <cell r="D637" t="str">
            <v>85-113 Dunning Ave,Rosebery</v>
          </cell>
          <cell r="E637" t="str">
            <v>Sydney</v>
          </cell>
          <cell r="F637" t="str">
            <v>NSW</v>
          </cell>
          <cell r="G637" t="str">
            <v>Small Business</v>
          </cell>
          <cell r="H637" t="str">
            <v>Mihael Khan</v>
          </cell>
          <cell r="I637" t="str">
            <v>Not Specified</v>
          </cell>
          <cell r="J637" t="str">
            <v>Beekin 105-Key Black Keyboard</v>
          </cell>
          <cell r="K637" t="str">
            <v>Technology</v>
          </cell>
          <cell r="L637" t="str">
            <v>Small Box</v>
          </cell>
          <cell r="M637" t="str">
            <v>Regular Air</v>
          </cell>
          <cell r="N637">
            <v>42153</v>
          </cell>
          <cell r="O637">
            <v>6.39</v>
          </cell>
          <cell r="P637">
            <v>19.98</v>
          </cell>
          <cell r="Q637">
            <v>7</v>
          </cell>
          <cell r="R637">
            <v>139.86000000000001</v>
          </cell>
          <cell r="S637">
            <v>0.09</v>
          </cell>
          <cell r="T637">
            <v>12.587400000000001</v>
          </cell>
          <cell r="U637">
            <v>139.77000000000001</v>
          </cell>
          <cell r="V637">
            <v>4</v>
          </cell>
          <cell r="W637">
            <v>143.77000000000001</v>
          </cell>
        </row>
        <row r="638">
          <cell r="A638" t="str">
            <v>5917-1</v>
          </cell>
          <cell r="B638">
            <v>42152</v>
          </cell>
          <cell r="C638" t="str">
            <v>Lynn Smith</v>
          </cell>
          <cell r="D638" t="str">
            <v>61A Bay Road,Wollstonecraft</v>
          </cell>
          <cell r="E638" t="str">
            <v>Sydney</v>
          </cell>
          <cell r="F638" t="str">
            <v>NSW</v>
          </cell>
          <cell r="G638" t="str">
            <v>Corporate</v>
          </cell>
          <cell r="H638" t="str">
            <v>Samantha Chairs</v>
          </cell>
          <cell r="I638" t="str">
            <v>Not Specified</v>
          </cell>
          <cell r="J638" t="str">
            <v>12 Colored Short Pencils</v>
          </cell>
          <cell r="K638" t="str">
            <v>Office Supplies</v>
          </cell>
          <cell r="L638" t="str">
            <v>Wrap Bag</v>
          </cell>
          <cell r="M638" t="str">
            <v>Express Air</v>
          </cell>
          <cell r="N638">
            <v>42153</v>
          </cell>
          <cell r="O638">
            <v>1.0900000000000001</v>
          </cell>
          <cell r="P638">
            <v>2.6</v>
          </cell>
          <cell r="Q638">
            <v>42</v>
          </cell>
          <cell r="R638">
            <v>109.2</v>
          </cell>
          <cell r="S638">
            <v>0.05</v>
          </cell>
          <cell r="T638">
            <v>5.4600000000000009</v>
          </cell>
          <cell r="U638">
            <v>109.15</v>
          </cell>
          <cell r="V638">
            <v>2.4</v>
          </cell>
          <cell r="W638">
            <v>111.55000000000001</v>
          </cell>
        </row>
        <row r="639">
          <cell r="A639" t="str">
            <v>5919-1</v>
          </cell>
          <cell r="B639">
            <v>42153</v>
          </cell>
          <cell r="C639" t="str">
            <v>Cindy Schnelling</v>
          </cell>
          <cell r="D639" t="str">
            <v>240-242 Johnston Street,Fitzroy</v>
          </cell>
          <cell r="E639" t="str">
            <v>Melbourne</v>
          </cell>
          <cell r="F639" t="str">
            <v>VIC</v>
          </cell>
          <cell r="G639" t="str">
            <v>Corporate</v>
          </cell>
          <cell r="H639" t="str">
            <v>Connor Betts</v>
          </cell>
          <cell r="I639" t="str">
            <v>High</v>
          </cell>
          <cell r="J639" t="str">
            <v>Artisan 474 Labels</v>
          </cell>
          <cell r="K639" t="str">
            <v>Office Supplies</v>
          </cell>
          <cell r="L639" t="str">
            <v>Small Box</v>
          </cell>
          <cell r="M639" t="str">
            <v>Regular Air</v>
          </cell>
          <cell r="N639">
            <v>42155</v>
          </cell>
          <cell r="O639">
            <v>1.84</v>
          </cell>
          <cell r="P639">
            <v>2.88</v>
          </cell>
          <cell r="Q639">
            <v>24</v>
          </cell>
          <cell r="R639">
            <v>69.12</v>
          </cell>
          <cell r="S639">
            <v>7.0000000000000007E-2</v>
          </cell>
          <cell r="T639">
            <v>4.8384000000000009</v>
          </cell>
          <cell r="U639">
            <v>69.050000000000011</v>
          </cell>
          <cell r="V639">
            <v>0.99</v>
          </cell>
          <cell r="W639">
            <v>70.040000000000006</v>
          </cell>
        </row>
        <row r="640">
          <cell r="A640" t="str">
            <v>5921-1</v>
          </cell>
          <cell r="B640">
            <v>42155</v>
          </cell>
          <cell r="C640" t="str">
            <v>George Bell</v>
          </cell>
          <cell r="D640" t="str">
            <v>499-501 Lygon Street,Carlton North</v>
          </cell>
          <cell r="E640" t="str">
            <v>Melbourne</v>
          </cell>
          <cell r="F640" t="str">
            <v>VIC</v>
          </cell>
          <cell r="G640" t="str">
            <v>Corporate</v>
          </cell>
          <cell r="H640" t="str">
            <v>Yvette Biti</v>
          </cell>
          <cell r="I640" t="str">
            <v>Not Specified</v>
          </cell>
          <cell r="J640" t="str">
            <v>1726 Digital Answering Machine</v>
          </cell>
          <cell r="K640" t="str">
            <v>Technology</v>
          </cell>
          <cell r="L640" t="str">
            <v>Medium Box</v>
          </cell>
          <cell r="M640" t="str">
            <v>Express Air</v>
          </cell>
          <cell r="N640">
            <v>42157</v>
          </cell>
          <cell r="O640">
            <v>8.82</v>
          </cell>
          <cell r="P640">
            <v>20.99</v>
          </cell>
          <cell r="Q640">
            <v>18</v>
          </cell>
          <cell r="R640">
            <v>377.82</v>
          </cell>
          <cell r="S640">
            <v>0</v>
          </cell>
          <cell r="T640">
            <v>0</v>
          </cell>
          <cell r="U640">
            <v>377.82</v>
          </cell>
          <cell r="V640">
            <v>4.8099999999999996</v>
          </cell>
          <cell r="W640">
            <v>382.63</v>
          </cell>
        </row>
        <row r="641">
          <cell r="A641" t="str">
            <v>5923-1</v>
          </cell>
          <cell r="B641">
            <v>42155</v>
          </cell>
          <cell r="C641" t="str">
            <v>Pete Armstrong</v>
          </cell>
          <cell r="D641" t="str">
            <v>506 Swan Street,Richmond</v>
          </cell>
          <cell r="E641" t="str">
            <v>Melbourne</v>
          </cell>
          <cell r="F641" t="str">
            <v>VIC</v>
          </cell>
          <cell r="G641" t="str">
            <v>Consumer</v>
          </cell>
          <cell r="H641" t="str">
            <v>Connor Betts</v>
          </cell>
          <cell r="I641" t="str">
            <v>Medium</v>
          </cell>
          <cell r="J641" t="str">
            <v>Laser Neon Mac Format Diskettes, 10/Pack</v>
          </cell>
          <cell r="K641" t="str">
            <v>Technology</v>
          </cell>
          <cell r="L641" t="str">
            <v>Small Pack</v>
          </cell>
          <cell r="M641" t="str">
            <v>Regular Air</v>
          </cell>
          <cell r="N641">
            <v>42156</v>
          </cell>
          <cell r="O641">
            <v>1.87</v>
          </cell>
          <cell r="P641">
            <v>8.1199999999999992</v>
          </cell>
          <cell r="Q641">
            <v>3</v>
          </cell>
          <cell r="R641">
            <v>24.36</v>
          </cell>
          <cell r="S641">
            <v>0.03</v>
          </cell>
          <cell r="T641">
            <v>0.73080000000000001</v>
          </cell>
          <cell r="U641">
            <v>24.33</v>
          </cell>
          <cell r="V641">
            <v>2.83</v>
          </cell>
          <cell r="W641">
            <v>27.159999999999997</v>
          </cell>
        </row>
        <row r="642">
          <cell r="A642" t="str">
            <v>5925-1</v>
          </cell>
          <cell r="B642">
            <v>42155</v>
          </cell>
          <cell r="C642" t="str">
            <v>Lauren Leatherbury</v>
          </cell>
          <cell r="D642" t="str">
            <v>Westfield 1 Anderson St,Chatswood</v>
          </cell>
          <cell r="E642" t="str">
            <v>Sydney</v>
          </cell>
          <cell r="F642" t="str">
            <v>NSW</v>
          </cell>
          <cell r="G642" t="str">
            <v>Home Office</v>
          </cell>
          <cell r="H642" t="str">
            <v>Nicholas Fernandes</v>
          </cell>
          <cell r="I642" t="str">
            <v>Low</v>
          </cell>
          <cell r="J642" t="str">
            <v>Multi-Use Personal File Cart and Caster Set, Three Stacking Bins</v>
          </cell>
          <cell r="K642" t="str">
            <v>Office Supplies</v>
          </cell>
          <cell r="L642" t="str">
            <v>Small Box</v>
          </cell>
          <cell r="M642" t="str">
            <v>Regular Air</v>
          </cell>
          <cell r="N642">
            <v>42160</v>
          </cell>
          <cell r="O642">
            <v>14.95</v>
          </cell>
          <cell r="P642">
            <v>34.76</v>
          </cell>
          <cell r="Q642">
            <v>43</v>
          </cell>
          <cell r="R642">
            <v>1494.6799999999998</v>
          </cell>
          <cell r="S642">
            <v>0.08</v>
          </cell>
          <cell r="T642">
            <v>119.57439999999998</v>
          </cell>
          <cell r="U642">
            <v>1494.6</v>
          </cell>
          <cell r="V642">
            <v>8.2200000000000006</v>
          </cell>
          <cell r="W642">
            <v>1502.82</v>
          </cell>
        </row>
        <row r="643">
          <cell r="A643" t="str">
            <v>5927-1</v>
          </cell>
          <cell r="B643">
            <v>42156</v>
          </cell>
          <cell r="C643" t="str">
            <v>Nathan Mautz</v>
          </cell>
          <cell r="D643" t="str">
            <v>412 Brunswick St,Fitzroy</v>
          </cell>
          <cell r="E643" t="str">
            <v>Melbourne</v>
          </cell>
          <cell r="F643" t="str">
            <v>VIC</v>
          </cell>
          <cell r="G643" t="str">
            <v>Corporate</v>
          </cell>
          <cell r="H643" t="str">
            <v>Connor Betts</v>
          </cell>
          <cell r="I643" t="str">
            <v>Low</v>
          </cell>
          <cell r="J643" t="str">
            <v>Apex Box Cutter Scissors</v>
          </cell>
          <cell r="K643" t="str">
            <v>Office Supplies</v>
          </cell>
          <cell r="L643" t="str">
            <v>Small Pack</v>
          </cell>
          <cell r="M643" t="str">
            <v>Regular Air</v>
          </cell>
          <cell r="N643">
            <v>42161</v>
          </cell>
          <cell r="O643">
            <v>4.1900000000000004</v>
          </cell>
          <cell r="P643">
            <v>10.23</v>
          </cell>
          <cell r="Q643">
            <v>35</v>
          </cell>
          <cell r="R643">
            <v>358.05</v>
          </cell>
          <cell r="S643">
            <v>0.01</v>
          </cell>
          <cell r="T643">
            <v>3.5805000000000002</v>
          </cell>
          <cell r="U643">
            <v>358.04</v>
          </cell>
          <cell r="V643">
            <v>4.68</v>
          </cell>
          <cell r="W643">
            <v>362.72</v>
          </cell>
        </row>
        <row r="644">
          <cell r="A644" t="str">
            <v>5928-1</v>
          </cell>
          <cell r="B644">
            <v>42163</v>
          </cell>
          <cell r="C644" t="str">
            <v>Michael Chen</v>
          </cell>
          <cell r="D644" t="str">
            <v>Shop 3/144 Waterloo Road,Greenacre</v>
          </cell>
          <cell r="E644" t="str">
            <v>Sydney</v>
          </cell>
          <cell r="F644" t="str">
            <v>NSW</v>
          </cell>
          <cell r="G644" t="str">
            <v>Consumer</v>
          </cell>
          <cell r="H644" t="str">
            <v>Samantha Chairs</v>
          </cell>
          <cell r="I644" t="str">
            <v>Critical</v>
          </cell>
          <cell r="J644" t="str">
            <v>300 Series Non-Flip</v>
          </cell>
          <cell r="K644" t="str">
            <v>Technology</v>
          </cell>
          <cell r="L644" t="str">
            <v>Small Box</v>
          </cell>
          <cell r="M644" t="str">
            <v>Regular Air</v>
          </cell>
          <cell r="N644">
            <v>42165</v>
          </cell>
          <cell r="O644">
            <v>62.4</v>
          </cell>
          <cell r="P644">
            <v>155.99</v>
          </cell>
          <cell r="Q644">
            <v>21</v>
          </cell>
          <cell r="R644">
            <v>3275.79</v>
          </cell>
          <cell r="S644">
            <v>0.08</v>
          </cell>
          <cell r="T644">
            <v>262.06319999999999</v>
          </cell>
          <cell r="U644">
            <v>3275.71</v>
          </cell>
          <cell r="V644">
            <v>8.08</v>
          </cell>
          <cell r="W644">
            <v>3283.79</v>
          </cell>
        </row>
        <row r="645">
          <cell r="A645" t="str">
            <v>5930-1</v>
          </cell>
          <cell r="B645">
            <v>42163</v>
          </cell>
          <cell r="C645" t="str">
            <v>Jack OBriant</v>
          </cell>
          <cell r="D645" t="str">
            <v>85-113 Dunning Ave,Rosebery</v>
          </cell>
          <cell r="E645" t="str">
            <v>Sydney</v>
          </cell>
          <cell r="F645" t="str">
            <v>NSW</v>
          </cell>
          <cell r="G645" t="str">
            <v>Home Office</v>
          </cell>
          <cell r="H645" t="str">
            <v>Mihael Khan</v>
          </cell>
          <cell r="I645" t="str">
            <v>Not Specified</v>
          </cell>
          <cell r="J645" t="str">
            <v>HFX LaserJet 3310 Copier</v>
          </cell>
          <cell r="K645" t="str">
            <v>Technology</v>
          </cell>
          <cell r="L645" t="str">
            <v>Large Box</v>
          </cell>
          <cell r="M645" t="str">
            <v>Regular Air</v>
          </cell>
          <cell r="N645">
            <v>42164</v>
          </cell>
          <cell r="O645">
            <v>377.99</v>
          </cell>
          <cell r="P645">
            <v>599.99</v>
          </cell>
          <cell r="Q645">
            <v>41</v>
          </cell>
          <cell r="R645">
            <v>24599.59</v>
          </cell>
          <cell r="S645">
            <v>0.09</v>
          </cell>
          <cell r="T645">
            <v>2213.9630999999999</v>
          </cell>
          <cell r="U645">
            <v>24599.5</v>
          </cell>
          <cell r="V645">
            <v>24.49</v>
          </cell>
          <cell r="W645">
            <v>24623.99</v>
          </cell>
        </row>
        <row r="646">
          <cell r="A646" t="str">
            <v>5931-1</v>
          </cell>
          <cell r="B646">
            <v>42165</v>
          </cell>
          <cell r="C646" t="str">
            <v>Alan Schoenberger</v>
          </cell>
          <cell r="D646" t="str">
            <v>333-339 Enmore Rd,Marrickville</v>
          </cell>
          <cell r="E646" t="str">
            <v>Sydney</v>
          </cell>
          <cell r="F646" t="str">
            <v>NSW</v>
          </cell>
          <cell r="G646" t="str">
            <v>Corporate</v>
          </cell>
          <cell r="H646" t="str">
            <v>Preston Senome</v>
          </cell>
          <cell r="I646" t="str">
            <v>Critical</v>
          </cell>
          <cell r="J646" t="str">
            <v>Multimedia Mailers</v>
          </cell>
          <cell r="K646" t="str">
            <v>Office Supplies</v>
          </cell>
          <cell r="L646" t="str">
            <v>Small Box</v>
          </cell>
          <cell r="M646" t="str">
            <v>Regular Air</v>
          </cell>
          <cell r="N646">
            <v>42167</v>
          </cell>
          <cell r="O646">
            <v>99.39</v>
          </cell>
          <cell r="P646">
            <v>162.93</v>
          </cell>
          <cell r="Q646">
            <v>36</v>
          </cell>
          <cell r="R646">
            <v>5865.4800000000005</v>
          </cell>
          <cell r="S646">
            <v>0.09</v>
          </cell>
          <cell r="T646">
            <v>527.89319999999998</v>
          </cell>
          <cell r="U646">
            <v>5865.39</v>
          </cell>
          <cell r="V646">
            <v>19.989999999999998</v>
          </cell>
          <cell r="W646">
            <v>5885.38</v>
          </cell>
        </row>
        <row r="647">
          <cell r="A647" t="str">
            <v>5932-1</v>
          </cell>
          <cell r="B647">
            <v>42165</v>
          </cell>
          <cell r="C647" t="str">
            <v>Liz MacKendrick</v>
          </cell>
          <cell r="D647" t="str">
            <v>224A Gertrude St,Fitzroy</v>
          </cell>
          <cell r="E647" t="str">
            <v>Melbourne</v>
          </cell>
          <cell r="F647" t="str">
            <v>VIC</v>
          </cell>
          <cell r="G647" t="str">
            <v>Corporate</v>
          </cell>
          <cell r="H647" t="str">
            <v>Connor Betts</v>
          </cell>
          <cell r="I647" t="str">
            <v>Low</v>
          </cell>
          <cell r="J647" t="str">
            <v>Smiths Standard Envelopes</v>
          </cell>
          <cell r="K647" t="str">
            <v>Office Supplies</v>
          </cell>
          <cell r="L647" t="str">
            <v>Small Box</v>
          </cell>
          <cell r="M647" t="str">
            <v>Regular Air</v>
          </cell>
          <cell r="N647">
            <v>42169</v>
          </cell>
          <cell r="O647">
            <v>3.52</v>
          </cell>
          <cell r="P647">
            <v>5.68</v>
          </cell>
          <cell r="Q647">
            <v>8</v>
          </cell>
          <cell r="R647">
            <v>45.44</v>
          </cell>
          <cell r="S647">
            <v>0.05</v>
          </cell>
          <cell r="T647">
            <v>2.2719999999999998</v>
          </cell>
          <cell r="U647">
            <v>45.39</v>
          </cell>
          <cell r="V647">
            <v>1.39</v>
          </cell>
          <cell r="W647">
            <v>46.78</v>
          </cell>
        </row>
        <row r="648">
          <cell r="A648" t="str">
            <v>5933-1</v>
          </cell>
          <cell r="B648">
            <v>42166</v>
          </cell>
          <cell r="C648" t="str">
            <v>Tamara Chand</v>
          </cell>
          <cell r="D648" t="str">
            <v>96 Liverpool St,Sydney</v>
          </cell>
          <cell r="E648" t="str">
            <v>Sydney</v>
          </cell>
          <cell r="F648" t="str">
            <v>NSW</v>
          </cell>
          <cell r="G648" t="str">
            <v>Consumer</v>
          </cell>
          <cell r="H648" t="str">
            <v>Samantha Chairs</v>
          </cell>
          <cell r="I648" t="str">
            <v>Low</v>
          </cell>
          <cell r="J648" t="str">
            <v>Apex Office Executive Series Stainless Steel Trimmers</v>
          </cell>
          <cell r="K648" t="str">
            <v>Office Supplies</v>
          </cell>
          <cell r="L648" t="str">
            <v>Small Pack</v>
          </cell>
          <cell r="M648" t="str">
            <v>Regular Air</v>
          </cell>
          <cell r="N648">
            <v>42166</v>
          </cell>
          <cell r="O648">
            <v>3.51</v>
          </cell>
          <cell r="P648">
            <v>8.57</v>
          </cell>
          <cell r="Q648">
            <v>22</v>
          </cell>
          <cell r="R648">
            <v>188.54000000000002</v>
          </cell>
          <cell r="S648">
            <v>0.1</v>
          </cell>
          <cell r="T648">
            <v>18.854000000000003</v>
          </cell>
          <cell r="U648">
            <v>188.44000000000003</v>
          </cell>
          <cell r="V648">
            <v>6.14</v>
          </cell>
          <cell r="W648">
            <v>194.58</v>
          </cell>
        </row>
        <row r="649">
          <cell r="A649" t="str">
            <v>5935-1</v>
          </cell>
          <cell r="B649">
            <v>42166</v>
          </cell>
          <cell r="C649" t="str">
            <v>Charles Crestani</v>
          </cell>
          <cell r="D649" t="str">
            <v>Sydney Fish Market, Bank Street, Sydney</v>
          </cell>
          <cell r="E649" t="str">
            <v>Sydney</v>
          </cell>
          <cell r="F649" t="str">
            <v>NSW</v>
          </cell>
          <cell r="G649" t="str">
            <v>Consumer</v>
          </cell>
          <cell r="H649" t="str">
            <v>Phoebe Gour</v>
          </cell>
          <cell r="I649" t="str">
            <v>High</v>
          </cell>
          <cell r="J649" t="str">
            <v>Steady Pocket Accent Highlighters</v>
          </cell>
          <cell r="K649" t="str">
            <v>Office Supplies</v>
          </cell>
          <cell r="L649" t="str">
            <v>Wrap Bag</v>
          </cell>
          <cell r="M649" t="str">
            <v>Express Air</v>
          </cell>
          <cell r="N649">
            <v>42168</v>
          </cell>
          <cell r="O649">
            <v>0.93</v>
          </cell>
          <cell r="P649">
            <v>1.6</v>
          </cell>
          <cell r="Q649">
            <v>24</v>
          </cell>
          <cell r="R649">
            <v>38.400000000000006</v>
          </cell>
          <cell r="S649">
            <v>0.04</v>
          </cell>
          <cell r="T649">
            <v>1.5360000000000003</v>
          </cell>
          <cell r="U649">
            <v>38.360000000000007</v>
          </cell>
          <cell r="V649">
            <v>1.29</v>
          </cell>
          <cell r="W649">
            <v>39.650000000000006</v>
          </cell>
        </row>
        <row r="650">
          <cell r="A650" t="str">
            <v>5937-1</v>
          </cell>
          <cell r="B650">
            <v>42168</v>
          </cell>
          <cell r="C650" t="str">
            <v>Rick Hansen</v>
          </cell>
          <cell r="D650" t="str">
            <v>Macquarie Centre Cnr Herring Road &amp; Waterloo Road,Macquarie Park</v>
          </cell>
          <cell r="E650" t="str">
            <v>Sydney</v>
          </cell>
          <cell r="F650" t="str">
            <v>NSW</v>
          </cell>
          <cell r="G650" t="str">
            <v>Corporate</v>
          </cell>
          <cell r="H650" t="str">
            <v>Nicholas Fernandes</v>
          </cell>
          <cell r="I650" t="str">
            <v>Not Specified</v>
          </cell>
          <cell r="J650" t="str">
            <v>Aluminum Document Frame</v>
          </cell>
          <cell r="K650" t="str">
            <v>Furniture</v>
          </cell>
          <cell r="L650" t="str">
            <v>Small Pack</v>
          </cell>
          <cell r="M650" t="str">
            <v>Regular Air</v>
          </cell>
          <cell r="N650">
            <v>42171</v>
          </cell>
          <cell r="O650">
            <v>5.5</v>
          </cell>
          <cell r="P650">
            <v>12.22</v>
          </cell>
          <cell r="Q650">
            <v>8</v>
          </cell>
          <cell r="R650">
            <v>97.76</v>
          </cell>
          <cell r="S650">
            <v>0.1</v>
          </cell>
          <cell r="T650">
            <v>9.7760000000000016</v>
          </cell>
          <cell r="U650">
            <v>97.660000000000011</v>
          </cell>
          <cell r="V650">
            <v>2.85</v>
          </cell>
          <cell r="W650">
            <v>100.51</v>
          </cell>
        </row>
        <row r="651">
          <cell r="A651" t="str">
            <v>5938-1</v>
          </cell>
          <cell r="B651">
            <v>42169</v>
          </cell>
          <cell r="C651" t="str">
            <v>Annie Cyprus</v>
          </cell>
          <cell r="D651" t="str">
            <v>180 High Street,Windsor</v>
          </cell>
          <cell r="E651" t="str">
            <v>Melbourne</v>
          </cell>
          <cell r="F651" t="str">
            <v>VIC</v>
          </cell>
          <cell r="G651" t="str">
            <v>Home Office</v>
          </cell>
          <cell r="H651" t="str">
            <v>Connor Betts</v>
          </cell>
          <cell r="I651" t="str">
            <v>High</v>
          </cell>
          <cell r="J651" t="str">
            <v>Steady Liquid Accent Tank-Style Highlighters</v>
          </cell>
          <cell r="K651" t="str">
            <v>Office Supplies</v>
          </cell>
          <cell r="L651" t="str">
            <v>Wrap Bag</v>
          </cell>
          <cell r="M651" t="str">
            <v>Regular Air</v>
          </cell>
          <cell r="N651">
            <v>42170</v>
          </cell>
          <cell r="O651">
            <v>1.31</v>
          </cell>
          <cell r="P651">
            <v>2.84</v>
          </cell>
          <cell r="Q651">
            <v>23</v>
          </cell>
          <cell r="R651">
            <v>65.319999999999993</v>
          </cell>
          <cell r="S651">
            <v>0.06</v>
          </cell>
          <cell r="T651">
            <v>3.9191999999999996</v>
          </cell>
          <cell r="U651">
            <v>65.259999999999991</v>
          </cell>
          <cell r="V651">
            <v>0.93</v>
          </cell>
          <cell r="W651">
            <v>66.19</v>
          </cell>
        </row>
        <row r="652">
          <cell r="A652" t="str">
            <v>5939-1</v>
          </cell>
          <cell r="B652">
            <v>42175</v>
          </cell>
          <cell r="C652" t="str">
            <v>Richard Bierner</v>
          </cell>
          <cell r="D652" t="str">
            <v>180 High Street,Windsor</v>
          </cell>
          <cell r="E652" t="str">
            <v>Melbourne</v>
          </cell>
          <cell r="F652" t="str">
            <v>VIC</v>
          </cell>
          <cell r="G652" t="str">
            <v>Small Business</v>
          </cell>
          <cell r="H652" t="str">
            <v>Connor Betts</v>
          </cell>
          <cell r="I652" t="str">
            <v>Not Specified</v>
          </cell>
          <cell r="J652" t="str">
            <v>Alto Parchment Paper, Assorted Colors</v>
          </cell>
          <cell r="K652" t="str">
            <v>Office Supplies</v>
          </cell>
          <cell r="L652" t="str">
            <v>Small Box</v>
          </cell>
          <cell r="M652" t="str">
            <v>Regular Air</v>
          </cell>
          <cell r="N652">
            <v>42177</v>
          </cell>
          <cell r="O652">
            <v>4.59</v>
          </cell>
          <cell r="P652">
            <v>7.28</v>
          </cell>
          <cell r="Q652">
            <v>16</v>
          </cell>
          <cell r="R652">
            <v>116.48</v>
          </cell>
          <cell r="S652">
            <v>7.0000000000000007E-2</v>
          </cell>
          <cell r="T652">
            <v>8.1536000000000008</v>
          </cell>
          <cell r="U652">
            <v>116.41000000000001</v>
          </cell>
          <cell r="V652">
            <v>11.15</v>
          </cell>
          <cell r="W652">
            <v>127.56000000000002</v>
          </cell>
        </row>
        <row r="653">
          <cell r="A653" t="str">
            <v>5941-1</v>
          </cell>
          <cell r="B653">
            <v>42176</v>
          </cell>
          <cell r="C653" t="str">
            <v>Erica Bern</v>
          </cell>
          <cell r="D653" t="str">
            <v>10 O'Connell St,Sydney</v>
          </cell>
          <cell r="E653" t="str">
            <v>Sydney</v>
          </cell>
          <cell r="F653" t="str">
            <v>NSW</v>
          </cell>
          <cell r="G653" t="str">
            <v>Corporate</v>
          </cell>
          <cell r="H653" t="str">
            <v>Aanya Zhang</v>
          </cell>
          <cell r="I653" t="str">
            <v>Medium</v>
          </cell>
          <cell r="J653" t="str">
            <v>Colored Envelopes</v>
          </cell>
          <cell r="K653" t="str">
            <v>Office Supplies</v>
          </cell>
          <cell r="L653" t="str">
            <v>Small Box</v>
          </cell>
          <cell r="M653" t="str">
            <v>Regular Air</v>
          </cell>
          <cell r="N653">
            <v>42178</v>
          </cell>
          <cell r="O653">
            <v>2.25</v>
          </cell>
          <cell r="P653">
            <v>3.69</v>
          </cell>
          <cell r="Q653">
            <v>42</v>
          </cell>
          <cell r="R653">
            <v>154.97999999999999</v>
          </cell>
          <cell r="S653">
            <v>0.06</v>
          </cell>
          <cell r="T653">
            <v>9.2987999999999982</v>
          </cell>
          <cell r="U653">
            <v>154.91999999999999</v>
          </cell>
          <cell r="V653">
            <v>2.5</v>
          </cell>
          <cell r="W653">
            <v>157.41999999999999</v>
          </cell>
        </row>
        <row r="654">
          <cell r="A654" t="str">
            <v>5944-1</v>
          </cell>
          <cell r="B654">
            <v>42180</v>
          </cell>
          <cell r="C654" t="str">
            <v>Beth Paige</v>
          </cell>
          <cell r="D654" t="str">
            <v>73 York St,Sydney</v>
          </cell>
          <cell r="E654" t="str">
            <v>Sydney</v>
          </cell>
          <cell r="F654" t="str">
            <v>NSW</v>
          </cell>
          <cell r="G654" t="str">
            <v>Consumer</v>
          </cell>
          <cell r="H654" t="str">
            <v>Tina Carlton</v>
          </cell>
          <cell r="I654" t="str">
            <v>High</v>
          </cell>
          <cell r="J654" t="str">
            <v>Smiths General Use 3-Ring Binders</v>
          </cell>
          <cell r="K654" t="str">
            <v>Office Supplies</v>
          </cell>
          <cell r="L654" t="str">
            <v>Small Box</v>
          </cell>
          <cell r="M654" t="str">
            <v>Express Air</v>
          </cell>
          <cell r="N654">
            <v>42181</v>
          </cell>
          <cell r="O654">
            <v>1.18</v>
          </cell>
          <cell r="P654">
            <v>1.88</v>
          </cell>
          <cell r="Q654">
            <v>5</v>
          </cell>
          <cell r="R654">
            <v>9.3999999999999986</v>
          </cell>
          <cell r="S654">
            <v>0.08</v>
          </cell>
          <cell r="T654">
            <v>0.75199999999999989</v>
          </cell>
          <cell r="U654">
            <v>9.3199999999999985</v>
          </cell>
          <cell r="V654">
            <v>1.49</v>
          </cell>
          <cell r="W654">
            <v>10.809999999999999</v>
          </cell>
        </row>
        <row r="655">
          <cell r="A655" t="str">
            <v>5947-1</v>
          </cell>
          <cell r="B655">
            <v>42182</v>
          </cell>
          <cell r="C655" t="str">
            <v>Stefania Perrino</v>
          </cell>
          <cell r="D655" t="str">
            <v>180 High Street,Windsor</v>
          </cell>
          <cell r="E655" t="str">
            <v>Melbourne</v>
          </cell>
          <cell r="F655" t="str">
            <v>VIC</v>
          </cell>
          <cell r="G655" t="str">
            <v>Corporate</v>
          </cell>
          <cell r="H655" t="str">
            <v>Connor Betts</v>
          </cell>
          <cell r="I655" t="str">
            <v>Medium</v>
          </cell>
          <cell r="J655" t="str">
            <v>Artisan Hanging File Binders</v>
          </cell>
          <cell r="K655" t="str">
            <v>Office Supplies</v>
          </cell>
          <cell r="L655" t="str">
            <v>Small Box</v>
          </cell>
          <cell r="M655" t="str">
            <v>Regular Air</v>
          </cell>
          <cell r="N655">
            <v>42184</v>
          </cell>
          <cell r="O655">
            <v>3.65</v>
          </cell>
          <cell r="P655">
            <v>5.98</v>
          </cell>
          <cell r="Q655">
            <v>50</v>
          </cell>
          <cell r="R655">
            <v>299</v>
          </cell>
          <cell r="S655">
            <v>0.02</v>
          </cell>
          <cell r="T655">
            <v>5.98</v>
          </cell>
          <cell r="U655">
            <v>298.98</v>
          </cell>
          <cell r="V655">
            <v>1.49</v>
          </cell>
          <cell r="W655">
            <v>300.47000000000003</v>
          </cell>
        </row>
        <row r="656">
          <cell r="A656" t="str">
            <v>5949-1</v>
          </cell>
          <cell r="B656">
            <v>42182</v>
          </cell>
          <cell r="C656" t="str">
            <v>Arianne Irving</v>
          </cell>
          <cell r="D656" t="str">
            <v>8 Rankins Lane ,Melbourne</v>
          </cell>
          <cell r="E656" t="str">
            <v>Melbourne</v>
          </cell>
          <cell r="F656" t="str">
            <v>VIC</v>
          </cell>
          <cell r="G656" t="str">
            <v>Corporate</v>
          </cell>
          <cell r="H656" t="str">
            <v>Connor Betts</v>
          </cell>
          <cell r="I656" t="str">
            <v>High</v>
          </cell>
          <cell r="J656" t="str">
            <v>Pizazz Drawing Pencil Set</v>
          </cell>
          <cell r="K656" t="str">
            <v>Office Supplies</v>
          </cell>
          <cell r="L656" t="str">
            <v>Wrap Bag</v>
          </cell>
          <cell r="M656" t="str">
            <v>Regular Air</v>
          </cell>
          <cell r="N656">
            <v>42182</v>
          </cell>
          <cell r="O656">
            <v>1.53</v>
          </cell>
          <cell r="P656">
            <v>2.78</v>
          </cell>
          <cell r="Q656">
            <v>44</v>
          </cell>
          <cell r="R656">
            <v>122.32</v>
          </cell>
          <cell r="S656">
            <v>7.0000000000000007E-2</v>
          </cell>
          <cell r="T656">
            <v>8.5624000000000002</v>
          </cell>
          <cell r="U656">
            <v>122.25</v>
          </cell>
          <cell r="V656">
            <v>1.34</v>
          </cell>
          <cell r="W656">
            <v>123.59</v>
          </cell>
        </row>
        <row r="657">
          <cell r="A657" t="str">
            <v>5951-1</v>
          </cell>
          <cell r="B657">
            <v>42182</v>
          </cell>
          <cell r="C657" t="str">
            <v>Lauren Leatherbury</v>
          </cell>
          <cell r="D657" t="str">
            <v>Westfield 1 Anderson St,Chatswood</v>
          </cell>
          <cell r="E657" t="str">
            <v>Sydney</v>
          </cell>
          <cell r="F657" t="str">
            <v>NSW</v>
          </cell>
          <cell r="G657" t="str">
            <v>Corporate</v>
          </cell>
          <cell r="H657" t="str">
            <v>Nicholas Fernandes</v>
          </cell>
          <cell r="I657" t="str">
            <v>Not Specified</v>
          </cell>
          <cell r="J657" t="str">
            <v>Self-Adhesive Ring Binder Labels</v>
          </cell>
          <cell r="K657" t="str">
            <v>Office Supplies</v>
          </cell>
          <cell r="L657" t="str">
            <v>Small Box</v>
          </cell>
          <cell r="M657" t="str">
            <v>Regular Air</v>
          </cell>
          <cell r="N657">
            <v>42184</v>
          </cell>
          <cell r="O657">
            <v>2.1800000000000002</v>
          </cell>
          <cell r="P657">
            <v>3.52</v>
          </cell>
          <cell r="Q657">
            <v>1</v>
          </cell>
          <cell r="R657">
            <v>3.52</v>
          </cell>
          <cell r="S657">
            <v>0.04</v>
          </cell>
          <cell r="T657">
            <v>0.14080000000000001</v>
          </cell>
          <cell r="U657">
            <v>3.48</v>
          </cell>
          <cell r="V657">
            <v>6.83</v>
          </cell>
          <cell r="W657">
            <v>10.31</v>
          </cell>
        </row>
        <row r="658">
          <cell r="A658" t="str">
            <v>5952-1</v>
          </cell>
          <cell r="B658">
            <v>42183</v>
          </cell>
          <cell r="C658" t="str">
            <v>Brian Dahlen</v>
          </cell>
          <cell r="D658" t="str">
            <v>1-2/299 Sussex St,Sydney</v>
          </cell>
          <cell r="E658" t="str">
            <v>Sydney</v>
          </cell>
          <cell r="F658" t="str">
            <v>NSW</v>
          </cell>
          <cell r="G658" t="str">
            <v>Small Business</v>
          </cell>
          <cell r="H658" t="str">
            <v>Aanya Zhang</v>
          </cell>
          <cell r="I658" t="str">
            <v>Medium</v>
          </cell>
          <cell r="J658" t="str">
            <v>Artisan Binder Labels</v>
          </cell>
          <cell r="K658" t="str">
            <v>Office Supplies</v>
          </cell>
          <cell r="L658" t="str">
            <v>Small Box</v>
          </cell>
          <cell r="M658" t="str">
            <v>Express Air</v>
          </cell>
          <cell r="N658">
            <v>42185</v>
          </cell>
          <cell r="O658">
            <v>2.4500000000000002</v>
          </cell>
          <cell r="P658">
            <v>3.89</v>
          </cell>
          <cell r="Q658">
            <v>32</v>
          </cell>
          <cell r="R658">
            <v>124.48</v>
          </cell>
          <cell r="S658">
            <v>0.1</v>
          </cell>
          <cell r="T658">
            <v>12.448</v>
          </cell>
          <cell r="U658">
            <v>124.38000000000001</v>
          </cell>
          <cell r="V658">
            <v>7.01</v>
          </cell>
          <cell r="W658">
            <v>131.39000000000001</v>
          </cell>
        </row>
        <row r="659">
          <cell r="A659" t="str">
            <v>5953-1</v>
          </cell>
          <cell r="B659">
            <v>42183</v>
          </cell>
          <cell r="C659" t="str">
            <v>Joseph Airdo</v>
          </cell>
          <cell r="D659" t="str">
            <v>Westfield Sydney,Sydney</v>
          </cell>
          <cell r="E659" t="str">
            <v>Sydney</v>
          </cell>
          <cell r="F659" t="str">
            <v>NSW</v>
          </cell>
          <cell r="G659" t="str">
            <v>Corporate</v>
          </cell>
          <cell r="H659" t="str">
            <v>Natasha Song</v>
          </cell>
          <cell r="I659" t="str">
            <v>Medium</v>
          </cell>
          <cell r="J659" t="str">
            <v>Artisan Durable Binders</v>
          </cell>
          <cell r="K659" t="str">
            <v>Office Supplies</v>
          </cell>
          <cell r="L659" t="str">
            <v>Small Box</v>
          </cell>
          <cell r="M659" t="str">
            <v>Regular Air</v>
          </cell>
          <cell r="N659">
            <v>42185</v>
          </cell>
          <cell r="O659">
            <v>1.84</v>
          </cell>
          <cell r="P659">
            <v>2.88</v>
          </cell>
          <cell r="Q659">
            <v>25</v>
          </cell>
          <cell r="R659">
            <v>72</v>
          </cell>
          <cell r="S659">
            <v>0.04</v>
          </cell>
          <cell r="T659">
            <v>2.88</v>
          </cell>
          <cell r="U659">
            <v>71.959999999999994</v>
          </cell>
          <cell r="V659">
            <v>1.49</v>
          </cell>
          <cell r="W659">
            <v>73.449999999999989</v>
          </cell>
        </row>
        <row r="660">
          <cell r="A660" t="str">
            <v>5955-1</v>
          </cell>
          <cell r="B660">
            <v>42183</v>
          </cell>
          <cell r="C660" t="str">
            <v>Max Engle</v>
          </cell>
          <cell r="D660" t="str">
            <v>501 George St,Sydney</v>
          </cell>
          <cell r="E660" t="str">
            <v>Sydney</v>
          </cell>
          <cell r="F660" t="str">
            <v>NSW</v>
          </cell>
          <cell r="G660" t="str">
            <v>Corporate</v>
          </cell>
          <cell r="H660" t="str">
            <v>Samantha Chairs</v>
          </cell>
          <cell r="I660" t="str">
            <v>Not Specified</v>
          </cell>
          <cell r="J660" t="str">
            <v>TechSavi Internet Navigator Keyboard</v>
          </cell>
          <cell r="K660" t="str">
            <v>Technology</v>
          </cell>
          <cell r="L660" t="str">
            <v>Small Box</v>
          </cell>
          <cell r="M660" t="str">
            <v>Regular Air</v>
          </cell>
          <cell r="N660">
            <v>42184</v>
          </cell>
          <cell r="O660">
            <v>6.51</v>
          </cell>
          <cell r="P660">
            <v>30.98</v>
          </cell>
          <cell r="Q660">
            <v>6</v>
          </cell>
          <cell r="R660">
            <v>185.88</v>
          </cell>
          <cell r="S660">
            <v>0.01</v>
          </cell>
          <cell r="T660">
            <v>1.8588</v>
          </cell>
          <cell r="U660">
            <v>185.87</v>
          </cell>
          <cell r="V660">
            <v>6.5</v>
          </cell>
          <cell r="W660">
            <v>192.37</v>
          </cell>
        </row>
        <row r="661">
          <cell r="A661" t="str">
            <v>5956-1</v>
          </cell>
          <cell r="B661">
            <v>42184</v>
          </cell>
          <cell r="C661" t="str">
            <v>Michelle Huthwaite</v>
          </cell>
          <cell r="D661" t="str">
            <v>155 Oxford Street,Darlinghurst</v>
          </cell>
          <cell r="E661" t="str">
            <v>Sydney</v>
          </cell>
          <cell r="F661" t="str">
            <v>NSW</v>
          </cell>
          <cell r="G661" t="str">
            <v>Home Office</v>
          </cell>
          <cell r="H661" t="str">
            <v>Samantha Chairs</v>
          </cell>
          <cell r="I661" t="str">
            <v>Low</v>
          </cell>
          <cell r="J661" t="str">
            <v>Artisan 474 Labels</v>
          </cell>
          <cell r="K661" t="str">
            <v>Office Supplies</v>
          </cell>
          <cell r="L661" t="str">
            <v>Small Box</v>
          </cell>
          <cell r="M661" t="str">
            <v>Regular Air</v>
          </cell>
          <cell r="N661">
            <v>42188</v>
          </cell>
          <cell r="O661">
            <v>1.84</v>
          </cell>
          <cell r="P661">
            <v>2.88</v>
          </cell>
          <cell r="Q661">
            <v>49</v>
          </cell>
          <cell r="R661">
            <v>141.12</v>
          </cell>
          <cell r="S661">
            <v>0.01</v>
          </cell>
          <cell r="T661">
            <v>1.4112</v>
          </cell>
          <cell r="U661">
            <v>141.11000000000001</v>
          </cell>
          <cell r="V661">
            <v>0.99</v>
          </cell>
          <cell r="W661">
            <v>142.10000000000002</v>
          </cell>
        </row>
        <row r="662">
          <cell r="A662" t="str">
            <v>5958-1</v>
          </cell>
          <cell r="B662">
            <v>42187</v>
          </cell>
          <cell r="C662" t="str">
            <v>Randy Ferguson</v>
          </cell>
          <cell r="D662" t="str">
            <v>438 Victoria Avenue,Chatswood</v>
          </cell>
          <cell r="E662" t="str">
            <v>Sydney</v>
          </cell>
          <cell r="F662" t="str">
            <v>NSW</v>
          </cell>
          <cell r="G662" t="str">
            <v>Home Office</v>
          </cell>
          <cell r="H662" t="str">
            <v>Natasha Song</v>
          </cell>
          <cell r="I662" t="str">
            <v>Low</v>
          </cell>
          <cell r="J662" t="str">
            <v>Aluminum Document Frame</v>
          </cell>
          <cell r="K662" t="str">
            <v>Furniture</v>
          </cell>
          <cell r="L662" t="str">
            <v>Small Pack</v>
          </cell>
          <cell r="M662" t="str">
            <v>Regular Air</v>
          </cell>
          <cell r="N662">
            <v>42194</v>
          </cell>
          <cell r="O662">
            <v>5.5</v>
          </cell>
          <cell r="P662">
            <v>12.22</v>
          </cell>
          <cell r="Q662">
            <v>46</v>
          </cell>
          <cell r="R662">
            <v>562.12</v>
          </cell>
          <cell r="S662">
            <v>0.03</v>
          </cell>
          <cell r="T662">
            <v>16.863599999999998</v>
          </cell>
          <cell r="U662">
            <v>562.09</v>
          </cell>
          <cell r="V662">
            <v>2.85</v>
          </cell>
          <cell r="W662">
            <v>564.94000000000005</v>
          </cell>
        </row>
        <row r="663">
          <cell r="A663" t="str">
            <v>5960-1</v>
          </cell>
          <cell r="B663">
            <v>42187</v>
          </cell>
          <cell r="C663" t="str">
            <v>Karen Ferguson</v>
          </cell>
          <cell r="D663" t="str">
            <v>1-2/299 Sussex St,Sydney</v>
          </cell>
          <cell r="E663" t="str">
            <v>Sydney</v>
          </cell>
          <cell r="F663" t="str">
            <v>NSW</v>
          </cell>
          <cell r="G663" t="str">
            <v>Home Office</v>
          </cell>
          <cell r="H663" t="str">
            <v>Aanya Zhang</v>
          </cell>
          <cell r="I663" t="str">
            <v>Critical</v>
          </cell>
          <cell r="J663" t="str">
            <v>PastelOcean Color Pencil Set</v>
          </cell>
          <cell r="K663" t="str">
            <v>Office Supplies</v>
          </cell>
          <cell r="L663" t="str">
            <v>Wrap Bag</v>
          </cell>
          <cell r="M663" t="str">
            <v>Regular Air</v>
          </cell>
          <cell r="N663">
            <v>42189</v>
          </cell>
          <cell r="O663">
            <v>11.11</v>
          </cell>
          <cell r="P663">
            <v>19.84</v>
          </cell>
          <cell r="Q663">
            <v>1</v>
          </cell>
          <cell r="R663">
            <v>19.84</v>
          </cell>
          <cell r="S663">
            <v>0.05</v>
          </cell>
          <cell r="T663">
            <v>0.99199999999999999</v>
          </cell>
          <cell r="U663">
            <v>19.79</v>
          </cell>
          <cell r="V663">
            <v>4.0999999999999996</v>
          </cell>
          <cell r="W663">
            <v>23.89</v>
          </cell>
        </row>
        <row r="664">
          <cell r="A664" t="str">
            <v>5962-1</v>
          </cell>
          <cell r="B664">
            <v>42189</v>
          </cell>
          <cell r="C664" t="str">
            <v>Ralph Kennedy</v>
          </cell>
          <cell r="D664" t="str">
            <v>53-55 Liverpool Street,Sydney</v>
          </cell>
          <cell r="E664" t="str">
            <v>Sydney</v>
          </cell>
          <cell r="F664" t="str">
            <v>NSW</v>
          </cell>
          <cell r="G664" t="str">
            <v>Corporate</v>
          </cell>
          <cell r="H664" t="str">
            <v>Tina Carlton</v>
          </cell>
          <cell r="I664" t="str">
            <v>Not Specified</v>
          </cell>
          <cell r="J664" t="str">
            <v>3Max Polarizing Light Filter Sleeves</v>
          </cell>
          <cell r="K664" t="str">
            <v>Furniture</v>
          </cell>
          <cell r="L664" t="str">
            <v>Small Pack</v>
          </cell>
          <cell r="M664" t="str">
            <v>Regular Air</v>
          </cell>
          <cell r="N664">
            <v>42189</v>
          </cell>
          <cell r="O664">
            <v>11.38</v>
          </cell>
          <cell r="P664">
            <v>18.649999999999999</v>
          </cell>
          <cell r="Q664">
            <v>44</v>
          </cell>
          <cell r="R664">
            <v>820.59999999999991</v>
          </cell>
          <cell r="S664">
            <v>0.03</v>
          </cell>
          <cell r="T664">
            <v>24.617999999999995</v>
          </cell>
          <cell r="U664">
            <v>820.56999999999994</v>
          </cell>
          <cell r="V664">
            <v>3.77</v>
          </cell>
          <cell r="W664">
            <v>824.33999999999992</v>
          </cell>
        </row>
        <row r="665">
          <cell r="A665" t="str">
            <v>5964-1</v>
          </cell>
          <cell r="B665">
            <v>42189</v>
          </cell>
          <cell r="C665" t="str">
            <v>Patrick Ryan</v>
          </cell>
          <cell r="D665" t="str">
            <v>Cnr Williams Road &amp; Lechlade Ave,South Yarra</v>
          </cell>
          <cell r="E665" t="str">
            <v>Melbourne</v>
          </cell>
          <cell r="F665" t="str">
            <v>VIC</v>
          </cell>
          <cell r="G665" t="str">
            <v>Corporate</v>
          </cell>
          <cell r="H665" t="str">
            <v>Yvette Biti</v>
          </cell>
          <cell r="I665" t="str">
            <v>High</v>
          </cell>
          <cell r="J665" t="str">
            <v>Artisan Non-Stick Binders</v>
          </cell>
          <cell r="K665" t="str">
            <v>Office Supplies</v>
          </cell>
          <cell r="L665" t="str">
            <v>Small Box</v>
          </cell>
          <cell r="M665" t="str">
            <v>Regular Air</v>
          </cell>
          <cell r="N665">
            <v>42190</v>
          </cell>
          <cell r="O665">
            <v>2.74</v>
          </cell>
          <cell r="P665">
            <v>4.49</v>
          </cell>
          <cell r="Q665">
            <v>15</v>
          </cell>
          <cell r="R665">
            <v>67.350000000000009</v>
          </cell>
          <cell r="S665">
            <v>0.05</v>
          </cell>
          <cell r="T665">
            <v>3.3675000000000006</v>
          </cell>
          <cell r="U665">
            <v>67.300000000000011</v>
          </cell>
          <cell r="V665">
            <v>1.49</v>
          </cell>
          <cell r="W665">
            <v>68.790000000000006</v>
          </cell>
        </row>
        <row r="666">
          <cell r="A666" t="str">
            <v>5965-1</v>
          </cell>
          <cell r="B666">
            <v>42190</v>
          </cell>
          <cell r="C666" t="str">
            <v>Larry Tron</v>
          </cell>
          <cell r="D666" t="str">
            <v>4A Lyons St,Strathfield</v>
          </cell>
          <cell r="E666" t="str">
            <v>Sydney</v>
          </cell>
          <cell r="F666" t="str">
            <v>NSW</v>
          </cell>
          <cell r="G666" t="str">
            <v>Home Office</v>
          </cell>
          <cell r="H666" t="str">
            <v>Tina Carlton</v>
          </cell>
          <cell r="I666" t="str">
            <v>Critical</v>
          </cell>
          <cell r="J666" t="str">
            <v>1726 Digital Answering Machine</v>
          </cell>
          <cell r="K666" t="str">
            <v>Technology</v>
          </cell>
          <cell r="L666" t="str">
            <v>Medium Box</v>
          </cell>
          <cell r="M666" t="str">
            <v>Regular Air</v>
          </cell>
          <cell r="N666">
            <v>42192</v>
          </cell>
          <cell r="O666">
            <v>8.82</v>
          </cell>
          <cell r="P666">
            <v>20.99</v>
          </cell>
          <cell r="Q666">
            <v>49</v>
          </cell>
          <cell r="R666">
            <v>1028.51</v>
          </cell>
          <cell r="S666">
            <v>0.06</v>
          </cell>
          <cell r="T666">
            <v>61.710599999999999</v>
          </cell>
          <cell r="U666">
            <v>1028.45</v>
          </cell>
          <cell r="V666">
            <v>4.8099999999999996</v>
          </cell>
          <cell r="W666">
            <v>1033.26</v>
          </cell>
        </row>
        <row r="667">
          <cell r="A667" t="str">
            <v>5967-1</v>
          </cell>
          <cell r="B667">
            <v>42194</v>
          </cell>
          <cell r="C667" t="str">
            <v>Keith Dawkins</v>
          </cell>
          <cell r="D667" t="str">
            <v>402 Argyle St,Moss Vale</v>
          </cell>
          <cell r="E667" t="str">
            <v>Sydney</v>
          </cell>
          <cell r="F667" t="str">
            <v>NSW</v>
          </cell>
          <cell r="G667" t="str">
            <v>Home Office</v>
          </cell>
          <cell r="H667" t="str">
            <v>Natasha Song</v>
          </cell>
          <cell r="I667" t="str">
            <v>Not Specified</v>
          </cell>
          <cell r="J667" t="str">
            <v>3Max Polarizing Task Lamp with Clamp Arm, Light Gray</v>
          </cell>
          <cell r="K667" t="str">
            <v>Furniture</v>
          </cell>
          <cell r="L667" t="str">
            <v>Large Box</v>
          </cell>
          <cell r="M667" t="str">
            <v>Regular Air</v>
          </cell>
          <cell r="N667">
            <v>42195</v>
          </cell>
          <cell r="O667">
            <v>56.16</v>
          </cell>
          <cell r="P667">
            <v>136.97999999999999</v>
          </cell>
          <cell r="Q667">
            <v>7</v>
          </cell>
          <cell r="R667">
            <v>958.8599999999999</v>
          </cell>
          <cell r="S667">
            <v>0.02</v>
          </cell>
          <cell r="T667">
            <v>19.177199999999999</v>
          </cell>
          <cell r="U667">
            <v>958.83999999999992</v>
          </cell>
          <cell r="V667">
            <v>24.49</v>
          </cell>
          <cell r="W667">
            <v>983.32999999999993</v>
          </cell>
        </row>
        <row r="668">
          <cell r="A668" t="str">
            <v>5968-1</v>
          </cell>
          <cell r="B668">
            <v>42196</v>
          </cell>
          <cell r="C668" t="str">
            <v>Matthew Grinstein</v>
          </cell>
          <cell r="D668" t="str">
            <v>105 Pitt St,Sydney</v>
          </cell>
          <cell r="E668" t="str">
            <v>Sydney</v>
          </cell>
          <cell r="F668" t="str">
            <v>NSW</v>
          </cell>
          <cell r="G668" t="str">
            <v>Small Business</v>
          </cell>
          <cell r="H668" t="str">
            <v>Charlie Bui</v>
          </cell>
          <cell r="I668" t="str">
            <v>Medium</v>
          </cell>
          <cell r="J668" t="str">
            <v>Smiths Pushpins</v>
          </cell>
          <cell r="K668" t="str">
            <v>Office Supplies</v>
          </cell>
          <cell r="L668" t="str">
            <v>Wrap Bag</v>
          </cell>
          <cell r="M668" t="str">
            <v>Regular Air</v>
          </cell>
          <cell r="N668">
            <v>42198</v>
          </cell>
          <cell r="O668">
            <v>0.94</v>
          </cell>
          <cell r="P668">
            <v>1.88</v>
          </cell>
          <cell r="Q668">
            <v>22</v>
          </cell>
          <cell r="R668">
            <v>41.36</v>
          </cell>
          <cell r="S668">
            <v>7.0000000000000007E-2</v>
          </cell>
          <cell r="T668">
            <v>2.8952000000000004</v>
          </cell>
          <cell r="U668">
            <v>41.29</v>
          </cell>
          <cell r="V668">
            <v>0.79</v>
          </cell>
          <cell r="W668">
            <v>42.08</v>
          </cell>
        </row>
        <row r="669">
          <cell r="A669" t="str">
            <v>5969-1</v>
          </cell>
          <cell r="B669">
            <v>42197</v>
          </cell>
          <cell r="C669" t="str">
            <v>Bryan Spruell</v>
          </cell>
          <cell r="D669" t="str">
            <v>1 John Street,Waterloo</v>
          </cell>
          <cell r="E669" t="str">
            <v>Sydney</v>
          </cell>
          <cell r="F669" t="str">
            <v>NSW</v>
          </cell>
          <cell r="G669" t="str">
            <v>Home Office</v>
          </cell>
          <cell r="H669" t="str">
            <v>Charlie Bui</v>
          </cell>
          <cell r="I669" t="str">
            <v>Low</v>
          </cell>
          <cell r="J669" t="str">
            <v>Brown Kraft Recycled Envelopes</v>
          </cell>
          <cell r="K669" t="str">
            <v>Office Supplies</v>
          </cell>
          <cell r="L669" t="str">
            <v>Small Box</v>
          </cell>
          <cell r="M669" t="str">
            <v>Regular Air</v>
          </cell>
          <cell r="N669">
            <v>42199</v>
          </cell>
          <cell r="O669">
            <v>11.04</v>
          </cell>
          <cell r="P669">
            <v>16.98</v>
          </cell>
          <cell r="Q669">
            <v>1</v>
          </cell>
          <cell r="R669">
            <v>16.98</v>
          </cell>
          <cell r="S669">
            <v>0.03</v>
          </cell>
          <cell r="T669">
            <v>0.50939999999999996</v>
          </cell>
          <cell r="U669">
            <v>16.95</v>
          </cell>
          <cell r="V669">
            <v>12.39</v>
          </cell>
          <cell r="W669">
            <v>29.34</v>
          </cell>
        </row>
        <row r="670">
          <cell r="A670" t="str">
            <v>5971-1</v>
          </cell>
          <cell r="B670">
            <v>42199</v>
          </cell>
          <cell r="C670" t="str">
            <v>Raymond Fair</v>
          </cell>
          <cell r="D670" t="str">
            <v>188 Pitt Street,Sydney</v>
          </cell>
          <cell r="E670" t="str">
            <v>Sydney</v>
          </cell>
          <cell r="F670" t="str">
            <v>NSW</v>
          </cell>
          <cell r="G670" t="str">
            <v>Small Business</v>
          </cell>
          <cell r="H670" t="str">
            <v>Tina Carlton</v>
          </cell>
          <cell r="I670" t="str">
            <v>Low</v>
          </cell>
          <cell r="J670" t="str">
            <v>Wirebound Message Book, 4 per Page</v>
          </cell>
          <cell r="K670" t="str">
            <v>Office Supplies</v>
          </cell>
          <cell r="L670" t="str">
            <v>Wrap Bag</v>
          </cell>
          <cell r="M670" t="str">
            <v>Express Air</v>
          </cell>
          <cell r="N670">
            <v>42204</v>
          </cell>
          <cell r="O670">
            <v>3.48</v>
          </cell>
          <cell r="P670">
            <v>5.43</v>
          </cell>
          <cell r="Q670">
            <v>48</v>
          </cell>
          <cell r="R670">
            <v>260.64</v>
          </cell>
          <cell r="S670">
            <v>0.05</v>
          </cell>
          <cell r="T670">
            <v>13.032</v>
          </cell>
          <cell r="U670">
            <v>260.58999999999997</v>
          </cell>
          <cell r="V670">
            <v>0.95</v>
          </cell>
          <cell r="W670">
            <v>261.53999999999996</v>
          </cell>
        </row>
        <row r="671">
          <cell r="A671" t="str">
            <v>5973-1</v>
          </cell>
          <cell r="B671">
            <v>42200</v>
          </cell>
          <cell r="C671" t="str">
            <v>Barry Gonzalez</v>
          </cell>
          <cell r="D671" t="str">
            <v>797 Botany Rd,Rosebery</v>
          </cell>
          <cell r="E671" t="str">
            <v>Sydney</v>
          </cell>
          <cell r="F671" t="str">
            <v>NSW</v>
          </cell>
          <cell r="G671" t="str">
            <v>Consumer</v>
          </cell>
          <cell r="H671" t="str">
            <v>Phoebe Gour</v>
          </cell>
          <cell r="I671" t="str">
            <v>Low</v>
          </cell>
          <cell r="J671" t="str">
            <v>Lumi Crayons</v>
          </cell>
          <cell r="K671" t="str">
            <v>Office Supplies</v>
          </cell>
          <cell r="L671" t="str">
            <v>Wrap Bag</v>
          </cell>
          <cell r="M671" t="str">
            <v>Regular Air</v>
          </cell>
          <cell r="N671">
            <v>42204</v>
          </cell>
          <cell r="O671">
            <v>5.22</v>
          </cell>
          <cell r="P671">
            <v>9.85</v>
          </cell>
          <cell r="Q671">
            <v>21</v>
          </cell>
          <cell r="R671">
            <v>206.85</v>
          </cell>
          <cell r="S671">
            <v>0.1</v>
          </cell>
          <cell r="T671">
            <v>20.685000000000002</v>
          </cell>
          <cell r="U671">
            <v>206.75</v>
          </cell>
          <cell r="V671">
            <v>4.82</v>
          </cell>
          <cell r="W671">
            <v>211.57</v>
          </cell>
        </row>
        <row r="672">
          <cell r="A672" t="str">
            <v>5974-1</v>
          </cell>
          <cell r="B672">
            <v>42201</v>
          </cell>
          <cell r="C672" t="str">
            <v>Mike Kennedy</v>
          </cell>
          <cell r="D672" t="str">
            <v>99 Lygon Street,East Brunswick</v>
          </cell>
          <cell r="E672" t="str">
            <v>Melbourne</v>
          </cell>
          <cell r="F672" t="str">
            <v>VIC</v>
          </cell>
          <cell r="G672" t="str">
            <v>Corporate</v>
          </cell>
          <cell r="H672" t="str">
            <v>Connor Betts</v>
          </cell>
          <cell r="I672" t="str">
            <v>Low</v>
          </cell>
          <cell r="J672" t="str">
            <v>Colored Push Pins</v>
          </cell>
          <cell r="K672" t="str">
            <v>Office Supplies</v>
          </cell>
          <cell r="L672" t="str">
            <v>Wrap Bag</v>
          </cell>
          <cell r="M672" t="str">
            <v>Regular Air</v>
          </cell>
          <cell r="N672">
            <v>42205</v>
          </cell>
          <cell r="O672">
            <v>0.92</v>
          </cell>
          <cell r="P672">
            <v>1.81</v>
          </cell>
          <cell r="Q672">
            <v>48</v>
          </cell>
          <cell r="R672">
            <v>86.88</v>
          </cell>
          <cell r="S672">
            <v>0.02</v>
          </cell>
          <cell r="T672">
            <v>1.7376</v>
          </cell>
          <cell r="U672">
            <v>86.86</v>
          </cell>
          <cell r="V672">
            <v>1.56</v>
          </cell>
          <cell r="W672">
            <v>88.42</v>
          </cell>
        </row>
        <row r="673">
          <cell r="A673" t="str">
            <v>5976-1</v>
          </cell>
          <cell r="B673">
            <v>42202</v>
          </cell>
          <cell r="C673" t="str">
            <v>Barry Blumstein</v>
          </cell>
          <cell r="D673" t="str">
            <v>6 Mary St,Newtown</v>
          </cell>
          <cell r="E673" t="str">
            <v>Sydney</v>
          </cell>
          <cell r="F673" t="str">
            <v>NSW</v>
          </cell>
          <cell r="G673" t="str">
            <v>Small Business</v>
          </cell>
          <cell r="H673" t="str">
            <v>Samantha Chairs</v>
          </cell>
          <cell r="I673" t="str">
            <v>High</v>
          </cell>
          <cell r="J673" t="str">
            <v>Message Book, One Form per Page</v>
          </cell>
          <cell r="K673" t="str">
            <v>Office Supplies</v>
          </cell>
          <cell r="L673" t="str">
            <v>Wrap Bag</v>
          </cell>
          <cell r="M673" t="str">
            <v>Regular Air</v>
          </cell>
          <cell r="N673">
            <v>42202</v>
          </cell>
          <cell r="O673">
            <v>2.41</v>
          </cell>
          <cell r="P673">
            <v>3.71</v>
          </cell>
          <cell r="Q673">
            <v>13</v>
          </cell>
          <cell r="R673">
            <v>48.23</v>
          </cell>
          <cell r="S673">
            <v>0.06</v>
          </cell>
          <cell r="T673">
            <v>2.8937999999999997</v>
          </cell>
          <cell r="U673">
            <v>48.169999999999995</v>
          </cell>
          <cell r="V673">
            <v>1.93</v>
          </cell>
          <cell r="W673">
            <v>50.099999999999994</v>
          </cell>
        </row>
        <row r="674">
          <cell r="A674" t="str">
            <v>5977-1</v>
          </cell>
          <cell r="B674">
            <v>42203</v>
          </cell>
          <cell r="C674" t="str">
            <v>Cynthia Delaney</v>
          </cell>
          <cell r="D674" t="str">
            <v>1/160 Anzac Parade,Kensington</v>
          </cell>
          <cell r="E674" t="str">
            <v>Sydney</v>
          </cell>
          <cell r="F674" t="str">
            <v>NSW</v>
          </cell>
          <cell r="G674" t="str">
            <v>Corporate</v>
          </cell>
          <cell r="H674" t="str">
            <v>Natasha Song</v>
          </cell>
          <cell r="I674" t="str">
            <v>High</v>
          </cell>
          <cell r="J674" t="str">
            <v>Apex Preferred Stainless Steel Scissors</v>
          </cell>
          <cell r="K674" t="str">
            <v>Office Supplies</v>
          </cell>
          <cell r="L674" t="str">
            <v>Small Pack</v>
          </cell>
          <cell r="M674" t="str">
            <v>Regular Air</v>
          </cell>
          <cell r="N674">
            <v>42205</v>
          </cell>
          <cell r="O674">
            <v>2.5</v>
          </cell>
          <cell r="P674">
            <v>5.68</v>
          </cell>
          <cell r="Q674">
            <v>21</v>
          </cell>
          <cell r="R674">
            <v>119.28</v>
          </cell>
          <cell r="S674">
            <v>7.0000000000000007E-2</v>
          </cell>
          <cell r="T674">
            <v>8.3496000000000006</v>
          </cell>
          <cell r="U674">
            <v>119.21000000000001</v>
          </cell>
          <cell r="V674">
            <v>3.6</v>
          </cell>
          <cell r="W674">
            <v>122.81</v>
          </cell>
        </row>
        <row r="675">
          <cell r="A675" t="str">
            <v>5978-1</v>
          </cell>
          <cell r="B675">
            <v>42203</v>
          </cell>
          <cell r="C675" t="str">
            <v>Susan Vittorini</v>
          </cell>
          <cell r="D675" t="str">
            <v>3 Carrington Road ,Box Hill</v>
          </cell>
          <cell r="E675" t="str">
            <v>Melbourne</v>
          </cell>
          <cell r="F675" t="str">
            <v>VIC</v>
          </cell>
          <cell r="G675" t="str">
            <v>Corporate</v>
          </cell>
          <cell r="H675" t="str">
            <v>Yvette Biti</v>
          </cell>
          <cell r="I675" t="str">
            <v>High</v>
          </cell>
          <cell r="J675" t="str">
            <v>Artisan Poly Binder Pockets</v>
          </cell>
          <cell r="K675" t="str">
            <v>Office Supplies</v>
          </cell>
          <cell r="L675" t="str">
            <v>Small Box</v>
          </cell>
          <cell r="M675" t="str">
            <v>Regular Air</v>
          </cell>
          <cell r="N675">
            <v>42205</v>
          </cell>
          <cell r="O675">
            <v>2.2599999999999998</v>
          </cell>
          <cell r="P675">
            <v>3.58</v>
          </cell>
          <cell r="Q675">
            <v>43</v>
          </cell>
          <cell r="R675">
            <v>153.94</v>
          </cell>
          <cell r="S675">
            <v>0.08</v>
          </cell>
          <cell r="T675">
            <v>12.315200000000001</v>
          </cell>
          <cell r="U675">
            <v>153.85999999999999</v>
          </cell>
          <cell r="V675">
            <v>5.47</v>
          </cell>
          <cell r="W675">
            <v>159.32999999999998</v>
          </cell>
        </row>
        <row r="676">
          <cell r="A676" t="str">
            <v>5980-1</v>
          </cell>
          <cell r="B676">
            <v>42204</v>
          </cell>
          <cell r="C676" t="str">
            <v>Laura Armstrong</v>
          </cell>
          <cell r="D676" t="str">
            <v>240-242 Johnston Street,Fitzroy</v>
          </cell>
          <cell r="E676" t="str">
            <v>Melbourne</v>
          </cell>
          <cell r="F676" t="str">
            <v>VIC</v>
          </cell>
          <cell r="G676" t="str">
            <v>Small Business</v>
          </cell>
          <cell r="H676" t="str">
            <v>Connor Betts</v>
          </cell>
          <cell r="I676" t="str">
            <v>Medium</v>
          </cell>
          <cell r="J676" t="str">
            <v>Binder Posts</v>
          </cell>
          <cell r="K676" t="str">
            <v>Office Supplies</v>
          </cell>
          <cell r="L676" t="str">
            <v>Small Box</v>
          </cell>
          <cell r="M676" t="str">
            <v>Regular Air</v>
          </cell>
          <cell r="N676">
            <v>42205</v>
          </cell>
          <cell r="O676">
            <v>3.5</v>
          </cell>
          <cell r="P676">
            <v>5.74</v>
          </cell>
          <cell r="Q676">
            <v>41</v>
          </cell>
          <cell r="R676">
            <v>235.34</v>
          </cell>
          <cell r="S676">
            <v>0.08</v>
          </cell>
          <cell r="T676">
            <v>18.827200000000001</v>
          </cell>
          <cell r="U676">
            <v>235.26</v>
          </cell>
          <cell r="V676">
            <v>5.01</v>
          </cell>
          <cell r="W676">
            <v>240.26999999999998</v>
          </cell>
        </row>
        <row r="677">
          <cell r="A677" t="str">
            <v>5982-1</v>
          </cell>
          <cell r="B677">
            <v>42205</v>
          </cell>
          <cell r="C677" t="str">
            <v>Neil French</v>
          </cell>
          <cell r="D677" t="str">
            <v>523 King St,Newtown</v>
          </cell>
          <cell r="E677" t="str">
            <v>Sydney</v>
          </cell>
          <cell r="F677" t="str">
            <v>NSW</v>
          </cell>
          <cell r="G677" t="str">
            <v>Consumer</v>
          </cell>
          <cell r="H677" t="str">
            <v>Aanya Zhang</v>
          </cell>
          <cell r="I677" t="str">
            <v>Critical</v>
          </cell>
          <cell r="J677" t="str">
            <v>Apex Forged Steel Scissors with Black Enamel Handles</v>
          </cell>
          <cell r="K677" t="str">
            <v>Office Supplies</v>
          </cell>
          <cell r="L677" t="str">
            <v>Small Pack</v>
          </cell>
          <cell r="M677" t="str">
            <v>Regular Air</v>
          </cell>
          <cell r="N677">
            <v>42208</v>
          </cell>
          <cell r="O677">
            <v>4.0999999999999996</v>
          </cell>
          <cell r="P677">
            <v>9.31</v>
          </cell>
          <cell r="Q677">
            <v>26</v>
          </cell>
          <cell r="R677">
            <v>242.06</v>
          </cell>
          <cell r="S677">
            <v>0.06</v>
          </cell>
          <cell r="T677">
            <v>14.5236</v>
          </cell>
          <cell r="U677">
            <v>242</v>
          </cell>
          <cell r="V677">
            <v>3.98</v>
          </cell>
          <cell r="W677">
            <v>245.98</v>
          </cell>
        </row>
        <row r="678">
          <cell r="A678" t="str">
            <v>5983-1</v>
          </cell>
          <cell r="B678">
            <v>42208</v>
          </cell>
          <cell r="C678" t="str">
            <v>Magdelene Morse</v>
          </cell>
          <cell r="D678" t="str">
            <v>53 Riley Street,Woolloomooloo</v>
          </cell>
          <cell r="E678" t="str">
            <v>Sydney</v>
          </cell>
          <cell r="F678" t="str">
            <v>NSW</v>
          </cell>
          <cell r="G678" t="str">
            <v>Home Office</v>
          </cell>
          <cell r="H678" t="str">
            <v>Tina Carlton</v>
          </cell>
          <cell r="I678" t="str">
            <v>Low</v>
          </cell>
          <cell r="J678" t="str">
            <v>Adesso Programmable 142-Key Keyboard</v>
          </cell>
          <cell r="K678" t="str">
            <v>Technology</v>
          </cell>
          <cell r="L678" t="str">
            <v>Small Box</v>
          </cell>
          <cell r="M678" t="str">
            <v>Regular Air</v>
          </cell>
          <cell r="N678">
            <v>42215</v>
          </cell>
          <cell r="O678">
            <v>32.020000000000003</v>
          </cell>
          <cell r="P678">
            <v>152.47999999999999</v>
          </cell>
          <cell r="Q678">
            <v>14</v>
          </cell>
          <cell r="R678">
            <v>2134.7199999999998</v>
          </cell>
          <cell r="S678">
            <v>0.03</v>
          </cell>
          <cell r="T678">
            <v>64.041599999999988</v>
          </cell>
          <cell r="U678">
            <v>2134.6899999999996</v>
          </cell>
          <cell r="V678">
            <v>4</v>
          </cell>
          <cell r="W678">
            <v>2138.6899999999996</v>
          </cell>
        </row>
        <row r="679">
          <cell r="A679" t="str">
            <v>5984-1</v>
          </cell>
          <cell r="B679">
            <v>42208</v>
          </cell>
          <cell r="C679" t="str">
            <v>Frank Atkinson</v>
          </cell>
          <cell r="D679" t="str">
            <v>188 Pitt Street,Sydney</v>
          </cell>
          <cell r="E679" t="str">
            <v>Sydney</v>
          </cell>
          <cell r="F679" t="str">
            <v>NSW</v>
          </cell>
          <cell r="G679" t="str">
            <v>Corporate</v>
          </cell>
          <cell r="H679" t="str">
            <v>Tina Carlton</v>
          </cell>
          <cell r="I679" t="str">
            <v>Not Specified</v>
          </cell>
          <cell r="J679" t="str">
            <v>Alto Memo Cubes</v>
          </cell>
          <cell r="K679" t="str">
            <v>Office Supplies</v>
          </cell>
          <cell r="L679" t="str">
            <v>Wrap Bag</v>
          </cell>
          <cell r="M679" t="str">
            <v>Express Air</v>
          </cell>
          <cell r="N679">
            <v>42209</v>
          </cell>
          <cell r="O679">
            <v>3.32</v>
          </cell>
          <cell r="P679">
            <v>5.18</v>
          </cell>
          <cell r="Q679">
            <v>1</v>
          </cell>
          <cell r="R679">
            <v>5.18</v>
          </cell>
          <cell r="S679">
            <v>0</v>
          </cell>
          <cell r="T679">
            <v>0</v>
          </cell>
          <cell r="U679">
            <v>5.18</v>
          </cell>
          <cell r="V679">
            <v>2.04</v>
          </cell>
          <cell r="W679">
            <v>7.22</v>
          </cell>
        </row>
        <row r="680">
          <cell r="A680" t="str">
            <v>5985-1</v>
          </cell>
          <cell r="B680">
            <v>42208</v>
          </cell>
          <cell r="C680" t="str">
            <v>Scott Cohen</v>
          </cell>
          <cell r="D680" t="str">
            <v>240-242 Johnston Street,Fitzroy</v>
          </cell>
          <cell r="E680" t="str">
            <v>Melbourne</v>
          </cell>
          <cell r="F680" t="str">
            <v>VIC</v>
          </cell>
          <cell r="G680" t="str">
            <v>Consumer</v>
          </cell>
          <cell r="H680" t="str">
            <v>Connor Betts</v>
          </cell>
          <cell r="I680" t="str">
            <v>Critical</v>
          </cell>
          <cell r="J680" t="str">
            <v>Smiths General Use 3-Ring Binders</v>
          </cell>
          <cell r="K680" t="str">
            <v>Office Supplies</v>
          </cell>
          <cell r="L680" t="str">
            <v>Small Box</v>
          </cell>
          <cell r="M680" t="str">
            <v>Regular Air</v>
          </cell>
          <cell r="N680">
            <v>42209</v>
          </cell>
          <cell r="O680">
            <v>1.18</v>
          </cell>
          <cell r="P680">
            <v>1.88</v>
          </cell>
          <cell r="Q680">
            <v>8</v>
          </cell>
          <cell r="R680">
            <v>15.04</v>
          </cell>
          <cell r="S680">
            <v>0.05</v>
          </cell>
          <cell r="T680">
            <v>0.752</v>
          </cell>
          <cell r="U680">
            <v>14.989999999999998</v>
          </cell>
          <cell r="V680">
            <v>1.49</v>
          </cell>
          <cell r="W680">
            <v>16.479999999999997</v>
          </cell>
        </row>
        <row r="681">
          <cell r="A681" t="str">
            <v>5987-1</v>
          </cell>
          <cell r="B681">
            <v>42209</v>
          </cell>
          <cell r="C681" t="str">
            <v>Christopher Conant</v>
          </cell>
          <cell r="D681" t="str">
            <v>120 Hardware St,Melbourne</v>
          </cell>
          <cell r="E681" t="str">
            <v>Melbourne</v>
          </cell>
          <cell r="F681" t="str">
            <v>VIC</v>
          </cell>
          <cell r="G681" t="str">
            <v>Home Office</v>
          </cell>
          <cell r="H681" t="str">
            <v>Connor Betts</v>
          </cell>
          <cell r="I681" t="str">
            <v>High</v>
          </cell>
          <cell r="J681" t="str">
            <v>Artisan Reinforcements for Hole-Punch Pages</v>
          </cell>
          <cell r="K681" t="str">
            <v>Office Supplies</v>
          </cell>
          <cell r="L681" t="str">
            <v>Small Box</v>
          </cell>
          <cell r="M681" t="str">
            <v>Regular Air</v>
          </cell>
          <cell r="N681">
            <v>42211</v>
          </cell>
          <cell r="O681">
            <v>1.19</v>
          </cell>
          <cell r="P681">
            <v>1.98</v>
          </cell>
          <cell r="Q681">
            <v>21</v>
          </cell>
          <cell r="R681">
            <v>41.58</v>
          </cell>
          <cell r="S681">
            <v>0.01</v>
          </cell>
          <cell r="T681">
            <v>0.4158</v>
          </cell>
          <cell r="U681">
            <v>41.57</v>
          </cell>
          <cell r="V681">
            <v>4.7699999999999996</v>
          </cell>
          <cell r="W681">
            <v>46.34</v>
          </cell>
        </row>
        <row r="682">
          <cell r="A682" t="str">
            <v>5988-1</v>
          </cell>
          <cell r="B682">
            <v>42209</v>
          </cell>
          <cell r="C682" t="str">
            <v>Fred Chung</v>
          </cell>
          <cell r="D682" t="str">
            <v>81 MacLeay St,Potts Point</v>
          </cell>
          <cell r="E682" t="str">
            <v>Sydney</v>
          </cell>
          <cell r="F682" t="str">
            <v>NSW</v>
          </cell>
          <cell r="G682" t="str">
            <v>Corporate</v>
          </cell>
          <cell r="H682" t="str">
            <v>Samantha Chairs</v>
          </cell>
          <cell r="I682" t="str">
            <v>High</v>
          </cell>
          <cell r="J682" t="str">
            <v>Pizazz Colored Pencils</v>
          </cell>
          <cell r="K682" t="str">
            <v>Office Supplies</v>
          </cell>
          <cell r="L682" t="str">
            <v>Wrap Bag</v>
          </cell>
          <cell r="M682" t="str">
            <v>Regular Air</v>
          </cell>
          <cell r="N682">
            <v>42211</v>
          </cell>
          <cell r="O682">
            <v>1.76</v>
          </cell>
          <cell r="P682">
            <v>2.94</v>
          </cell>
          <cell r="Q682">
            <v>35</v>
          </cell>
          <cell r="R682">
            <v>102.89999999999999</v>
          </cell>
          <cell r="S682">
            <v>0.09</v>
          </cell>
          <cell r="T682">
            <v>9.2609999999999992</v>
          </cell>
          <cell r="U682">
            <v>102.80999999999999</v>
          </cell>
          <cell r="V682">
            <v>0.81</v>
          </cell>
          <cell r="W682">
            <v>103.61999999999999</v>
          </cell>
        </row>
        <row r="683">
          <cell r="A683" t="str">
            <v>5993-1</v>
          </cell>
          <cell r="B683">
            <v>42210</v>
          </cell>
          <cell r="C683" t="str">
            <v>Greg Tran</v>
          </cell>
          <cell r="D683" t="str">
            <v>Crown Complex,Southbank</v>
          </cell>
          <cell r="E683" t="str">
            <v>Melbourne</v>
          </cell>
          <cell r="F683" t="str">
            <v>VIC</v>
          </cell>
          <cell r="G683" t="str">
            <v>Home Office</v>
          </cell>
          <cell r="H683" t="str">
            <v>Yvette Biti</v>
          </cell>
          <cell r="I683" t="str">
            <v>Critical</v>
          </cell>
          <cell r="J683" t="str">
            <v>Self-Adhesive Removable Labels</v>
          </cell>
          <cell r="K683" t="str">
            <v>Office Supplies</v>
          </cell>
          <cell r="L683" t="str">
            <v>Small Box</v>
          </cell>
          <cell r="M683" t="str">
            <v>Regular Air</v>
          </cell>
          <cell r="N683">
            <v>42213</v>
          </cell>
          <cell r="O683">
            <v>1.98</v>
          </cell>
          <cell r="P683">
            <v>3.15</v>
          </cell>
          <cell r="Q683">
            <v>17</v>
          </cell>
          <cell r="R683">
            <v>53.55</v>
          </cell>
          <cell r="S683">
            <v>0.05</v>
          </cell>
          <cell r="T683">
            <v>2.6775000000000002</v>
          </cell>
          <cell r="U683">
            <v>53.5</v>
          </cell>
          <cell r="V683">
            <v>0.49</v>
          </cell>
          <cell r="W683">
            <v>53.99</v>
          </cell>
        </row>
        <row r="684">
          <cell r="A684" t="str">
            <v>5994-1</v>
          </cell>
          <cell r="B684">
            <v>42211</v>
          </cell>
          <cell r="C684" t="str">
            <v>Jack OBriant</v>
          </cell>
          <cell r="D684" t="str">
            <v>85-113 Dunning Ave,Rosebery</v>
          </cell>
          <cell r="E684" t="str">
            <v>Sydney</v>
          </cell>
          <cell r="F684" t="str">
            <v>NSW</v>
          </cell>
          <cell r="G684" t="str">
            <v>Consumer</v>
          </cell>
          <cell r="H684" t="str">
            <v>Mihael Khan</v>
          </cell>
          <cell r="I684" t="str">
            <v>Medium</v>
          </cell>
          <cell r="J684" t="str">
            <v>Alto Parchment Paper, Assorted Colors</v>
          </cell>
          <cell r="K684" t="str">
            <v>Office Supplies</v>
          </cell>
          <cell r="L684" t="str">
            <v>Small Box</v>
          </cell>
          <cell r="M684" t="str">
            <v>Express Air</v>
          </cell>
          <cell r="N684">
            <v>42212</v>
          </cell>
          <cell r="O684">
            <v>4.59</v>
          </cell>
          <cell r="P684">
            <v>7.28</v>
          </cell>
          <cell r="Q684">
            <v>20</v>
          </cell>
          <cell r="R684">
            <v>145.6</v>
          </cell>
          <cell r="S684">
            <v>0.1</v>
          </cell>
          <cell r="T684">
            <v>14.56</v>
          </cell>
          <cell r="U684">
            <v>145.5</v>
          </cell>
          <cell r="V684">
            <v>11.15</v>
          </cell>
          <cell r="W684">
            <v>156.65</v>
          </cell>
        </row>
        <row r="685">
          <cell r="A685" t="str">
            <v>5996-1</v>
          </cell>
          <cell r="B685">
            <v>42211</v>
          </cell>
          <cell r="C685" t="str">
            <v>Carl Jackson</v>
          </cell>
          <cell r="D685" t="str">
            <v>6 Mary St,Newtown</v>
          </cell>
          <cell r="E685" t="str">
            <v>Sydney</v>
          </cell>
          <cell r="F685" t="str">
            <v>NSW</v>
          </cell>
          <cell r="G685" t="str">
            <v>Corporate</v>
          </cell>
          <cell r="H685" t="str">
            <v>Samantha Chairs</v>
          </cell>
          <cell r="I685" t="str">
            <v>High</v>
          </cell>
          <cell r="J685" t="str">
            <v>Angle-D Binders with Locking Rings, Label Holders</v>
          </cell>
          <cell r="K685" t="str">
            <v>Office Supplies</v>
          </cell>
          <cell r="L685" t="str">
            <v>Small Box</v>
          </cell>
          <cell r="M685" t="str">
            <v>Regular Air</v>
          </cell>
          <cell r="N685">
            <v>42211</v>
          </cell>
          <cell r="O685">
            <v>4.53</v>
          </cell>
          <cell r="P685">
            <v>7.3</v>
          </cell>
          <cell r="Q685">
            <v>12</v>
          </cell>
          <cell r="R685">
            <v>87.6</v>
          </cell>
          <cell r="S685">
            <v>0.03</v>
          </cell>
          <cell r="T685">
            <v>2.6279999999999997</v>
          </cell>
          <cell r="U685">
            <v>87.57</v>
          </cell>
          <cell r="V685">
            <v>7.72</v>
          </cell>
          <cell r="W685">
            <v>95.289999999999992</v>
          </cell>
        </row>
        <row r="686">
          <cell r="A686" t="str">
            <v>6000-1</v>
          </cell>
          <cell r="B686">
            <v>42214</v>
          </cell>
          <cell r="C686" t="str">
            <v>Jack Lebron</v>
          </cell>
          <cell r="D686" t="str">
            <v>180 High Street,Windsor</v>
          </cell>
          <cell r="E686" t="str">
            <v>Melbourne</v>
          </cell>
          <cell r="F686" t="str">
            <v>VIC</v>
          </cell>
          <cell r="G686" t="str">
            <v>Corporate</v>
          </cell>
          <cell r="H686" t="str">
            <v>Connor Betts</v>
          </cell>
          <cell r="I686" t="str">
            <v>High</v>
          </cell>
          <cell r="J686" t="str">
            <v>Pizazz Drawing Pencil Set</v>
          </cell>
          <cell r="K686" t="str">
            <v>Office Supplies</v>
          </cell>
          <cell r="L686" t="str">
            <v>Wrap Bag</v>
          </cell>
          <cell r="M686" t="str">
            <v>Regular Air</v>
          </cell>
          <cell r="N686">
            <v>42216</v>
          </cell>
          <cell r="O686">
            <v>1.53</v>
          </cell>
          <cell r="P686">
            <v>2.78</v>
          </cell>
          <cell r="Q686">
            <v>38</v>
          </cell>
          <cell r="R686">
            <v>105.63999999999999</v>
          </cell>
          <cell r="S686">
            <v>0.1</v>
          </cell>
          <cell r="T686">
            <v>10.564</v>
          </cell>
          <cell r="U686">
            <v>105.53999999999999</v>
          </cell>
          <cell r="V686">
            <v>1.34</v>
          </cell>
          <cell r="W686">
            <v>106.88</v>
          </cell>
        </row>
        <row r="687">
          <cell r="A687" t="str">
            <v>6001-1</v>
          </cell>
          <cell r="B687">
            <v>42214</v>
          </cell>
          <cell r="C687" t="str">
            <v>Toby Grace</v>
          </cell>
          <cell r="D687" t="str">
            <v>324A King St,Newtown</v>
          </cell>
          <cell r="E687" t="str">
            <v>Sydney</v>
          </cell>
          <cell r="F687" t="str">
            <v>NSW</v>
          </cell>
          <cell r="G687" t="str">
            <v>Home Office</v>
          </cell>
          <cell r="H687" t="str">
            <v>Mihael Khan</v>
          </cell>
          <cell r="I687" t="str">
            <v>Not Specified</v>
          </cell>
          <cell r="J687" t="str">
            <v>TypeRight Side-Opening Peel &amp; Seel Expanding Envelopes</v>
          </cell>
          <cell r="K687" t="str">
            <v>Office Supplies</v>
          </cell>
          <cell r="L687" t="str">
            <v>Small Box</v>
          </cell>
          <cell r="M687" t="str">
            <v>Regular Air</v>
          </cell>
          <cell r="N687">
            <v>42215</v>
          </cell>
          <cell r="O687">
            <v>54.29</v>
          </cell>
          <cell r="P687">
            <v>90.48</v>
          </cell>
          <cell r="Q687">
            <v>15</v>
          </cell>
          <cell r="R687">
            <v>1357.2</v>
          </cell>
          <cell r="S687">
            <v>0.01</v>
          </cell>
          <cell r="T687">
            <v>13.572000000000001</v>
          </cell>
          <cell r="U687">
            <v>1357.19</v>
          </cell>
          <cell r="V687">
            <v>19.989999999999998</v>
          </cell>
          <cell r="W687">
            <v>1377.18</v>
          </cell>
        </row>
        <row r="688">
          <cell r="A688" t="str">
            <v>6002-1</v>
          </cell>
          <cell r="B688">
            <v>42215</v>
          </cell>
          <cell r="C688" t="str">
            <v>Lycoris Saunders</v>
          </cell>
          <cell r="D688" t="str">
            <v>501 George St,Sydney</v>
          </cell>
          <cell r="E688" t="str">
            <v>Sydney</v>
          </cell>
          <cell r="F688" t="str">
            <v>NSW</v>
          </cell>
          <cell r="G688" t="str">
            <v>Home Office</v>
          </cell>
          <cell r="H688" t="str">
            <v>Samantha Chairs</v>
          </cell>
          <cell r="I688" t="str">
            <v>High</v>
          </cell>
          <cell r="J688" t="str">
            <v>Artisan 487 Labels</v>
          </cell>
          <cell r="K688" t="str">
            <v>Office Supplies</v>
          </cell>
          <cell r="L688" t="str">
            <v>Small Box</v>
          </cell>
          <cell r="M688" t="str">
            <v>Express Air</v>
          </cell>
          <cell r="N688">
            <v>42216</v>
          </cell>
          <cell r="O688">
            <v>2.29</v>
          </cell>
          <cell r="P688">
            <v>3.69</v>
          </cell>
          <cell r="Q688">
            <v>48</v>
          </cell>
          <cell r="R688">
            <v>177.12</v>
          </cell>
          <cell r="S688">
            <v>0.1</v>
          </cell>
          <cell r="T688">
            <v>17.712</v>
          </cell>
          <cell r="U688">
            <v>177.02</v>
          </cell>
          <cell r="V688">
            <v>0.5</v>
          </cell>
          <cell r="W688">
            <v>177.52</v>
          </cell>
        </row>
        <row r="689">
          <cell r="A689" t="str">
            <v>6003-1</v>
          </cell>
          <cell r="B689">
            <v>42215</v>
          </cell>
          <cell r="C689" t="str">
            <v>Julie Prescott</v>
          </cell>
          <cell r="D689" t="str">
            <v>438 Victoria Avenue,Chatswood</v>
          </cell>
          <cell r="E689" t="str">
            <v>Sydney</v>
          </cell>
          <cell r="F689" t="str">
            <v>NSW</v>
          </cell>
          <cell r="G689" t="str">
            <v>Home Office</v>
          </cell>
          <cell r="H689" t="str">
            <v>Natasha Song</v>
          </cell>
          <cell r="I689" t="str">
            <v>Medium</v>
          </cell>
          <cell r="J689" t="str">
            <v>TechSavi Cordless Access Keyboard</v>
          </cell>
          <cell r="K689" t="str">
            <v>Technology</v>
          </cell>
          <cell r="L689" t="str">
            <v>Small Box</v>
          </cell>
          <cell r="M689" t="str">
            <v>Express Air</v>
          </cell>
          <cell r="N689">
            <v>42216</v>
          </cell>
          <cell r="O689">
            <v>14.7</v>
          </cell>
          <cell r="P689">
            <v>29.99</v>
          </cell>
          <cell r="Q689">
            <v>27</v>
          </cell>
          <cell r="R689">
            <v>809.7299999999999</v>
          </cell>
          <cell r="S689">
            <v>0.05</v>
          </cell>
          <cell r="T689">
            <v>40.486499999999999</v>
          </cell>
          <cell r="U689">
            <v>809.68</v>
          </cell>
          <cell r="V689">
            <v>5.5</v>
          </cell>
          <cell r="W689">
            <v>815.18</v>
          </cell>
        </row>
        <row r="690">
          <cell r="A690" t="str">
            <v>6005-1</v>
          </cell>
          <cell r="B690">
            <v>42217</v>
          </cell>
          <cell r="C690" t="str">
            <v>Karl Brown</v>
          </cell>
          <cell r="D690" t="str">
            <v>470 Anzac Parade,Kingsford</v>
          </cell>
          <cell r="E690" t="str">
            <v>Sydney</v>
          </cell>
          <cell r="F690" t="str">
            <v>NSW</v>
          </cell>
          <cell r="G690" t="str">
            <v>Home Office</v>
          </cell>
          <cell r="H690" t="str">
            <v>Tina Carlton</v>
          </cell>
          <cell r="I690" t="str">
            <v>Critical</v>
          </cell>
          <cell r="J690" t="str">
            <v>TechSavi Cordless Navigator Duo</v>
          </cell>
          <cell r="K690" t="str">
            <v>Technology</v>
          </cell>
          <cell r="L690" t="str">
            <v>Small Box</v>
          </cell>
          <cell r="M690" t="str">
            <v>Regular Air</v>
          </cell>
          <cell r="N690">
            <v>42219</v>
          </cell>
          <cell r="O690">
            <v>42.11</v>
          </cell>
          <cell r="P690">
            <v>80.98</v>
          </cell>
          <cell r="Q690">
            <v>22</v>
          </cell>
          <cell r="R690">
            <v>1781.5600000000002</v>
          </cell>
          <cell r="S690">
            <v>0.1</v>
          </cell>
          <cell r="T690">
            <v>178.15600000000003</v>
          </cell>
          <cell r="U690">
            <v>1781.4600000000003</v>
          </cell>
          <cell r="V690">
            <v>7.18</v>
          </cell>
          <cell r="W690">
            <v>1788.6400000000003</v>
          </cell>
        </row>
        <row r="691">
          <cell r="A691" t="str">
            <v>6006-1</v>
          </cell>
          <cell r="B691">
            <v>42218</v>
          </cell>
          <cell r="C691" t="str">
            <v>Nora Pelletier</v>
          </cell>
          <cell r="D691" t="str">
            <v>5/250 Old Northern Road,Castle Hill</v>
          </cell>
          <cell r="E691" t="str">
            <v>Sydney</v>
          </cell>
          <cell r="F691" t="str">
            <v>NSW</v>
          </cell>
          <cell r="G691" t="str">
            <v>Home Office</v>
          </cell>
          <cell r="H691" t="str">
            <v>Nicholas Fernandes</v>
          </cell>
          <cell r="I691" t="str">
            <v>Not Specified</v>
          </cell>
          <cell r="J691" t="str">
            <v>Cando PC940 Copier</v>
          </cell>
          <cell r="K691" t="str">
            <v>Technology</v>
          </cell>
          <cell r="L691" t="str">
            <v>Large Box</v>
          </cell>
          <cell r="M691" t="str">
            <v>Regular Air</v>
          </cell>
          <cell r="N691">
            <v>42220</v>
          </cell>
          <cell r="O691">
            <v>216</v>
          </cell>
          <cell r="P691">
            <v>449.99</v>
          </cell>
          <cell r="Q691">
            <v>29</v>
          </cell>
          <cell r="R691">
            <v>13049.710000000001</v>
          </cell>
          <cell r="S691">
            <v>0</v>
          </cell>
          <cell r="T691">
            <v>0</v>
          </cell>
          <cell r="U691">
            <v>13049.710000000001</v>
          </cell>
          <cell r="V691">
            <v>24.49</v>
          </cell>
          <cell r="W691">
            <v>13074.2</v>
          </cell>
        </row>
        <row r="692">
          <cell r="A692" t="str">
            <v>6007-1</v>
          </cell>
          <cell r="B692">
            <v>42218</v>
          </cell>
          <cell r="C692" t="str">
            <v>Tracy Collins</v>
          </cell>
          <cell r="D692" t="str">
            <v>Crown Complex,Southbank</v>
          </cell>
          <cell r="E692" t="str">
            <v>Melbourne</v>
          </cell>
          <cell r="F692" t="str">
            <v>VIC</v>
          </cell>
          <cell r="G692" t="str">
            <v>Consumer</v>
          </cell>
          <cell r="H692" t="str">
            <v>Connor Betts</v>
          </cell>
          <cell r="I692" t="str">
            <v>Not Specified</v>
          </cell>
          <cell r="J692" t="str">
            <v>Xit Blank Computer Paper</v>
          </cell>
          <cell r="K692" t="str">
            <v>Office Supplies</v>
          </cell>
          <cell r="L692" t="str">
            <v>Small Box</v>
          </cell>
          <cell r="M692" t="str">
            <v>Regular Air</v>
          </cell>
          <cell r="N692">
            <v>42220</v>
          </cell>
          <cell r="O692">
            <v>12.39</v>
          </cell>
          <cell r="P692">
            <v>19.98</v>
          </cell>
          <cell r="Q692">
            <v>44</v>
          </cell>
          <cell r="R692">
            <v>879.12</v>
          </cell>
          <cell r="S692">
            <v>7.0000000000000007E-2</v>
          </cell>
          <cell r="T692">
            <v>61.538400000000003</v>
          </cell>
          <cell r="U692">
            <v>879.05</v>
          </cell>
          <cell r="V692">
            <v>5.77</v>
          </cell>
          <cell r="W692">
            <v>884.81999999999994</v>
          </cell>
        </row>
        <row r="693">
          <cell r="A693" t="str">
            <v>6009-1</v>
          </cell>
          <cell r="B693">
            <v>42219</v>
          </cell>
          <cell r="C693" t="str">
            <v>Dave Hallsten</v>
          </cell>
          <cell r="D693" t="str">
            <v>1 John St,Waterloo</v>
          </cell>
          <cell r="E693" t="str">
            <v>Sydney</v>
          </cell>
          <cell r="F693" t="str">
            <v>NSW</v>
          </cell>
          <cell r="G693" t="str">
            <v>Corporate</v>
          </cell>
          <cell r="H693" t="str">
            <v>Charlie Bui</v>
          </cell>
          <cell r="I693" t="str">
            <v>Low</v>
          </cell>
          <cell r="J693" t="str">
            <v>Economy Binders</v>
          </cell>
          <cell r="K693" t="str">
            <v>Office Supplies</v>
          </cell>
          <cell r="L693" t="str">
            <v>Small Box</v>
          </cell>
          <cell r="M693" t="str">
            <v>Regular Air</v>
          </cell>
          <cell r="N693">
            <v>42224</v>
          </cell>
          <cell r="O693">
            <v>1.33</v>
          </cell>
          <cell r="P693">
            <v>2.08</v>
          </cell>
          <cell r="Q693">
            <v>20</v>
          </cell>
          <cell r="R693">
            <v>41.6</v>
          </cell>
          <cell r="S693">
            <v>0.1</v>
          </cell>
          <cell r="T693">
            <v>4.16</v>
          </cell>
          <cell r="U693">
            <v>41.5</v>
          </cell>
          <cell r="V693">
            <v>1.49</v>
          </cell>
          <cell r="W693">
            <v>42.99</v>
          </cell>
        </row>
        <row r="694">
          <cell r="A694" t="str">
            <v>6011-1</v>
          </cell>
          <cell r="B694">
            <v>42223</v>
          </cell>
          <cell r="C694" t="str">
            <v>Astrea Jones</v>
          </cell>
          <cell r="D694" t="str">
            <v>485 Crown St,Surry Hills</v>
          </cell>
          <cell r="E694" t="str">
            <v>Sydney</v>
          </cell>
          <cell r="F694" t="str">
            <v>NSW</v>
          </cell>
          <cell r="G694" t="str">
            <v>Corporate</v>
          </cell>
          <cell r="H694" t="str">
            <v>Leighton Forrest</v>
          </cell>
          <cell r="I694" t="str">
            <v>Critical</v>
          </cell>
          <cell r="J694" t="str">
            <v>Unpadded Memo Slips</v>
          </cell>
          <cell r="K694" t="str">
            <v>Office Supplies</v>
          </cell>
          <cell r="L694" t="str">
            <v>Wrap Bag</v>
          </cell>
          <cell r="M694" t="str">
            <v>Regular Air</v>
          </cell>
          <cell r="N694">
            <v>42224</v>
          </cell>
          <cell r="O694">
            <v>2.59</v>
          </cell>
          <cell r="P694">
            <v>3.98</v>
          </cell>
          <cell r="Q694">
            <v>16</v>
          </cell>
          <cell r="R694">
            <v>63.68</v>
          </cell>
          <cell r="S694">
            <v>0.09</v>
          </cell>
          <cell r="T694">
            <v>5.7311999999999994</v>
          </cell>
          <cell r="U694">
            <v>63.589999999999996</v>
          </cell>
          <cell r="V694">
            <v>2.97</v>
          </cell>
          <cell r="W694">
            <v>66.56</v>
          </cell>
        </row>
        <row r="695">
          <cell r="A695" t="str">
            <v>6012-1</v>
          </cell>
          <cell r="B695">
            <v>42224</v>
          </cell>
          <cell r="C695" t="str">
            <v>Tanja Norvell</v>
          </cell>
          <cell r="D695" t="str">
            <v>541 Church St,Richmond</v>
          </cell>
          <cell r="E695" t="str">
            <v>Melbourne</v>
          </cell>
          <cell r="F695" t="str">
            <v>VIC</v>
          </cell>
          <cell r="G695" t="str">
            <v>Corporate</v>
          </cell>
          <cell r="H695" t="str">
            <v>Yvette Biti</v>
          </cell>
          <cell r="I695" t="str">
            <v>High</v>
          </cell>
          <cell r="J695" t="str">
            <v>Artisan Printable Repositionable Plastic Tabs</v>
          </cell>
          <cell r="K695" t="str">
            <v>Office Supplies</v>
          </cell>
          <cell r="L695" t="str">
            <v>Small Box</v>
          </cell>
          <cell r="M695" t="str">
            <v>Express Air</v>
          </cell>
          <cell r="N695">
            <v>42225</v>
          </cell>
          <cell r="O695">
            <v>5.33</v>
          </cell>
          <cell r="P695">
            <v>8.6</v>
          </cell>
          <cell r="Q695">
            <v>15</v>
          </cell>
          <cell r="R695">
            <v>129</v>
          </cell>
          <cell r="S695">
            <v>0.04</v>
          </cell>
          <cell r="T695">
            <v>5.16</v>
          </cell>
          <cell r="U695">
            <v>128.96</v>
          </cell>
          <cell r="V695">
            <v>6.19</v>
          </cell>
          <cell r="W695">
            <v>135.15</v>
          </cell>
        </row>
        <row r="696">
          <cell r="A696" t="str">
            <v>6017-1</v>
          </cell>
          <cell r="B696">
            <v>42227</v>
          </cell>
          <cell r="C696" t="str">
            <v>Raymond Book</v>
          </cell>
          <cell r="D696" t="str">
            <v>Shop 1, 186-190 Church Street,Parramatta;46a Macleay Street,Potts Point</v>
          </cell>
          <cell r="E696" t="str">
            <v>Sydney</v>
          </cell>
          <cell r="F696" t="str">
            <v>NSW</v>
          </cell>
          <cell r="G696" t="str">
            <v>Consumer</v>
          </cell>
          <cell r="H696" t="str">
            <v>Mihael Khan</v>
          </cell>
          <cell r="I696" t="str">
            <v>High</v>
          </cell>
          <cell r="J696" t="str">
            <v>HFX LaserJet 3310 Copier</v>
          </cell>
          <cell r="K696" t="str">
            <v>Technology</v>
          </cell>
          <cell r="L696" t="str">
            <v>Large Box</v>
          </cell>
          <cell r="M696" t="str">
            <v>Regular Air</v>
          </cell>
          <cell r="N696">
            <v>42228</v>
          </cell>
          <cell r="O696">
            <v>377.99</v>
          </cell>
          <cell r="P696">
            <v>599.99</v>
          </cell>
          <cell r="Q696">
            <v>46</v>
          </cell>
          <cell r="R696">
            <v>27599.54</v>
          </cell>
          <cell r="S696">
            <v>7.0000000000000007E-2</v>
          </cell>
          <cell r="T696">
            <v>1931.9678000000004</v>
          </cell>
          <cell r="U696">
            <v>27599.47</v>
          </cell>
          <cell r="V696">
            <v>24.49</v>
          </cell>
          <cell r="W696">
            <v>27623.960000000003</v>
          </cell>
        </row>
        <row r="697">
          <cell r="A697" t="str">
            <v>6019-1</v>
          </cell>
          <cell r="B697">
            <v>42227</v>
          </cell>
          <cell r="C697" t="str">
            <v>Christine Sundaresam</v>
          </cell>
          <cell r="D697" t="str">
            <v>7 Khartoum Rd,Macquarie Park</v>
          </cell>
          <cell r="E697" t="str">
            <v>Sydney</v>
          </cell>
          <cell r="F697" t="str">
            <v>NSW</v>
          </cell>
          <cell r="G697" t="str">
            <v>Small Business</v>
          </cell>
          <cell r="H697" t="str">
            <v>Preston Senome</v>
          </cell>
          <cell r="I697" t="str">
            <v>High</v>
          </cell>
          <cell r="J697" t="str">
            <v>Pizazz Colored Pencils</v>
          </cell>
          <cell r="K697" t="str">
            <v>Office Supplies</v>
          </cell>
          <cell r="L697" t="str">
            <v>Wrap Bag</v>
          </cell>
          <cell r="M697" t="str">
            <v>Regular Air</v>
          </cell>
          <cell r="N697">
            <v>42230</v>
          </cell>
          <cell r="O697">
            <v>1.76</v>
          </cell>
          <cell r="P697">
            <v>2.94</v>
          </cell>
          <cell r="Q697">
            <v>39</v>
          </cell>
          <cell r="R697">
            <v>114.66</v>
          </cell>
          <cell r="S697">
            <v>0.04</v>
          </cell>
          <cell r="T697">
            <v>4.5864000000000003</v>
          </cell>
          <cell r="U697">
            <v>114.61999999999999</v>
          </cell>
          <cell r="V697">
            <v>0.81</v>
          </cell>
          <cell r="W697">
            <v>115.42999999999999</v>
          </cell>
        </row>
        <row r="698">
          <cell r="A698" t="str">
            <v>6021-1</v>
          </cell>
          <cell r="B698">
            <v>42227</v>
          </cell>
          <cell r="C698" t="str">
            <v>Steve Carroll</v>
          </cell>
          <cell r="D698" t="str">
            <v>Macquarie Centre Cnr Herring Road &amp; Waterloo Road,Macquarie Park</v>
          </cell>
          <cell r="E698" t="str">
            <v>Sydney</v>
          </cell>
          <cell r="F698" t="str">
            <v>NSW</v>
          </cell>
          <cell r="G698" t="str">
            <v>Consumer</v>
          </cell>
          <cell r="H698" t="str">
            <v>Nicholas Fernandes</v>
          </cell>
          <cell r="I698" t="str">
            <v>High</v>
          </cell>
          <cell r="J698" t="str">
            <v>TechSavi Access Keyboard</v>
          </cell>
          <cell r="K698" t="str">
            <v>Technology</v>
          </cell>
          <cell r="L698" t="str">
            <v>Small Box</v>
          </cell>
          <cell r="M698" t="str">
            <v>Express Air</v>
          </cell>
          <cell r="N698">
            <v>42228</v>
          </cell>
          <cell r="O698">
            <v>10.07</v>
          </cell>
          <cell r="P698">
            <v>15.98</v>
          </cell>
          <cell r="Q698">
            <v>7</v>
          </cell>
          <cell r="R698">
            <v>111.86</v>
          </cell>
          <cell r="S698">
            <v>0.04</v>
          </cell>
          <cell r="T698">
            <v>4.4744000000000002</v>
          </cell>
          <cell r="U698">
            <v>111.82</v>
          </cell>
          <cell r="V698">
            <v>4</v>
          </cell>
          <cell r="W698">
            <v>115.82</v>
          </cell>
        </row>
        <row r="699">
          <cell r="A699" t="str">
            <v>6023-1</v>
          </cell>
          <cell r="B699">
            <v>42228</v>
          </cell>
          <cell r="C699" t="str">
            <v>Grant Carroll</v>
          </cell>
          <cell r="D699" t="str">
            <v>10 O'Connell St,Sydney</v>
          </cell>
          <cell r="E699" t="str">
            <v>Sydney</v>
          </cell>
          <cell r="F699" t="str">
            <v>NSW</v>
          </cell>
          <cell r="G699" t="str">
            <v>Corporate</v>
          </cell>
          <cell r="H699" t="str">
            <v>Aanya Zhang</v>
          </cell>
          <cell r="I699" t="str">
            <v>Not Specified</v>
          </cell>
          <cell r="J699" t="str">
            <v>TechSavi Internet Navigator Keyboard</v>
          </cell>
          <cell r="K699" t="str">
            <v>Technology</v>
          </cell>
          <cell r="L699" t="str">
            <v>Small Box</v>
          </cell>
          <cell r="M699" t="str">
            <v>Regular Air</v>
          </cell>
          <cell r="N699">
            <v>42231</v>
          </cell>
          <cell r="O699">
            <v>6.51</v>
          </cell>
          <cell r="P699">
            <v>30.98</v>
          </cell>
          <cell r="Q699">
            <v>8</v>
          </cell>
          <cell r="R699">
            <v>247.84</v>
          </cell>
          <cell r="S699">
            <v>0.06</v>
          </cell>
          <cell r="T699">
            <v>14.8704</v>
          </cell>
          <cell r="U699">
            <v>247.78</v>
          </cell>
          <cell r="V699">
            <v>6.5</v>
          </cell>
          <cell r="W699">
            <v>254.28</v>
          </cell>
        </row>
        <row r="700">
          <cell r="A700" t="str">
            <v>6025-1</v>
          </cell>
          <cell r="B700">
            <v>42230</v>
          </cell>
          <cell r="C700" t="str">
            <v>Nona Balk</v>
          </cell>
          <cell r="D700" t="str">
            <v>120 Hardware St,Melbourne</v>
          </cell>
          <cell r="E700" t="str">
            <v>Melbourne</v>
          </cell>
          <cell r="F700" t="str">
            <v>VIC</v>
          </cell>
          <cell r="G700" t="str">
            <v>Corporate</v>
          </cell>
          <cell r="H700" t="str">
            <v>Connor Betts</v>
          </cell>
          <cell r="I700" t="str">
            <v>Medium</v>
          </cell>
          <cell r="J700" t="str">
            <v>Steady Major Accent Highlighters</v>
          </cell>
          <cell r="K700" t="str">
            <v>Office Supplies</v>
          </cell>
          <cell r="L700" t="str">
            <v>Wrap Bag</v>
          </cell>
          <cell r="M700" t="str">
            <v>Regular Air</v>
          </cell>
          <cell r="N700">
            <v>42232</v>
          </cell>
          <cell r="O700">
            <v>3.75</v>
          </cell>
          <cell r="P700">
            <v>7.08</v>
          </cell>
          <cell r="Q700">
            <v>48</v>
          </cell>
          <cell r="R700">
            <v>339.84000000000003</v>
          </cell>
          <cell r="S700">
            <v>0.03</v>
          </cell>
          <cell r="T700">
            <v>10.1952</v>
          </cell>
          <cell r="U700">
            <v>339.81000000000006</v>
          </cell>
          <cell r="V700">
            <v>2.35</v>
          </cell>
          <cell r="W700">
            <v>342.16000000000008</v>
          </cell>
        </row>
        <row r="701">
          <cell r="A701" t="str">
            <v>6027-1</v>
          </cell>
          <cell r="B701">
            <v>42231</v>
          </cell>
          <cell r="C701" t="str">
            <v>Jim Kriz</v>
          </cell>
          <cell r="D701" t="str">
            <v>85-113 Dunning Ave,Roseberry</v>
          </cell>
          <cell r="E701" t="str">
            <v>Sydney</v>
          </cell>
          <cell r="F701" t="str">
            <v>NSW</v>
          </cell>
          <cell r="G701" t="str">
            <v>Consumer</v>
          </cell>
          <cell r="H701" t="str">
            <v>Mihael Khan</v>
          </cell>
          <cell r="I701" t="str">
            <v>High</v>
          </cell>
          <cell r="J701" t="str">
            <v>Binder Posts</v>
          </cell>
          <cell r="K701" t="str">
            <v>Office Supplies</v>
          </cell>
          <cell r="L701" t="str">
            <v>Small Box</v>
          </cell>
          <cell r="M701" t="str">
            <v>Express Air</v>
          </cell>
          <cell r="N701">
            <v>42233</v>
          </cell>
          <cell r="O701">
            <v>3.5</v>
          </cell>
          <cell r="P701">
            <v>5.74</v>
          </cell>
          <cell r="Q701">
            <v>32</v>
          </cell>
          <cell r="R701">
            <v>183.68</v>
          </cell>
          <cell r="S701">
            <v>0.08</v>
          </cell>
          <cell r="T701">
            <v>14.694400000000002</v>
          </cell>
          <cell r="U701">
            <v>183.6</v>
          </cell>
          <cell r="V701">
            <v>5.01</v>
          </cell>
          <cell r="W701">
            <v>188.60999999999999</v>
          </cell>
        </row>
        <row r="702">
          <cell r="A702" t="str">
            <v>6029-1</v>
          </cell>
          <cell r="B702">
            <v>42237</v>
          </cell>
          <cell r="C702" t="str">
            <v>Nora Pelletier</v>
          </cell>
          <cell r="D702" t="str">
            <v>5/250 Old Northern Road,Castle Hill</v>
          </cell>
          <cell r="E702" t="str">
            <v>Sydney</v>
          </cell>
          <cell r="F702" t="str">
            <v>NSW</v>
          </cell>
          <cell r="G702" t="str">
            <v>Home Office</v>
          </cell>
          <cell r="H702" t="str">
            <v>Nicholas Fernandes</v>
          </cell>
          <cell r="I702" t="str">
            <v>Not Specified</v>
          </cell>
          <cell r="J702" t="str">
            <v>Self-Adhesive Ring Binder Labels</v>
          </cell>
          <cell r="K702" t="str">
            <v>Office Supplies</v>
          </cell>
          <cell r="L702" t="str">
            <v>Small Box</v>
          </cell>
          <cell r="M702" t="str">
            <v>Regular Air</v>
          </cell>
          <cell r="N702">
            <v>42239</v>
          </cell>
          <cell r="O702">
            <v>2.1800000000000002</v>
          </cell>
          <cell r="P702">
            <v>3.52</v>
          </cell>
          <cell r="Q702">
            <v>38</v>
          </cell>
          <cell r="R702">
            <v>133.76</v>
          </cell>
          <cell r="S702">
            <v>0.09</v>
          </cell>
          <cell r="T702">
            <v>12.038399999999999</v>
          </cell>
          <cell r="U702">
            <v>133.66999999999999</v>
          </cell>
          <cell r="V702">
            <v>6.83</v>
          </cell>
          <cell r="W702">
            <v>140.5</v>
          </cell>
        </row>
        <row r="703">
          <cell r="A703" t="str">
            <v>6030-1</v>
          </cell>
          <cell r="B703">
            <v>42238</v>
          </cell>
          <cell r="C703" t="str">
            <v>Bryan Spruell</v>
          </cell>
          <cell r="D703" t="str">
            <v>1 John Street,Waterloo</v>
          </cell>
          <cell r="E703" t="str">
            <v>Sydney</v>
          </cell>
          <cell r="F703" t="str">
            <v>NSW</v>
          </cell>
          <cell r="G703" t="str">
            <v>Home Office</v>
          </cell>
          <cell r="H703" t="str">
            <v>Charlie Bui</v>
          </cell>
          <cell r="I703" t="str">
            <v>Low</v>
          </cell>
          <cell r="J703" t="str">
            <v>TechSavi Access Keyboard</v>
          </cell>
          <cell r="K703" t="str">
            <v>Technology</v>
          </cell>
          <cell r="L703" t="str">
            <v>Small Box</v>
          </cell>
          <cell r="M703" t="str">
            <v>Regular Air</v>
          </cell>
          <cell r="N703">
            <v>42243</v>
          </cell>
          <cell r="O703">
            <v>10.07</v>
          </cell>
          <cell r="P703">
            <v>15.98</v>
          </cell>
          <cell r="Q703">
            <v>6</v>
          </cell>
          <cell r="R703">
            <v>95.88</v>
          </cell>
          <cell r="S703">
            <v>0.1</v>
          </cell>
          <cell r="T703">
            <v>9.5879999999999992</v>
          </cell>
          <cell r="U703">
            <v>95.78</v>
          </cell>
          <cell r="V703">
            <v>4</v>
          </cell>
          <cell r="W703">
            <v>99.78</v>
          </cell>
        </row>
        <row r="704">
          <cell r="A704" t="str">
            <v>6032-1</v>
          </cell>
          <cell r="B704">
            <v>42239</v>
          </cell>
          <cell r="C704" t="str">
            <v>Fred McMath</v>
          </cell>
          <cell r="D704" t="str">
            <v>10 Bligh St,Melbourne</v>
          </cell>
          <cell r="E704" t="str">
            <v>Melbourne</v>
          </cell>
          <cell r="F704" t="str">
            <v>VIC</v>
          </cell>
          <cell r="G704" t="str">
            <v>Small Business</v>
          </cell>
          <cell r="H704" t="str">
            <v>Yvette Biti</v>
          </cell>
          <cell r="I704" t="str">
            <v>Low</v>
          </cell>
          <cell r="J704" t="str">
            <v>Alto Six-Outlet Power Strip, 4 Cord Length</v>
          </cell>
          <cell r="K704" t="str">
            <v>Office Supplies</v>
          </cell>
          <cell r="L704" t="str">
            <v>Small Box</v>
          </cell>
          <cell r="M704" t="str">
            <v>Express Air</v>
          </cell>
          <cell r="N704">
            <v>42246</v>
          </cell>
          <cell r="O704">
            <v>3.53</v>
          </cell>
          <cell r="P704">
            <v>8.6199999999999992</v>
          </cell>
          <cell r="Q704">
            <v>8</v>
          </cell>
          <cell r="R704">
            <v>68.959999999999994</v>
          </cell>
          <cell r="S704">
            <v>0</v>
          </cell>
          <cell r="T704">
            <v>0</v>
          </cell>
          <cell r="U704">
            <v>68.959999999999994</v>
          </cell>
          <cell r="V704">
            <v>4.5</v>
          </cell>
          <cell r="W704">
            <v>73.459999999999994</v>
          </cell>
        </row>
        <row r="705">
          <cell r="A705" t="str">
            <v>6034-1</v>
          </cell>
          <cell r="B705">
            <v>42240</v>
          </cell>
          <cell r="C705" t="str">
            <v>Alejandro Ballentine</v>
          </cell>
          <cell r="D705" t="str">
            <v>412 Brunswick St,Fitzroy</v>
          </cell>
          <cell r="E705" t="str">
            <v>Melbourne</v>
          </cell>
          <cell r="F705" t="str">
            <v>VIC</v>
          </cell>
          <cell r="G705" t="str">
            <v>Small Business</v>
          </cell>
          <cell r="H705" t="str">
            <v>Connor Betts</v>
          </cell>
          <cell r="I705" t="str">
            <v>High</v>
          </cell>
          <cell r="J705" t="str">
            <v>24 Capacity Maxi Data Binder Racks, Pearl</v>
          </cell>
          <cell r="K705" t="str">
            <v>Office Supplies</v>
          </cell>
          <cell r="L705" t="str">
            <v>Small Box</v>
          </cell>
          <cell r="M705" t="str">
            <v>Express Air</v>
          </cell>
          <cell r="N705">
            <v>42241</v>
          </cell>
          <cell r="O705">
            <v>84.22</v>
          </cell>
          <cell r="P705">
            <v>210.55</v>
          </cell>
          <cell r="Q705">
            <v>2</v>
          </cell>
          <cell r="R705">
            <v>421.1</v>
          </cell>
          <cell r="S705">
            <v>0.05</v>
          </cell>
          <cell r="T705">
            <v>21.055000000000003</v>
          </cell>
          <cell r="U705">
            <v>421.05</v>
          </cell>
          <cell r="V705">
            <v>9.99</v>
          </cell>
          <cell r="W705">
            <v>431.04</v>
          </cell>
        </row>
        <row r="706">
          <cell r="A706" t="str">
            <v>6036-1</v>
          </cell>
          <cell r="B706">
            <v>42240</v>
          </cell>
          <cell r="C706" t="str">
            <v>Eleni McCrary</v>
          </cell>
          <cell r="D706" t="str">
            <v>79 Elliott St,Balmain</v>
          </cell>
          <cell r="E706" t="str">
            <v>Sydney</v>
          </cell>
          <cell r="F706" t="str">
            <v>NSW</v>
          </cell>
          <cell r="G706" t="str">
            <v>Corporate</v>
          </cell>
          <cell r="H706" t="str">
            <v>Aanya Zhang</v>
          </cell>
          <cell r="I706" t="str">
            <v>Low</v>
          </cell>
          <cell r="J706" t="str">
            <v>Creator Anti Dust Chalk, 12/Pack</v>
          </cell>
          <cell r="K706" t="str">
            <v>Office Supplies</v>
          </cell>
          <cell r="L706" t="str">
            <v>Wrap Bag</v>
          </cell>
          <cell r="M706" t="str">
            <v>Regular Air</v>
          </cell>
          <cell r="N706">
            <v>42244</v>
          </cell>
          <cell r="O706">
            <v>1.0900000000000001</v>
          </cell>
          <cell r="P706">
            <v>1.82</v>
          </cell>
          <cell r="Q706">
            <v>42</v>
          </cell>
          <cell r="R706">
            <v>76.44</v>
          </cell>
          <cell r="S706">
            <v>0.08</v>
          </cell>
          <cell r="T706">
            <v>6.1151999999999997</v>
          </cell>
          <cell r="U706">
            <v>76.36</v>
          </cell>
          <cell r="V706">
            <v>1</v>
          </cell>
          <cell r="W706">
            <v>77.36</v>
          </cell>
        </row>
        <row r="707">
          <cell r="A707" t="str">
            <v>6037-1</v>
          </cell>
          <cell r="B707">
            <v>42240</v>
          </cell>
          <cell r="C707" t="str">
            <v>Dan Campbell</v>
          </cell>
          <cell r="D707" t="str">
            <v>1/173-179 Bronte Rd,Waverley</v>
          </cell>
          <cell r="E707" t="str">
            <v>Sydney</v>
          </cell>
          <cell r="F707" t="str">
            <v>NSW</v>
          </cell>
          <cell r="G707" t="str">
            <v>Small Business</v>
          </cell>
          <cell r="H707" t="str">
            <v>Leighton Forrest</v>
          </cell>
          <cell r="I707" t="str">
            <v>Critical</v>
          </cell>
          <cell r="J707" t="str">
            <v>Steady 52201 APSCO Electric Pencil Sharpener</v>
          </cell>
          <cell r="K707" t="str">
            <v>Office Supplies</v>
          </cell>
          <cell r="L707" t="str">
            <v>Small Pack</v>
          </cell>
          <cell r="M707" t="str">
            <v>Regular Air</v>
          </cell>
          <cell r="N707">
            <v>42242</v>
          </cell>
          <cell r="O707">
            <v>16.8</v>
          </cell>
          <cell r="P707">
            <v>40.97</v>
          </cell>
          <cell r="Q707">
            <v>28</v>
          </cell>
          <cell r="R707">
            <v>1147.1599999999999</v>
          </cell>
          <cell r="S707">
            <v>0.04</v>
          </cell>
          <cell r="T707">
            <v>45.886399999999995</v>
          </cell>
          <cell r="U707">
            <v>1147.1199999999999</v>
          </cell>
          <cell r="V707">
            <v>8.99</v>
          </cell>
          <cell r="W707">
            <v>1156.1099999999999</v>
          </cell>
        </row>
        <row r="708">
          <cell r="A708" t="str">
            <v>6038-1</v>
          </cell>
          <cell r="B708">
            <v>42242</v>
          </cell>
          <cell r="C708" t="str">
            <v>Kelly Williams</v>
          </cell>
          <cell r="D708" t="str">
            <v>499-501 Lygon Street,Carlton North</v>
          </cell>
          <cell r="E708" t="str">
            <v>Melbourne</v>
          </cell>
          <cell r="F708" t="str">
            <v>VIC</v>
          </cell>
          <cell r="G708" t="str">
            <v>Corporate</v>
          </cell>
          <cell r="H708" t="str">
            <v>Yvette Biti</v>
          </cell>
          <cell r="I708" t="str">
            <v>Medium</v>
          </cell>
          <cell r="J708" t="str">
            <v>Airmail Envelopes</v>
          </cell>
          <cell r="K708" t="str">
            <v>Office Supplies</v>
          </cell>
          <cell r="L708" t="str">
            <v>Small Box</v>
          </cell>
          <cell r="M708" t="str">
            <v>Regular Air</v>
          </cell>
          <cell r="N708">
            <v>42244</v>
          </cell>
          <cell r="O708">
            <v>52.04</v>
          </cell>
          <cell r="P708">
            <v>83.93</v>
          </cell>
          <cell r="Q708">
            <v>3</v>
          </cell>
          <cell r="R708">
            <v>251.79000000000002</v>
          </cell>
          <cell r="S708">
            <v>0</v>
          </cell>
          <cell r="T708">
            <v>0</v>
          </cell>
          <cell r="U708">
            <v>251.79000000000002</v>
          </cell>
          <cell r="V708">
            <v>19.989999999999998</v>
          </cell>
          <cell r="W708">
            <v>271.78000000000003</v>
          </cell>
        </row>
        <row r="709">
          <cell r="A709" t="str">
            <v>6039-1</v>
          </cell>
          <cell r="B709">
            <v>42242</v>
          </cell>
          <cell r="C709" t="str">
            <v>Edward Becker</v>
          </cell>
          <cell r="D709" t="str">
            <v>501 George St,Sydney</v>
          </cell>
          <cell r="E709" t="str">
            <v>Sydney</v>
          </cell>
          <cell r="F709" t="str">
            <v>NSW</v>
          </cell>
          <cell r="G709" t="str">
            <v>Corporate</v>
          </cell>
          <cell r="H709" t="str">
            <v>Samantha Chairs</v>
          </cell>
          <cell r="I709" t="str">
            <v>Not Specified</v>
          </cell>
          <cell r="J709" t="str">
            <v>Artisan 487 Labels</v>
          </cell>
          <cell r="K709" t="str">
            <v>Office Supplies</v>
          </cell>
          <cell r="L709" t="str">
            <v>Small Box</v>
          </cell>
          <cell r="M709" t="str">
            <v>Regular Air</v>
          </cell>
          <cell r="N709">
            <v>42243</v>
          </cell>
          <cell r="O709">
            <v>2.29</v>
          </cell>
          <cell r="P709">
            <v>3.69</v>
          </cell>
          <cell r="Q709">
            <v>39</v>
          </cell>
          <cell r="R709">
            <v>143.91</v>
          </cell>
          <cell r="S709">
            <v>0.03</v>
          </cell>
          <cell r="T709">
            <v>4.3172999999999995</v>
          </cell>
          <cell r="U709">
            <v>143.88</v>
          </cell>
          <cell r="V709">
            <v>0.5</v>
          </cell>
          <cell r="W709">
            <v>144.38</v>
          </cell>
        </row>
        <row r="710">
          <cell r="A710" t="str">
            <v>6041-1</v>
          </cell>
          <cell r="B710">
            <v>42243</v>
          </cell>
          <cell r="C710" t="str">
            <v>Lycoris Saunders</v>
          </cell>
          <cell r="D710" t="str">
            <v>501 George St,Sydney</v>
          </cell>
          <cell r="E710" t="str">
            <v>Sydney</v>
          </cell>
          <cell r="F710" t="str">
            <v>NSW</v>
          </cell>
          <cell r="G710" t="str">
            <v>Corporate</v>
          </cell>
          <cell r="H710" t="str">
            <v>Samantha Chairs</v>
          </cell>
          <cell r="I710" t="str">
            <v>High</v>
          </cell>
          <cell r="J710" t="str">
            <v>Apex Straight Scissors</v>
          </cell>
          <cell r="K710" t="str">
            <v>Office Supplies</v>
          </cell>
          <cell r="L710" t="str">
            <v>Small Pack</v>
          </cell>
          <cell r="M710" t="str">
            <v>Express Air</v>
          </cell>
          <cell r="N710">
            <v>42244</v>
          </cell>
          <cell r="O710">
            <v>5.19</v>
          </cell>
          <cell r="P710">
            <v>12.98</v>
          </cell>
          <cell r="Q710">
            <v>42</v>
          </cell>
          <cell r="R710">
            <v>545.16</v>
          </cell>
          <cell r="S710">
            <v>0.05</v>
          </cell>
          <cell r="T710">
            <v>27.257999999999999</v>
          </cell>
          <cell r="U710">
            <v>545.11</v>
          </cell>
          <cell r="V710">
            <v>3.14</v>
          </cell>
          <cell r="W710">
            <v>548.25</v>
          </cell>
        </row>
        <row r="711">
          <cell r="A711" t="str">
            <v>6042-1</v>
          </cell>
          <cell r="B711">
            <v>42244</v>
          </cell>
          <cell r="C711" t="str">
            <v>Phillip Flathmann</v>
          </cell>
          <cell r="D711" t="str">
            <v>Macquarie Centre Cnr Herring Road &amp; Waterloo Road,Macquarie Park</v>
          </cell>
          <cell r="E711" t="str">
            <v>Sydney</v>
          </cell>
          <cell r="F711" t="str">
            <v>NSW</v>
          </cell>
          <cell r="G711" t="str">
            <v>Small Business</v>
          </cell>
          <cell r="H711" t="str">
            <v>Nicholas Fernandes</v>
          </cell>
          <cell r="I711" t="str">
            <v>Critical</v>
          </cell>
          <cell r="J711" t="str">
            <v>Artisan 481 Labels</v>
          </cell>
          <cell r="K711" t="str">
            <v>Office Supplies</v>
          </cell>
          <cell r="L711" t="str">
            <v>Small Box</v>
          </cell>
          <cell r="M711" t="str">
            <v>Regular Air</v>
          </cell>
          <cell r="N711">
            <v>42246</v>
          </cell>
          <cell r="O711">
            <v>1.94</v>
          </cell>
          <cell r="P711">
            <v>3.08</v>
          </cell>
          <cell r="Q711">
            <v>6</v>
          </cell>
          <cell r="R711">
            <v>18.48</v>
          </cell>
          <cell r="S711">
            <v>0.02</v>
          </cell>
          <cell r="T711">
            <v>0.36960000000000004</v>
          </cell>
          <cell r="U711">
            <v>18.46</v>
          </cell>
          <cell r="V711">
            <v>0.99</v>
          </cell>
          <cell r="W711">
            <v>19.45</v>
          </cell>
        </row>
        <row r="712">
          <cell r="A712" t="str">
            <v>6044-1</v>
          </cell>
          <cell r="B712">
            <v>42246</v>
          </cell>
          <cell r="C712" t="str">
            <v>Maxwell Schwartz</v>
          </cell>
          <cell r="D712" t="str">
            <v>3 Orwell St,Potts Point</v>
          </cell>
          <cell r="E712" t="str">
            <v>Sydney</v>
          </cell>
          <cell r="F712" t="str">
            <v>NSW</v>
          </cell>
          <cell r="G712" t="str">
            <v>Corporate</v>
          </cell>
          <cell r="H712" t="str">
            <v>Leighton Forrest</v>
          </cell>
          <cell r="I712" t="str">
            <v>Medium</v>
          </cell>
          <cell r="J712" t="str">
            <v>600 Series Flip</v>
          </cell>
          <cell r="K712" t="str">
            <v>Technology</v>
          </cell>
          <cell r="L712" t="str">
            <v>Small Box</v>
          </cell>
          <cell r="M712" t="str">
            <v>Regular Air</v>
          </cell>
          <cell r="N712">
            <v>42248</v>
          </cell>
          <cell r="O712">
            <v>41.28</v>
          </cell>
          <cell r="P712">
            <v>95.99</v>
          </cell>
          <cell r="Q712">
            <v>26</v>
          </cell>
          <cell r="R712">
            <v>2495.7399999999998</v>
          </cell>
          <cell r="S712">
            <v>0.02</v>
          </cell>
          <cell r="T712">
            <v>49.9148</v>
          </cell>
          <cell r="U712">
            <v>2495.7199999999998</v>
          </cell>
          <cell r="V712">
            <v>8.99</v>
          </cell>
          <cell r="W712">
            <v>2504.7099999999996</v>
          </cell>
        </row>
        <row r="713">
          <cell r="A713" t="str">
            <v>6046-1</v>
          </cell>
          <cell r="B713">
            <v>42247</v>
          </cell>
          <cell r="C713" t="str">
            <v>Sally Knutson</v>
          </cell>
          <cell r="D713" t="str">
            <v>Shop 1, 186-190 Church Street,Parramatta;46a Macleay Street,Potts Point</v>
          </cell>
          <cell r="E713" t="str">
            <v>Sydney</v>
          </cell>
          <cell r="F713" t="str">
            <v>NSW</v>
          </cell>
          <cell r="G713" t="str">
            <v>Consumer</v>
          </cell>
          <cell r="H713" t="str">
            <v>Mihael Khan</v>
          </cell>
          <cell r="I713" t="str">
            <v>Low</v>
          </cell>
          <cell r="J713" t="str">
            <v>3Max Organizer Strips</v>
          </cell>
          <cell r="K713" t="str">
            <v>Office Supplies</v>
          </cell>
          <cell r="L713" t="str">
            <v>Small Box</v>
          </cell>
          <cell r="M713" t="str">
            <v>Regular Air</v>
          </cell>
          <cell r="N713">
            <v>42247</v>
          </cell>
          <cell r="O713">
            <v>3.4</v>
          </cell>
          <cell r="P713">
            <v>5.4</v>
          </cell>
          <cell r="Q713">
            <v>14</v>
          </cell>
          <cell r="R713">
            <v>75.600000000000009</v>
          </cell>
          <cell r="S713">
            <v>0.02</v>
          </cell>
          <cell r="T713">
            <v>1.5120000000000002</v>
          </cell>
          <cell r="U713">
            <v>75.580000000000013</v>
          </cell>
          <cell r="V713">
            <v>7.78</v>
          </cell>
          <cell r="W713">
            <v>83.360000000000014</v>
          </cell>
        </row>
        <row r="714">
          <cell r="A714" t="str">
            <v>6048-1</v>
          </cell>
          <cell r="B714">
            <v>42247</v>
          </cell>
          <cell r="C714" t="str">
            <v>Larry Hughes</v>
          </cell>
          <cell r="D714" t="str">
            <v>541 Church St,Richmond</v>
          </cell>
          <cell r="E714" t="str">
            <v>Melbourne</v>
          </cell>
          <cell r="F714" t="str">
            <v>VIC</v>
          </cell>
          <cell r="G714" t="str">
            <v>Home Office</v>
          </cell>
          <cell r="H714" t="str">
            <v>Yvette Biti</v>
          </cell>
          <cell r="I714" t="str">
            <v>Critical</v>
          </cell>
          <cell r="J714" t="str">
            <v>Beekin 6 Outlet Metallic Surge Strip</v>
          </cell>
          <cell r="K714" t="str">
            <v>Office Supplies</v>
          </cell>
          <cell r="L714" t="str">
            <v>Small Box</v>
          </cell>
          <cell r="M714" t="str">
            <v>Regular Air</v>
          </cell>
          <cell r="N714">
            <v>42248</v>
          </cell>
          <cell r="O714">
            <v>4.46</v>
          </cell>
          <cell r="P714">
            <v>10.89</v>
          </cell>
          <cell r="Q714">
            <v>50</v>
          </cell>
          <cell r="R714">
            <v>544.5</v>
          </cell>
          <cell r="S714">
            <v>0.09</v>
          </cell>
          <cell r="T714">
            <v>49.004999999999995</v>
          </cell>
          <cell r="U714">
            <v>544.41</v>
          </cell>
          <cell r="V714">
            <v>4.5</v>
          </cell>
          <cell r="W714">
            <v>548.91</v>
          </cell>
        </row>
        <row r="715">
          <cell r="A715" t="str">
            <v>6050-1</v>
          </cell>
          <cell r="B715">
            <v>42249</v>
          </cell>
          <cell r="C715" t="str">
            <v>Giulietta Baptist</v>
          </cell>
          <cell r="D715" t="str">
            <v>Hoyts Entertainment Quarter 122 Lang Road,Moore Park</v>
          </cell>
          <cell r="E715" t="str">
            <v>Sydney</v>
          </cell>
          <cell r="F715" t="str">
            <v>NSW</v>
          </cell>
          <cell r="G715" t="str">
            <v>Home Office</v>
          </cell>
          <cell r="H715" t="str">
            <v>Tina Carlton</v>
          </cell>
          <cell r="I715" t="str">
            <v>Medium</v>
          </cell>
          <cell r="J715" t="str">
            <v>TechSavi Cordless Elite Duo</v>
          </cell>
          <cell r="K715" t="str">
            <v>Technology</v>
          </cell>
          <cell r="L715" t="str">
            <v>Small Box</v>
          </cell>
          <cell r="M715" t="str">
            <v>Regular Air</v>
          </cell>
          <cell r="N715">
            <v>42252</v>
          </cell>
          <cell r="O715">
            <v>60.59</v>
          </cell>
          <cell r="P715">
            <v>100.98</v>
          </cell>
          <cell r="Q715">
            <v>9</v>
          </cell>
          <cell r="R715">
            <v>908.82</v>
          </cell>
          <cell r="S715">
            <v>0.1</v>
          </cell>
          <cell r="T715">
            <v>90.882000000000005</v>
          </cell>
          <cell r="U715">
            <v>908.72</v>
          </cell>
          <cell r="V715">
            <v>7.18</v>
          </cell>
          <cell r="W715">
            <v>915.9</v>
          </cell>
        </row>
        <row r="716">
          <cell r="A716" t="str">
            <v>6052-1</v>
          </cell>
          <cell r="B716">
            <v>42249</v>
          </cell>
          <cell r="C716" t="str">
            <v>Cindy Stewart</v>
          </cell>
          <cell r="D716" t="str">
            <v>1/173-179 Bronte Rd,Waverley</v>
          </cell>
          <cell r="E716" t="str">
            <v>Sydney</v>
          </cell>
          <cell r="F716" t="str">
            <v>NSW</v>
          </cell>
          <cell r="G716" t="str">
            <v>Corporate</v>
          </cell>
          <cell r="H716" t="str">
            <v>Leighton Forrest</v>
          </cell>
          <cell r="I716" t="str">
            <v>Medium</v>
          </cell>
          <cell r="J716" t="str">
            <v>UGen Ultra Professional Cordless Optical Suite</v>
          </cell>
          <cell r="K716" t="str">
            <v>Technology</v>
          </cell>
          <cell r="L716" t="str">
            <v>Small Box</v>
          </cell>
          <cell r="M716" t="str">
            <v>Regular Air</v>
          </cell>
          <cell r="N716">
            <v>42251</v>
          </cell>
          <cell r="O716">
            <v>156.5</v>
          </cell>
          <cell r="P716">
            <v>300.97000000000003</v>
          </cell>
          <cell r="Q716">
            <v>20</v>
          </cell>
          <cell r="R716">
            <v>6019.4000000000005</v>
          </cell>
          <cell r="S716">
            <v>0.05</v>
          </cell>
          <cell r="T716">
            <v>300.97000000000003</v>
          </cell>
          <cell r="U716">
            <v>6019.35</v>
          </cell>
          <cell r="V716">
            <v>7.18</v>
          </cell>
          <cell r="W716">
            <v>6026.5300000000007</v>
          </cell>
        </row>
        <row r="717">
          <cell r="A717" t="str">
            <v>6054-1</v>
          </cell>
          <cell r="B717">
            <v>42250</v>
          </cell>
          <cell r="C717" t="str">
            <v>Grant Thornton</v>
          </cell>
          <cell r="D717" t="str">
            <v>98 Holdsworth Street,Woollahra</v>
          </cell>
          <cell r="E717" t="str">
            <v>Sydney</v>
          </cell>
          <cell r="F717" t="str">
            <v>NSW</v>
          </cell>
          <cell r="G717" t="str">
            <v>Corporate</v>
          </cell>
          <cell r="H717" t="str">
            <v>Natasha Song</v>
          </cell>
          <cell r="I717" t="str">
            <v>Low</v>
          </cell>
          <cell r="J717" t="str">
            <v>Beekin 6 Outlet Metallic Surge Strip</v>
          </cell>
          <cell r="K717" t="str">
            <v>Office Supplies</v>
          </cell>
          <cell r="L717" t="str">
            <v>Small Box</v>
          </cell>
          <cell r="M717" t="str">
            <v>Regular Air</v>
          </cell>
          <cell r="N717">
            <v>42254</v>
          </cell>
          <cell r="O717">
            <v>4.46</v>
          </cell>
          <cell r="P717">
            <v>10.89</v>
          </cell>
          <cell r="Q717">
            <v>3</v>
          </cell>
          <cell r="R717">
            <v>32.67</v>
          </cell>
          <cell r="S717">
            <v>0.08</v>
          </cell>
          <cell r="T717">
            <v>2.6136000000000004</v>
          </cell>
          <cell r="U717">
            <v>32.590000000000003</v>
          </cell>
          <cell r="V717">
            <v>4.5</v>
          </cell>
          <cell r="W717">
            <v>37.090000000000003</v>
          </cell>
        </row>
        <row r="718">
          <cell r="A718" t="str">
            <v>6055-1</v>
          </cell>
          <cell r="B718">
            <v>42251</v>
          </cell>
          <cell r="C718" t="str">
            <v>Meg Tillman</v>
          </cell>
          <cell r="D718" t="str">
            <v>531 King St,Newtown</v>
          </cell>
          <cell r="E718" t="str">
            <v>Sydney</v>
          </cell>
          <cell r="F718" t="str">
            <v>NSW</v>
          </cell>
          <cell r="G718" t="str">
            <v>Small Business</v>
          </cell>
          <cell r="H718" t="str">
            <v>Mihael Khan</v>
          </cell>
          <cell r="I718" t="str">
            <v>Medium</v>
          </cell>
          <cell r="J718" t="str">
            <v>Artisan 48 Labels</v>
          </cell>
          <cell r="K718" t="str">
            <v>Office Supplies</v>
          </cell>
          <cell r="L718" t="str">
            <v>Small Box</v>
          </cell>
          <cell r="M718" t="str">
            <v>Regular Air</v>
          </cell>
          <cell r="N718">
            <v>42254</v>
          </cell>
          <cell r="O718">
            <v>3.84</v>
          </cell>
          <cell r="P718">
            <v>6.3</v>
          </cell>
          <cell r="Q718">
            <v>40</v>
          </cell>
          <cell r="R718">
            <v>252</v>
          </cell>
          <cell r="S718">
            <v>0.04</v>
          </cell>
          <cell r="T718">
            <v>10.08</v>
          </cell>
          <cell r="U718">
            <v>251.96</v>
          </cell>
          <cell r="V718">
            <v>0.5</v>
          </cell>
          <cell r="W718">
            <v>252.46</v>
          </cell>
        </row>
        <row r="719">
          <cell r="A719" t="str">
            <v>6056-1</v>
          </cell>
          <cell r="B719">
            <v>42251</v>
          </cell>
          <cell r="C719" t="str">
            <v>Victor Price</v>
          </cell>
          <cell r="D719" t="str">
            <v>180 High Street,Windsor</v>
          </cell>
          <cell r="E719" t="str">
            <v>Melbourne</v>
          </cell>
          <cell r="F719" t="str">
            <v>VIC</v>
          </cell>
          <cell r="G719" t="str">
            <v>Consumer</v>
          </cell>
          <cell r="H719" t="str">
            <v>Connor Betts</v>
          </cell>
          <cell r="I719" t="str">
            <v>Medium</v>
          </cell>
          <cell r="J719" t="str">
            <v>Cando S750 Color Inkjet Printer</v>
          </cell>
          <cell r="K719" t="str">
            <v>Technology</v>
          </cell>
          <cell r="L719" t="str">
            <v>Jumbo Drum</v>
          </cell>
          <cell r="M719" t="str">
            <v>Delivery Truck</v>
          </cell>
          <cell r="N719">
            <v>42253</v>
          </cell>
          <cell r="O719">
            <v>75</v>
          </cell>
          <cell r="P719">
            <v>120.97</v>
          </cell>
          <cell r="Q719">
            <v>46</v>
          </cell>
          <cell r="R719">
            <v>5564.62</v>
          </cell>
          <cell r="S719">
            <v>7.0000000000000007E-2</v>
          </cell>
          <cell r="T719">
            <v>389.52340000000004</v>
          </cell>
          <cell r="U719">
            <v>5564.55</v>
          </cell>
          <cell r="V719">
            <v>26.3</v>
          </cell>
          <cell r="W719">
            <v>5590.85</v>
          </cell>
        </row>
        <row r="720">
          <cell r="A720" t="str">
            <v>6057-1</v>
          </cell>
          <cell r="B720">
            <v>42253</v>
          </cell>
          <cell r="C720" t="str">
            <v>Roy Collins</v>
          </cell>
          <cell r="D720" t="str">
            <v>Westfield Sydney,Sydney</v>
          </cell>
          <cell r="E720" t="str">
            <v>Sydney</v>
          </cell>
          <cell r="F720" t="str">
            <v>NSW</v>
          </cell>
          <cell r="G720" t="str">
            <v>Corporate</v>
          </cell>
          <cell r="H720" t="str">
            <v>Natasha Song</v>
          </cell>
          <cell r="I720" t="str">
            <v>Critical</v>
          </cell>
          <cell r="J720" t="str">
            <v>TechSavi Cordless Elite Duo</v>
          </cell>
          <cell r="K720" t="str">
            <v>Technology</v>
          </cell>
          <cell r="L720" t="str">
            <v>Small Box</v>
          </cell>
          <cell r="M720" t="str">
            <v>Regular Air</v>
          </cell>
          <cell r="N720">
            <v>42254</v>
          </cell>
          <cell r="O720">
            <v>60.59</v>
          </cell>
          <cell r="P720">
            <v>100.98</v>
          </cell>
          <cell r="Q720">
            <v>44</v>
          </cell>
          <cell r="R720">
            <v>4443.12</v>
          </cell>
          <cell r="S720">
            <v>0.09</v>
          </cell>
          <cell r="T720">
            <v>399.88079999999997</v>
          </cell>
          <cell r="U720">
            <v>4443.03</v>
          </cell>
          <cell r="V720">
            <v>7.18</v>
          </cell>
          <cell r="W720">
            <v>4450.21</v>
          </cell>
        </row>
        <row r="721">
          <cell r="A721" t="str">
            <v>6058-1</v>
          </cell>
          <cell r="B721">
            <v>42254</v>
          </cell>
          <cell r="C721" t="str">
            <v>Naresj Patel</v>
          </cell>
          <cell r="D721" t="str">
            <v>106 Ebley Street,Bondi Junction</v>
          </cell>
          <cell r="E721" t="str">
            <v>Sydney</v>
          </cell>
          <cell r="F721" t="str">
            <v>NSW</v>
          </cell>
          <cell r="G721" t="str">
            <v>Small Business</v>
          </cell>
          <cell r="H721" t="str">
            <v>Leighton Forrest</v>
          </cell>
          <cell r="I721" t="str">
            <v>High</v>
          </cell>
          <cell r="J721" t="str">
            <v>Smiths SlimLine Pencil Sharpener</v>
          </cell>
          <cell r="K721" t="str">
            <v>Office Supplies</v>
          </cell>
          <cell r="L721" t="str">
            <v>Small Pack</v>
          </cell>
          <cell r="M721" t="str">
            <v>Regular Air</v>
          </cell>
          <cell r="N721">
            <v>42256</v>
          </cell>
          <cell r="O721">
            <v>4.79</v>
          </cell>
          <cell r="P721">
            <v>11.97</v>
          </cell>
          <cell r="Q721">
            <v>48</v>
          </cell>
          <cell r="R721">
            <v>574.56000000000006</v>
          </cell>
          <cell r="S721">
            <v>0.02</v>
          </cell>
          <cell r="T721">
            <v>11.491200000000001</v>
          </cell>
          <cell r="U721">
            <v>574.54000000000008</v>
          </cell>
          <cell r="V721">
            <v>5.81</v>
          </cell>
          <cell r="W721">
            <v>580.35</v>
          </cell>
        </row>
        <row r="722">
          <cell r="A722" t="str">
            <v>6059-1</v>
          </cell>
          <cell r="B722">
            <v>42255</v>
          </cell>
          <cell r="C722" t="str">
            <v>Beth Thompson</v>
          </cell>
          <cell r="D722" t="str">
            <v>85-113 Dunning Ave,Roseberry</v>
          </cell>
          <cell r="E722" t="str">
            <v>Sydney</v>
          </cell>
          <cell r="F722" t="str">
            <v>NSW</v>
          </cell>
          <cell r="G722" t="str">
            <v>Corporate</v>
          </cell>
          <cell r="H722" t="str">
            <v>Mihael Khan</v>
          </cell>
          <cell r="I722" t="str">
            <v>High</v>
          </cell>
          <cell r="J722" t="str">
            <v>Alto Memo Cubes</v>
          </cell>
          <cell r="K722" t="str">
            <v>Office Supplies</v>
          </cell>
          <cell r="L722" t="str">
            <v>Wrap Bag</v>
          </cell>
          <cell r="M722" t="str">
            <v>Regular Air</v>
          </cell>
          <cell r="N722">
            <v>42257</v>
          </cell>
          <cell r="O722">
            <v>3.32</v>
          </cell>
          <cell r="P722">
            <v>5.18</v>
          </cell>
          <cell r="Q722">
            <v>20</v>
          </cell>
          <cell r="R722">
            <v>103.6</v>
          </cell>
          <cell r="S722">
            <v>0.06</v>
          </cell>
          <cell r="T722">
            <v>6.2159999999999993</v>
          </cell>
          <cell r="U722">
            <v>103.53999999999999</v>
          </cell>
          <cell r="V722">
            <v>2.04</v>
          </cell>
          <cell r="W722">
            <v>105.58</v>
          </cell>
        </row>
        <row r="723">
          <cell r="A723" t="str">
            <v>6061-1</v>
          </cell>
          <cell r="B723">
            <v>42255</v>
          </cell>
          <cell r="C723" t="str">
            <v>Laura Armstrong</v>
          </cell>
          <cell r="D723" t="str">
            <v>240-242 Johnston Street,Fitzroy</v>
          </cell>
          <cell r="E723" t="str">
            <v>Melbourne</v>
          </cell>
          <cell r="F723" t="str">
            <v>VIC</v>
          </cell>
          <cell r="G723" t="str">
            <v>Small Business</v>
          </cell>
          <cell r="H723" t="str">
            <v>Connor Betts</v>
          </cell>
          <cell r="I723" t="str">
            <v>High</v>
          </cell>
          <cell r="J723" t="str">
            <v>Bagged Rubber Bands</v>
          </cell>
          <cell r="K723" t="str">
            <v>Office Supplies</v>
          </cell>
          <cell r="L723" t="str">
            <v>Wrap Bag</v>
          </cell>
          <cell r="M723" t="str">
            <v>Regular Air</v>
          </cell>
          <cell r="N723">
            <v>42257</v>
          </cell>
          <cell r="O723">
            <v>0.24</v>
          </cell>
          <cell r="P723">
            <v>1.26</v>
          </cell>
          <cell r="Q723">
            <v>31</v>
          </cell>
          <cell r="R723">
            <v>39.06</v>
          </cell>
          <cell r="S723">
            <v>0.06</v>
          </cell>
          <cell r="T723">
            <v>2.3435999999999999</v>
          </cell>
          <cell r="U723">
            <v>39</v>
          </cell>
          <cell r="V723">
            <v>0.7</v>
          </cell>
          <cell r="W723">
            <v>39.700000000000003</v>
          </cell>
        </row>
        <row r="724">
          <cell r="A724" t="str">
            <v>6063-1</v>
          </cell>
          <cell r="B724">
            <v>42257</v>
          </cell>
          <cell r="C724" t="str">
            <v>Luke Weiss</v>
          </cell>
          <cell r="D724" t="str">
            <v>88 Oxford St,Woollahra</v>
          </cell>
          <cell r="E724" t="str">
            <v>Sydney</v>
          </cell>
          <cell r="F724" t="str">
            <v>NSW</v>
          </cell>
          <cell r="G724" t="str">
            <v>Corporate</v>
          </cell>
          <cell r="H724" t="str">
            <v>Charlie Bui</v>
          </cell>
          <cell r="I724" t="str">
            <v>Critical</v>
          </cell>
          <cell r="J724" t="str">
            <v>Colored Envelopes</v>
          </cell>
          <cell r="K724" t="str">
            <v>Office Supplies</v>
          </cell>
          <cell r="L724" t="str">
            <v>Small Box</v>
          </cell>
          <cell r="M724" t="str">
            <v>Express Air</v>
          </cell>
          <cell r="N724">
            <v>42258</v>
          </cell>
          <cell r="O724">
            <v>2.25</v>
          </cell>
          <cell r="P724">
            <v>3.69</v>
          </cell>
          <cell r="Q724">
            <v>23</v>
          </cell>
          <cell r="R724">
            <v>84.87</v>
          </cell>
          <cell r="S724">
            <v>0.02</v>
          </cell>
          <cell r="T724">
            <v>1.6974</v>
          </cell>
          <cell r="U724">
            <v>84.850000000000009</v>
          </cell>
          <cell r="V724">
            <v>2.5</v>
          </cell>
          <cell r="W724">
            <v>87.350000000000009</v>
          </cell>
        </row>
        <row r="725">
          <cell r="A725" t="str">
            <v>6065-1</v>
          </cell>
          <cell r="B725">
            <v>42258</v>
          </cell>
          <cell r="C725" t="str">
            <v>Cyra Reiten</v>
          </cell>
          <cell r="D725" t="str">
            <v>Westfield 1 Anderson St,Chatswood</v>
          </cell>
          <cell r="E725" t="str">
            <v>Sydney</v>
          </cell>
          <cell r="F725" t="str">
            <v>NSW</v>
          </cell>
          <cell r="G725" t="str">
            <v>Consumer</v>
          </cell>
          <cell r="H725" t="str">
            <v>Nicholas Fernandes</v>
          </cell>
          <cell r="I725" t="str">
            <v>Not Specified</v>
          </cell>
          <cell r="J725" t="str">
            <v>Pizazz Colored Pencils</v>
          </cell>
          <cell r="K725" t="str">
            <v>Office Supplies</v>
          </cell>
          <cell r="L725" t="str">
            <v>Wrap Bag</v>
          </cell>
          <cell r="M725" t="str">
            <v>Express Air</v>
          </cell>
          <cell r="N725">
            <v>42258</v>
          </cell>
          <cell r="O725">
            <v>1.76</v>
          </cell>
          <cell r="P725">
            <v>2.94</v>
          </cell>
          <cell r="Q725">
            <v>47</v>
          </cell>
          <cell r="R725">
            <v>138.18</v>
          </cell>
          <cell r="S725">
            <v>0.04</v>
          </cell>
          <cell r="T725">
            <v>5.5272000000000006</v>
          </cell>
          <cell r="U725">
            <v>138.14000000000001</v>
          </cell>
          <cell r="V725">
            <v>0.81</v>
          </cell>
          <cell r="W725">
            <v>138.95000000000002</v>
          </cell>
        </row>
        <row r="726">
          <cell r="A726" t="str">
            <v>6066-1</v>
          </cell>
          <cell r="B726">
            <v>42259</v>
          </cell>
          <cell r="C726" t="str">
            <v>Bobby Elias</v>
          </cell>
          <cell r="D726" t="str">
            <v>506 Swan Street,Richmond</v>
          </cell>
          <cell r="E726" t="str">
            <v>Melbourne</v>
          </cell>
          <cell r="F726" t="str">
            <v>VIC</v>
          </cell>
          <cell r="G726" t="str">
            <v>Small Business</v>
          </cell>
          <cell r="H726" t="str">
            <v>Connor Betts</v>
          </cell>
          <cell r="I726" t="str">
            <v>Not Specified</v>
          </cell>
          <cell r="J726" t="str">
            <v>Assorted Color Push Pins</v>
          </cell>
          <cell r="K726" t="str">
            <v>Office Supplies</v>
          </cell>
          <cell r="L726" t="str">
            <v>Wrap Bag</v>
          </cell>
          <cell r="M726" t="str">
            <v>Regular Air</v>
          </cell>
          <cell r="N726">
            <v>42260</v>
          </cell>
          <cell r="O726">
            <v>0.87</v>
          </cell>
          <cell r="P726">
            <v>1.81</v>
          </cell>
          <cell r="Q726">
            <v>6</v>
          </cell>
          <cell r="R726">
            <v>10.86</v>
          </cell>
          <cell r="S726">
            <v>7.0000000000000007E-2</v>
          </cell>
          <cell r="T726">
            <v>0.76019999999999999</v>
          </cell>
          <cell r="U726">
            <v>10.79</v>
          </cell>
          <cell r="V726">
            <v>0.75</v>
          </cell>
          <cell r="W726">
            <v>11.54</v>
          </cell>
        </row>
        <row r="727">
          <cell r="A727" t="str">
            <v>6067-1</v>
          </cell>
          <cell r="B727">
            <v>42262</v>
          </cell>
          <cell r="C727" t="str">
            <v>Ricardo Emerson</v>
          </cell>
          <cell r="D727" t="str">
            <v>Westfield Sydney,Sydney</v>
          </cell>
          <cell r="E727" t="str">
            <v>Sydney</v>
          </cell>
          <cell r="F727" t="str">
            <v>NSW</v>
          </cell>
          <cell r="G727" t="str">
            <v>Corporate</v>
          </cell>
          <cell r="H727" t="str">
            <v>Natasha Song</v>
          </cell>
          <cell r="I727" t="str">
            <v>Critical</v>
          </cell>
          <cell r="J727" t="str">
            <v>Binder Clips by OIC</v>
          </cell>
          <cell r="K727" t="str">
            <v>Office Supplies</v>
          </cell>
          <cell r="L727" t="str">
            <v>Wrap Bag</v>
          </cell>
          <cell r="M727" t="str">
            <v>Regular Air</v>
          </cell>
          <cell r="N727">
            <v>42264</v>
          </cell>
          <cell r="O727">
            <v>0.93</v>
          </cell>
          <cell r="P727">
            <v>1.48</v>
          </cell>
          <cell r="Q727">
            <v>1</v>
          </cell>
          <cell r="R727">
            <v>1.48</v>
          </cell>
          <cell r="S727">
            <v>0.01</v>
          </cell>
          <cell r="T727">
            <v>1.4800000000000001E-2</v>
          </cell>
          <cell r="U727">
            <v>1.47</v>
          </cell>
          <cell r="V727">
            <v>0.7</v>
          </cell>
          <cell r="W727">
            <v>2.17</v>
          </cell>
        </row>
        <row r="728">
          <cell r="A728" t="str">
            <v>6068-1</v>
          </cell>
          <cell r="B728">
            <v>42263</v>
          </cell>
          <cell r="C728" t="str">
            <v>Mitch Webber</v>
          </cell>
          <cell r="D728" t="str">
            <v>Hoyts Entertainment Quarter 122 Lang Road,Moore Park</v>
          </cell>
          <cell r="E728" t="str">
            <v>Sydney</v>
          </cell>
          <cell r="F728" t="str">
            <v>NSW</v>
          </cell>
          <cell r="G728" t="str">
            <v>Corporate</v>
          </cell>
          <cell r="H728" t="str">
            <v>Tina Carlton</v>
          </cell>
          <cell r="I728" t="str">
            <v>Low</v>
          </cell>
          <cell r="J728" t="str">
            <v>Apex Office Executive Series Stainless Steel Trimmers</v>
          </cell>
          <cell r="K728" t="str">
            <v>Office Supplies</v>
          </cell>
          <cell r="L728" t="str">
            <v>Small Pack</v>
          </cell>
          <cell r="M728" t="str">
            <v>Express Air</v>
          </cell>
          <cell r="N728">
            <v>42268</v>
          </cell>
          <cell r="O728">
            <v>3.51</v>
          </cell>
          <cell r="P728">
            <v>8.57</v>
          </cell>
          <cell r="Q728">
            <v>49</v>
          </cell>
          <cell r="R728">
            <v>419.93</v>
          </cell>
          <cell r="S728">
            <v>0.01</v>
          </cell>
          <cell r="T728">
            <v>4.1993</v>
          </cell>
          <cell r="U728">
            <v>419.92</v>
          </cell>
          <cell r="V728">
            <v>6.14</v>
          </cell>
          <cell r="W728">
            <v>426.06</v>
          </cell>
        </row>
        <row r="729">
          <cell r="A729" t="str">
            <v>6070-1</v>
          </cell>
          <cell r="B729">
            <v>42264</v>
          </cell>
          <cell r="C729" t="str">
            <v>Naresj Patel</v>
          </cell>
          <cell r="D729" t="str">
            <v>106 Ebley Street,Bondi Junction</v>
          </cell>
          <cell r="E729" t="str">
            <v>Sydney</v>
          </cell>
          <cell r="F729" t="str">
            <v>NSW</v>
          </cell>
          <cell r="G729" t="str">
            <v>Small Business</v>
          </cell>
          <cell r="H729" t="str">
            <v>Leighton Forrest</v>
          </cell>
          <cell r="I729" t="str">
            <v>Not Specified</v>
          </cell>
          <cell r="J729" t="str">
            <v>Smiths Gold Paper Clips</v>
          </cell>
          <cell r="K729" t="str">
            <v>Office Supplies</v>
          </cell>
          <cell r="L729" t="str">
            <v>Wrap Bag</v>
          </cell>
          <cell r="M729" t="str">
            <v>Regular Air</v>
          </cell>
          <cell r="N729">
            <v>42264</v>
          </cell>
          <cell r="O729">
            <v>1.82</v>
          </cell>
          <cell r="P729">
            <v>2.98</v>
          </cell>
          <cell r="Q729">
            <v>3</v>
          </cell>
          <cell r="R729">
            <v>8.94</v>
          </cell>
          <cell r="S729">
            <v>0.04</v>
          </cell>
          <cell r="T729">
            <v>0.35759999999999997</v>
          </cell>
          <cell r="U729">
            <v>8.9</v>
          </cell>
          <cell r="V729">
            <v>1.58</v>
          </cell>
          <cell r="W729">
            <v>10.48</v>
          </cell>
        </row>
        <row r="730">
          <cell r="A730" t="str">
            <v>6071-1</v>
          </cell>
          <cell r="B730">
            <v>42272</v>
          </cell>
          <cell r="C730" t="str">
            <v>Denise Leinenbach</v>
          </cell>
          <cell r="D730" t="str">
            <v>8 Rankins Lane ,Melbourne</v>
          </cell>
          <cell r="E730" t="str">
            <v>Melbourne</v>
          </cell>
          <cell r="F730" t="str">
            <v>VIC</v>
          </cell>
          <cell r="G730" t="str">
            <v>Home Office</v>
          </cell>
          <cell r="H730" t="str">
            <v>Connor Betts</v>
          </cell>
          <cell r="I730" t="str">
            <v>Not Specified</v>
          </cell>
          <cell r="J730" t="str">
            <v>Artisan Legal 4-Ring Binder</v>
          </cell>
          <cell r="K730" t="str">
            <v>Office Supplies</v>
          </cell>
          <cell r="L730" t="str">
            <v>Small Box</v>
          </cell>
          <cell r="M730" t="str">
            <v>Regular Air</v>
          </cell>
          <cell r="N730">
            <v>42273</v>
          </cell>
          <cell r="O730">
            <v>13.64</v>
          </cell>
          <cell r="P730">
            <v>20.98</v>
          </cell>
          <cell r="Q730">
            <v>10</v>
          </cell>
          <cell r="R730">
            <v>209.8</v>
          </cell>
          <cell r="S730">
            <v>0.06</v>
          </cell>
          <cell r="T730">
            <v>12.588000000000001</v>
          </cell>
          <cell r="U730">
            <v>209.74</v>
          </cell>
          <cell r="V730">
            <v>1.49</v>
          </cell>
          <cell r="W730">
            <v>211.23000000000002</v>
          </cell>
        </row>
        <row r="731">
          <cell r="A731" t="str">
            <v>6072-1</v>
          </cell>
          <cell r="B731">
            <v>42272</v>
          </cell>
          <cell r="C731" t="str">
            <v>Roy Phan</v>
          </cell>
          <cell r="D731" t="str">
            <v>506 Swan Street,Richmond</v>
          </cell>
          <cell r="E731" t="str">
            <v>Melbourne</v>
          </cell>
          <cell r="F731" t="str">
            <v>VIC</v>
          </cell>
          <cell r="G731" t="str">
            <v>Corporate</v>
          </cell>
          <cell r="H731" t="str">
            <v>Connor Betts</v>
          </cell>
          <cell r="I731" t="str">
            <v>Critical</v>
          </cell>
          <cell r="J731" t="str">
            <v>Self-Adhesive Ring Binder Labels</v>
          </cell>
          <cell r="K731" t="str">
            <v>Office Supplies</v>
          </cell>
          <cell r="L731" t="str">
            <v>Small Box</v>
          </cell>
          <cell r="M731" t="str">
            <v>Regular Air</v>
          </cell>
          <cell r="N731">
            <v>42274</v>
          </cell>
          <cell r="O731">
            <v>2.1800000000000002</v>
          </cell>
          <cell r="P731">
            <v>3.52</v>
          </cell>
          <cell r="Q731">
            <v>13</v>
          </cell>
          <cell r="R731">
            <v>45.76</v>
          </cell>
          <cell r="S731">
            <v>0.08</v>
          </cell>
          <cell r="T731">
            <v>3.6608000000000001</v>
          </cell>
          <cell r="U731">
            <v>45.68</v>
          </cell>
          <cell r="V731">
            <v>6.83</v>
          </cell>
          <cell r="W731">
            <v>52.51</v>
          </cell>
        </row>
        <row r="732">
          <cell r="A732" t="str">
            <v>6074-1</v>
          </cell>
          <cell r="B732">
            <v>42273</v>
          </cell>
          <cell r="C732" t="str">
            <v>Yana Sorensen</v>
          </cell>
          <cell r="D732" t="str">
            <v>53-55 Liverpool St,Sydney</v>
          </cell>
          <cell r="E732" t="str">
            <v>Sydney</v>
          </cell>
          <cell r="F732" t="str">
            <v>NSW</v>
          </cell>
          <cell r="G732" t="str">
            <v>Corporate</v>
          </cell>
          <cell r="H732" t="str">
            <v>Tina Carlton</v>
          </cell>
          <cell r="I732" t="str">
            <v>High</v>
          </cell>
          <cell r="J732" t="str">
            <v>3Max Organizer Strips</v>
          </cell>
          <cell r="K732" t="str">
            <v>Office Supplies</v>
          </cell>
          <cell r="L732" t="str">
            <v>Small Box</v>
          </cell>
          <cell r="M732" t="str">
            <v>Regular Air</v>
          </cell>
          <cell r="N732">
            <v>42275</v>
          </cell>
          <cell r="O732">
            <v>3.4</v>
          </cell>
          <cell r="P732">
            <v>5.4</v>
          </cell>
          <cell r="Q732">
            <v>10</v>
          </cell>
          <cell r="R732">
            <v>54</v>
          </cell>
          <cell r="S732">
            <v>0.04</v>
          </cell>
          <cell r="T732">
            <v>2.16</v>
          </cell>
          <cell r="U732">
            <v>53.96</v>
          </cell>
          <cell r="V732">
            <v>7.78</v>
          </cell>
          <cell r="W732">
            <v>61.74</v>
          </cell>
        </row>
        <row r="733">
          <cell r="A733" t="str">
            <v>6076-1</v>
          </cell>
          <cell r="B733">
            <v>42274</v>
          </cell>
          <cell r="C733" t="str">
            <v>Anthony Johnson</v>
          </cell>
          <cell r="D733" t="str">
            <v>53-55 Liverpool St,Sydney</v>
          </cell>
          <cell r="E733" t="str">
            <v>Sydney</v>
          </cell>
          <cell r="F733" t="str">
            <v>NSW</v>
          </cell>
          <cell r="G733" t="str">
            <v>Small Business</v>
          </cell>
          <cell r="H733" t="str">
            <v>Tina Carlton</v>
          </cell>
          <cell r="I733" t="str">
            <v>Not Specified</v>
          </cell>
          <cell r="J733" t="str">
            <v>Xit Blank Computer Paper</v>
          </cell>
          <cell r="K733" t="str">
            <v>Office Supplies</v>
          </cell>
          <cell r="L733" t="str">
            <v>Small Box</v>
          </cell>
          <cell r="M733" t="str">
            <v>Regular Air</v>
          </cell>
          <cell r="N733">
            <v>42276</v>
          </cell>
          <cell r="O733">
            <v>12.39</v>
          </cell>
          <cell r="P733">
            <v>19.98</v>
          </cell>
          <cell r="Q733">
            <v>20</v>
          </cell>
          <cell r="R733">
            <v>399.6</v>
          </cell>
          <cell r="S733">
            <v>0.05</v>
          </cell>
          <cell r="T733">
            <v>19.980000000000004</v>
          </cell>
          <cell r="U733">
            <v>399.55</v>
          </cell>
          <cell r="V733">
            <v>5.77</v>
          </cell>
          <cell r="W733">
            <v>405.32</v>
          </cell>
        </row>
        <row r="734">
          <cell r="A734" t="str">
            <v>6077-1</v>
          </cell>
          <cell r="B734">
            <v>42274</v>
          </cell>
          <cell r="C734" t="str">
            <v>Brad Norvell</v>
          </cell>
          <cell r="D734" t="str">
            <v>120 Hardware St,Melbourne</v>
          </cell>
          <cell r="E734" t="str">
            <v>Melbourne</v>
          </cell>
          <cell r="F734" t="str">
            <v>VIC</v>
          </cell>
          <cell r="G734" t="str">
            <v>Corporate</v>
          </cell>
          <cell r="H734" t="str">
            <v>Yvette Biti</v>
          </cell>
          <cell r="I734" t="str">
            <v>Low</v>
          </cell>
          <cell r="J734" t="str">
            <v>Xit Blank Computer Paper</v>
          </cell>
          <cell r="K734" t="str">
            <v>Office Supplies</v>
          </cell>
          <cell r="L734" t="str">
            <v>Small Box</v>
          </cell>
          <cell r="M734" t="str">
            <v>Regular Air</v>
          </cell>
          <cell r="N734">
            <v>42274</v>
          </cell>
          <cell r="O734">
            <v>12.39</v>
          </cell>
          <cell r="P734">
            <v>19.98</v>
          </cell>
          <cell r="Q734">
            <v>34</v>
          </cell>
          <cell r="R734">
            <v>679.32</v>
          </cell>
          <cell r="S734">
            <v>0.06</v>
          </cell>
          <cell r="T734">
            <v>40.7592</v>
          </cell>
          <cell r="U734">
            <v>679.2600000000001</v>
          </cell>
          <cell r="V734">
            <v>5.77</v>
          </cell>
          <cell r="W734">
            <v>685.03000000000009</v>
          </cell>
        </row>
        <row r="735">
          <cell r="A735" t="str">
            <v>6079-1</v>
          </cell>
          <cell r="B735">
            <v>42275</v>
          </cell>
          <cell r="C735" t="str">
            <v>Maria Bertelson</v>
          </cell>
          <cell r="D735" t="str">
            <v>188 Pitt Street,Sydney</v>
          </cell>
          <cell r="E735" t="str">
            <v>Sydney</v>
          </cell>
          <cell r="F735" t="str">
            <v>NSW</v>
          </cell>
          <cell r="G735" t="str">
            <v>Home Office</v>
          </cell>
          <cell r="H735" t="str">
            <v>Tina Carlton</v>
          </cell>
          <cell r="I735" t="str">
            <v>Not Specified</v>
          </cell>
          <cell r="J735" t="str">
            <v>Steady Major Accent Highlighters</v>
          </cell>
          <cell r="K735" t="str">
            <v>Office Supplies</v>
          </cell>
          <cell r="L735" t="str">
            <v>Wrap Bag</v>
          </cell>
          <cell r="M735" t="str">
            <v>Regular Air</v>
          </cell>
          <cell r="N735">
            <v>42277</v>
          </cell>
          <cell r="O735">
            <v>3.75</v>
          </cell>
          <cell r="P735">
            <v>7.08</v>
          </cell>
          <cell r="Q735">
            <v>37</v>
          </cell>
          <cell r="R735">
            <v>261.95999999999998</v>
          </cell>
          <cell r="S735">
            <v>0.08</v>
          </cell>
          <cell r="T735">
            <v>20.956799999999998</v>
          </cell>
          <cell r="U735">
            <v>261.88</v>
          </cell>
          <cell r="V735">
            <v>2.35</v>
          </cell>
          <cell r="W735">
            <v>264.23</v>
          </cell>
        </row>
        <row r="736">
          <cell r="A736" t="str">
            <v>6081-1</v>
          </cell>
          <cell r="B736">
            <v>42276</v>
          </cell>
          <cell r="C736" t="str">
            <v>Michael Oakman</v>
          </cell>
          <cell r="D736" t="str">
            <v>8 Rankins Lane ,Melbourne</v>
          </cell>
          <cell r="E736" t="str">
            <v>Melbourne</v>
          </cell>
          <cell r="F736" t="str">
            <v>VIC</v>
          </cell>
          <cell r="G736" t="str">
            <v>Small Business</v>
          </cell>
          <cell r="H736" t="str">
            <v>Connor Betts</v>
          </cell>
          <cell r="I736" t="str">
            <v>Medium</v>
          </cell>
          <cell r="J736" t="str">
            <v>Binder Posts</v>
          </cell>
          <cell r="K736" t="str">
            <v>Office Supplies</v>
          </cell>
          <cell r="L736" t="str">
            <v>Small Box</v>
          </cell>
          <cell r="M736" t="str">
            <v>Express Air</v>
          </cell>
          <cell r="N736">
            <v>42277</v>
          </cell>
          <cell r="O736">
            <v>3.5</v>
          </cell>
          <cell r="P736">
            <v>5.74</v>
          </cell>
          <cell r="Q736">
            <v>26</v>
          </cell>
          <cell r="R736">
            <v>149.24</v>
          </cell>
          <cell r="S736">
            <v>0.03</v>
          </cell>
          <cell r="T736">
            <v>4.4771999999999998</v>
          </cell>
          <cell r="U736">
            <v>149.21</v>
          </cell>
          <cell r="V736">
            <v>5.01</v>
          </cell>
          <cell r="W736">
            <v>154.22</v>
          </cell>
        </row>
        <row r="737">
          <cell r="A737" t="str">
            <v>6083-1</v>
          </cell>
          <cell r="B737">
            <v>42278</v>
          </cell>
          <cell r="C737" t="str">
            <v>Damala Kotsonis</v>
          </cell>
          <cell r="D737" t="str">
            <v>Macquarie Centre Cnr Herring Road &amp; Waterloo Road,Macquarie Park</v>
          </cell>
          <cell r="E737" t="str">
            <v>Sydney</v>
          </cell>
          <cell r="F737" t="str">
            <v>NSW</v>
          </cell>
          <cell r="G737" t="str">
            <v>Corporate</v>
          </cell>
          <cell r="H737" t="str">
            <v>Nicholas Fernandes</v>
          </cell>
          <cell r="I737" t="str">
            <v>Low</v>
          </cell>
          <cell r="J737" t="str">
            <v>Artisan Hi-Liter Comfort Grip Fluorescent Highlighter, Yellow Ink</v>
          </cell>
          <cell r="K737" t="str">
            <v>Office Supplies</v>
          </cell>
          <cell r="L737" t="str">
            <v>Wrap Bag</v>
          </cell>
          <cell r="M737" t="str">
            <v>Regular Air</v>
          </cell>
          <cell r="N737">
            <v>42287</v>
          </cell>
          <cell r="O737">
            <v>1.05</v>
          </cell>
          <cell r="P737">
            <v>1.95</v>
          </cell>
          <cell r="Q737">
            <v>4</v>
          </cell>
          <cell r="R737">
            <v>7.8</v>
          </cell>
          <cell r="S737">
            <v>0.09</v>
          </cell>
          <cell r="T737">
            <v>0.70199999999999996</v>
          </cell>
          <cell r="U737">
            <v>7.71</v>
          </cell>
          <cell r="V737">
            <v>1.63</v>
          </cell>
          <cell r="W737">
            <v>9.34</v>
          </cell>
        </row>
        <row r="738">
          <cell r="A738" t="str">
            <v>6085-1</v>
          </cell>
          <cell r="B738">
            <v>42286</v>
          </cell>
          <cell r="C738" t="str">
            <v>Janet Lee</v>
          </cell>
          <cell r="D738" t="str">
            <v>Hoyts Entertainment Quarter 122 Lang Road,Moore Park</v>
          </cell>
          <cell r="E738" t="str">
            <v>Sydney</v>
          </cell>
          <cell r="F738" t="str">
            <v>NSW</v>
          </cell>
          <cell r="G738" t="str">
            <v>Consumer</v>
          </cell>
          <cell r="H738" t="str">
            <v>Tina Carlton</v>
          </cell>
          <cell r="I738" t="str">
            <v>High</v>
          </cell>
          <cell r="J738" t="str">
            <v>Emerson Stylus 1520 Color Inkjet Printer</v>
          </cell>
          <cell r="K738" t="str">
            <v>Technology</v>
          </cell>
          <cell r="L738" t="str">
            <v>Jumbo Drum</v>
          </cell>
          <cell r="M738" t="str">
            <v>Delivery Truck</v>
          </cell>
          <cell r="N738">
            <v>42288</v>
          </cell>
          <cell r="O738">
            <v>315.61</v>
          </cell>
          <cell r="P738">
            <v>500.97</v>
          </cell>
          <cell r="Q738">
            <v>25</v>
          </cell>
          <cell r="R738">
            <v>12524.25</v>
          </cell>
          <cell r="S738">
            <v>0.02</v>
          </cell>
          <cell r="T738">
            <v>250.48500000000001</v>
          </cell>
          <cell r="U738">
            <v>12524.23</v>
          </cell>
          <cell r="V738">
            <v>69.3</v>
          </cell>
          <cell r="W738">
            <v>12593.529999999999</v>
          </cell>
        </row>
        <row r="739">
          <cell r="A739" t="str">
            <v>6086-1</v>
          </cell>
          <cell r="B739">
            <v>42289</v>
          </cell>
          <cell r="C739" t="str">
            <v>Bobby Trafton</v>
          </cell>
          <cell r="D739" t="str">
            <v>85-113 Dunning Ave,Rosebery</v>
          </cell>
          <cell r="E739" t="str">
            <v>Sydney</v>
          </cell>
          <cell r="F739" t="str">
            <v>NSW</v>
          </cell>
          <cell r="G739" t="str">
            <v>Corporate</v>
          </cell>
          <cell r="H739" t="str">
            <v>Mihael Khan</v>
          </cell>
          <cell r="I739" t="str">
            <v>High</v>
          </cell>
          <cell r="J739" t="str">
            <v>Smiths General Use 3-Ring Binders</v>
          </cell>
          <cell r="K739" t="str">
            <v>Office Supplies</v>
          </cell>
          <cell r="L739" t="str">
            <v>Small Box</v>
          </cell>
          <cell r="M739" t="str">
            <v>Regular Air</v>
          </cell>
          <cell r="N739">
            <v>42291</v>
          </cell>
          <cell r="O739">
            <v>1.18</v>
          </cell>
          <cell r="P739">
            <v>1.88</v>
          </cell>
          <cell r="Q739">
            <v>29</v>
          </cell>
          <cell r="R739">
            <v>54.519999999999996</v>
          </cell>
          <cell r="S739">
            <v>0.1</v>
          </cell>
          <cell r="T739">
            <v>5.452</v>
          </cell>
          <cell r="U739">
            <v>54.419999999999995</v>
          </cell>
          <cell r="V739">
            <v>1.49</v>
          </cell>
          <cell r="W739">
            <v>55.91</v>
          </cell>
        </row>
        <row r="740">
          <cell r="A740" t="str">
            <v>6088-1</v>
          </cell>
          <cell r="B740">
            <v>42290</v>
          </cell>
          <cell r="C740" t="str">
            <v>Clytie Kelty</v>
          </cell>
          <cell r="D740" t="str">
            <v>8 Khartoum Rd,Macquarie Park</v>
          </cell>
          <cell r="E740" t="str">
            <v>Sydney</v>
          </cell>
          <cell r="F740" t="str">
            <v>NSW</v>
          </cell>
          <cell r="G740" t="str">
            <v>Small Business</v>
          </cell>
          <cell r="H740" t="str">
            <v>Radhya Staples</v>
          </cell>
          <cell r="I740" t="str">
            <v>Low</v>
          </cell>
          <cell r="J740" t="str">
            <v>Cando PC940 Copier</v>
          </cell>
          <cell r="K740" t="str">
            <v>Technology</v>
          </cell>
          <cell r="L740" t="str">
            <v>Jumbo Drum</v>
          </cell>
          <cell r="M740" t="str">
            <v>Delivery Truck</v>
          </cell>
          <cell r="N740">
            <v>42292</v>
          </cell>
          <cell r="O740">
            <v>278.99</v>
          </cell>
          <cell r="P740">
            <v>449.99</v>
          </cell>
          <cell r="Q740">
            <v>47</v>
          </cell>
          <cell r="R740">
            <v>21149.53</v>
          </cell>
          <cell r="S740">
            <v>0.02</v>
          </cell>
          <cell r="T740">
            <v>422.99059999999997</v>
          </cell>
          <cell r="U740">
            <v>21149.51</v>
          </cell>
          <cell r="V740">
            <v>49</v>
          </cell>
          <cell r="W740">
            <v>21198.51</v>
          </cell>
        </row>
        <row r="741">
          <cell r="A741" t="str">
            <v>6090-1</v>
          </cell>
          <cell r="B741">
            <v>42292</v>
          </cell>
          <cell r="C741" t="str">
            <v>Barbara Fisher</v>
          </cell>
          <cell r="D741" t="str">
            <v>180 High Street,Windsor</v>
          </cell>
          <cell r="E741" t="str">
            <v>Melbourne</v>
          </cell>
          <cell r="F741" t="str">
            <v>VIC</v>
          </cell>
          <cell r="G741" t="str">
            <v>Small Business</v>
          </cell>
          <cell r="H741" t="str">
            <v>Connor Betts</v>
          </cell>
          <cell r="I741" t="str">
            <v>Critical</v>
          </cell>
          <cell r="J741" t="str">
            <v>3Max Organizer Strips</v>
          </cell>
          <cell r="K741" t="str">
            <v>Office Supplies</v>
          </cell>
          <cell r="L741" t="str">
            <v>Small Box</v>
          </cell>
          <cell r="M741" t="str">
            <v>Regular Air</v>
          </cell>
          <cell r="N741">
            <v>42293</v>
          </cell>
          <cell r="O741">
            <v>3.4</v>
          </cell>
          <cell r="P741">
            <v>5.4</v>
          </cell>
          <cell r="Q741">
            <v>8</v>
          </cell>
          <cell r="R741">
            <v>43.2</v>
          </cell>
          <cell r="S741">
            <v>0</v>
          </cell>
          <cell r="T741">
            <v>0</v>
          </cell>
          <cell r="U741">
            <v>43.2</v>
          </cell>
          <cell r="V741">
            <v>7.78</v>
          </cell>
          <cell r="W741">
            <v>50.980000000000004</v>
          </cell>
        </row>
        <row r="742">
          <cell r="A742" t="str">
            <v>6094-1</v>
          </cell>
          <cell r="B742">
            <v>42297</v>
          </cell>
          <cell r="C742" t="str">
            <v>Eva Jacobs</v>
          </cell>
          <cell r="D742" t="str">
            <v>Westfield 1 Anderson St,Chatswood</v>
          </cell>
          <cell r="E742" t="str">
            <v>Sydney</v>
          </cell>
          <cell r="F742" t="str">
            <v>NSW</v>
          </cell>
          <cell r="G742" t="str">
            <v>Home Office</v>
          </cell>
          <cell r="H742" t="str">
            <v>Nicholas Fernandes</v>
          </cell>
          <cell r="I742" t="str">
            <v>Low</v>
          </cell>
          <cell r="J742" t="str">
            <v>Artisan Reinforcements for Hole-Punch Pages</v>
          </cell>
          <cell r="K742" t="str">
            <v>Office Supplies</v>
          </cell>
          <cell r="L742" t="str">
            <v>Small Box</v>
          </cell>
          <cell r="M742" t="str">
            <v>Regular Air</v>
          </cell>
          <cell r="N742">
            <v>42301</v>
          </cell>
          <cell r="O742">
            <v>1.19</v>
          </cell>
          <cell r="P742">
            <v>1.98</v>
          </cell>
          <cell r="Q742">
            <v>4</v>
          </cell>
          <cell r="R742">
            <v>7.92</v>
          </cell>
          <cell r="S742">
            <v>0.08</v>
          </cell>
          <cell r="T742">
            <v>0.63360000000000005</v>
          </cell>
          <cell r="U742">
            <v>7.84</v>
          </cell>
          <cell r="V742">
            <v>4.7699999999999996</v>
          </cell>
          <cell r="W742">
            <v>12.61</v>
          </cell>
        </row>
        <row r="743">
          <cell r="A743" t="str">
            <v>6095-1</v>
          </cell>
          <cell r="B743">
            <v>42298</v>
          </cell>
          <cell r="C743" t="str">
            <v>Kelly Lampkin</v>
          </cell>
          <cell r="D743" t="str">
            <v>310 Wattle St,Ultimo</v>
          </cell>
          <cell r="E743" t="str">
            <v>Sydney</v>
          </cell>
          <cell r="F743" t="str">
            <v>NSW</v>
          </cell>
          <cell r="G743" t="str">
            <v>Home Office</v>
          </cell>
          <cell r="H743" t="str">
            <v>Aanya Zhang</v>
          </cell>
          <cell r="I743" t="str">
            <v>Medium</v>
          </cell>
          <cell r="J743" t="str">
            <v>OIC Bulk Pack Metal Binder Clips</v>
          </cell>
          <cell r="K743" t="str">
            <v>Office Supplies</v>
          </cell>
          <cell r="L743" t="str">
            <v>Wrap Bag</v>
          </cell>
          <cell r="M743" t="str">
            <v>Express Air</v>
          </cell>
          <cell r="N743">
            <v>42300</v>
          </cell>
          <cell r="O743">
            <v>2.13</v>
          </cell>
          <cell r="P743">
            <v>3.49</v>
          </cell>
          <cell r="Q743">
            <v>3</v>
          </cell>
          <cell r="R743">
            <v>10.47</v>
          </cell>
          <cell r="S743">
            <v>0.01</v>
          </cell>
          <cell r="T743">
            <v>0.10470000000000002</v>
          </cell>
          <cell r="U743">
            <v>10.46</v>
          </cell>
          <cell r="V743">
            <v>0.76</v>
          </cell>
          <cell r="W743">
            <v>11.22</v>
          </cell>
        </row>
        <row r="744">
          <cell r="A744" t="str">
            <v>6096-1</v>
          </cell>
          <cell r="B744">
            <v>42298</v>
          </cell>
          <cell r="C744" t="str">
            <v>Sung Shariari</v>
          </cell>
          <cell r="D744" t="str">
            <v>6/15 Cross Street,Double Bay</v>
          </cell>
          <cell r="E744" t="str">
            <v>Sydney</v>
          </cell>
          <cell r="F744" t="str">
            <v>NSW</v>
          </cell>
          <cell r="G744" t="str">
            <v>Corporate</v>
          </cell>
          <cell r="H744" t="str">
            <v>Leighton Forrest</v>
          </cell>
          <cell r="I744" t="str">
            <v>High</v>
          </cell>
          <cell r="J744" t="str">
            <v>Smiths General Use 3-Ring Binders</v>
          </cell>
          <cell r="K744" t="str">
            <v>Office Supplies</v>
          </cell>
          <cell r="L744" t="str">
            <v>Small Box</v>
          </cell>
          <cell r="M744" t="str">
            <v>Regular Air</v>
          </cell>
          <cell r="N744">
            <v>42300</v>
          </cell>
          <cell r="O744">
            <v>1.18</v>
          </cell>
          <cell r="P744">
            <v>1.88</v>
          </cell>
          <cell r="Q744">
            <v>6</v>
          </cell>
          <cell r="R744">
            <v>11.28</v>
          </cell>
          <cell r="S744">
            <v>7.0000000000000007E-2</v>
          </cell>
          <cell r="T744">
            <v>0.78960000000000008</v>
          </cell>
          <cell r="U744">
            <v>11.209999999999999</v>
          </cell>
          <cell r="V744">
            <v>1.49</v>
          </cell>
          <cell r="W744">
            <v>12.7</v>
          </cell>
        </row>
        <row r="745">
          <cell r="A745" t="str">
            <v>6098-1</v>
          </cell>
          <cell r="B745">
            <v>42301</v>
          </cell>
          <cell r="C745" t="str">
            <v>Annie Thurman</v>
          </cell>
          <cell r="D745" t="str">
            <v>499-501 Lygon Street,Carlton North</v>
          </cell>
          <cell r="E745" t="str">
            <v>Melbourne</v>
          </cell>
          <cell r="F745" t="str">
            <v>VIC</v>
          </cell>
          <cell r="G745" t="str">
            <v>Consumer</v>
          </cell>
          <cell r="H745" t="str">
            <v>Yvette Biti</v>
          </cell>
          <cell r="I745" t="str">
            <v>Critical</v>
          </cell>
          <cell r="J745" t="str">
            <v>Angle-D Binders with Locking Rings, Label Holders</v>
          </cell>
          <cell r="K745" t="str">
            <v>Office Supplies</v>
          </cell>
          <cell r="L745" t="str">
            <v>Small Box</v>
          </cell>
          <cell r="M745" t="str">
            <v>Regular Air</v>
          </cell>
          <cell r="N745">
            <v>42303</v>
          </cell>
          <cell r="O745">
            <v>4.53</v>
          </cell>
          <cell r="P745">
            <v>7.3</v>
          </cell>
          <cell r="Q745">
            <v>34</v>
          </cell>
          <cell r="R745">
            <v>248.2</v>
          </cell>
          <cell r="S745">
            <v>0.03</v>
          </cell>
          <cell r="T745">
            <v>7.4459999999999997</v>
          </cell>
          <cell r="U745">
            <v>248.17</v>
          </cell>
          <cell r="V745">
            <v>7.72</v>
          </cell>
          <cell r="W745">
            <v>255.89</v>
          </cell>
        </row>
        <row r="746">
          <cell r="A746" t="str">
            <v>6099-1</v>
          </cell>
          <cell r="B746">
            <v>42301</v>
          </cell>
          <cell r="C746" t="str">
            <v>Shahid Hopkins</v>
          </cell>
          <cell r="D746" t="str">
            <v>438 Victoria Avenue,Chatswood</v>
          </cell>
          <cell r="E746" t="str">
            <v>Sydney</v>
          </cell>
          <cell r="F746" t="str">
            <v>NSW</v>
          </cell>
          <cell r="G746" t="str">
            <v>Small Business</v>
          </cell>
          <cell r="H746" t="str">
            <v>Natasha Song</v>
          </cell>
          <cell r="I746" t="str">
            <v>High</v>
          </cell>
          <cell r="J746" t="str">
            <v>Colored Envelopes</v>
          </cell>
          <cell r="K746" t="str">
            <v>Office Supplies</v>
          </cell>
          <cell r="L746" t="str">
            <v>Small Box</v>
          </cell>
          <cell r="M746" t="str">
            <v>Regular Air</v>
          </cell>
          <cell r="N746">
            <v>42303</v>
          </cell>
          <cell r="O746">
            <v>2.25</v>
          </cell>
          <cell r="P746">
            <v>3.69</v>
          </cell>
          <cell r="Q746">
            <v>47</v>
          </cell>
          <cell r="R746">
            <v>173.43</v>
          </cell>
          <cell r="S746">
            <v>0</v>
          </cell>
          <cell r="T746">
            <v>0</v>
          </cell>
          <cell r="U746">
            <v>173.43</v>
          </cell>
          <cell r="V746">
            <v>2.5</v>
          </cell>
          <cell r="W746">
            <v>175.93</v>
          </cell>
        </row>
        <row r="747">
          <cell r="A747" t="str">
            <v>6100-1</v>
          </cell>
          <cell r="B747">
            <v>42305</v>
          </cell>
          <cell r="C747" t="str">
            <v>William Brown</v>
          </cell>
          <cell r="D747" t="str">
            <v>3 Carrington Road ,Box Hill</v>
          </cell>
          <cell r="E747" t="str">
            <v>Melbourne</v>
          </cell>
          <cell r="F747" t="str">
            <v>VIC</v>
          </cell>
          <cell r="G747" t="str">
            <v>Corporate</v>
          </cell>
          <cell r="H747" t="str">
            <v>Yvette Biti</v>
          </cell>
          <cell r="I747" t="str">
            <v>Not Specified</v>
          </cell>
          <cell r="J747" t="str">
            <v>HFX 6S Scientific Calculator</v>
          </cell>
          <cell r="K747" t="str">
            <v>Technology</v>
          </cell>
          <cell r="L747" t="str">
            <v>Medium Box</v>
          </cell>
          <cell r="M747" t="str">
            <v>Regular Air</v>
          </cell>
          <cell r="N747">
            <v>42307</v>
          </cell>
          <cell r="O747">
            <v>7.92</v>
          </cell>
          <cell r="P747">
            <v>12.99</v>
          </cell>
          <cell r="Q747">
            <v>46</v>
          </cell>
          <cell r="R747">
            <v>597.54</v>
          </cell>
          <cell r="S747">
            <v>0.01</v>
          </cell>
          <cell r="T747">
            <v>5.9753999999999996</v>
          </cell>
          <cell r="U747">
            <v>597.53</v>
          </cell>
          <cell r="V747">
            <v>9.44</v>
          </cell>
          <cell r="W747">
            <v>606.97</v>
          </cell>
        </row>
        <row r="748">
          <cell r="A748" t="str">
            <v>6102-1</v>
          </cell>
          <cell r="B748">
            <v>42308</v>
          </cell>
          <cell r="C748" t="str">
            <v>Gary Zandusky</v>
          </cell>
          <cell r="D748" t="str">
            <v>Shop 1, 186-190 Church Street,Parramatta;46a Macleay Street,Potts Point</v>
          </cell>
          <cell r="E748" t="str">
            <v>Sydney</v>
          </cell>
          <cell r="F748" t="str">
            <v>NSW</v>
          </cell>
          <cell r="G748" t="str">
            <v>Home Office</v>
          </cell>
          <cell r="H748" t="str">
            <v>Mihael Khan</v>
          </cell>
          <cell r="I748" t="str">
            <v>High</v>
          </cell>
          <cell r="J748" t="str">
            <v>Deluxe Rollaway Locking File with Drawer</v>
          </cell>
          <cell r="K748" t="str">
            <v>Office Supplies</v>
          </cell>
          <cell r="L748" t="str">
            <v>Small Box</v>
          </cell>
          <cell r="M748" t="str">
            <v>Regular Air</v>
          </cell>
          <cell r="N748">
            <v>42308</v>
          </cell>
          <cell r="O748">
            <v>178.83</v>
          </cell>
          <cell r="P748">
            <v>415.88</v>
          </cell>
          <cell r="Q748">
            <v>21</v>
          </cell>
          <cell r="R748">
            <v>8733.48</v>
          </cell>
          <cell r="S748">
            <v>0.09</v>
          </cell>
          <cell r="T748">
            <v>786.01319999999998</v>
          </cell>
          <cell r="U748">
            <v>8733.39</v>
          </cell>
          <cell r="V748">
            <v>11.37</v>
          </cell>
          <cell r="W748">
            <v>8744.76</v>
          </cell>
        </row>
        <row r="749">
          <cell r="A749" t="str">
            <v>6103-1</v>
          </cell>
          <cell r="B749">
            <v>42308</v>
          </cell>
          <cell r="C749" t="str">
            <v>Tamara Manning</v>
          </cell>
          <cell r="D749" t="str">
            <v>184 King Street,Newtown</v>
          </cell>
          <cell r="E749" t="str">
            <v>Sydney</v>
          </cell>
          <cell r="F749" t="str">
            <v>NSW</v>
          </cell>
          <cell r="G749" t="str">
            <v>Corporate</v>
          </cell>
          <cell r="H749" t="str">
            <v>Charlie Bui</v>
          </cell>
          <cell r="I749" t="str">
            <v>High</v>
          </cell>
          <cell r="J749" t="str">
            <v>UGen Ultra Professional Cordless Optical Suite</v>
          </cell>
          <cell r="K749" t="str">
            <v>Technology</v>
          </cell>
          <cell r="L749" t="str">
            <v>Small Box</v>
          </cell>
          <cell r="M749" t="str">
            <v>Regular Air</v>
          </cell>
          <cell r="N749">
            <v>42309</v>
          </cell>
          <cell r="O749">
            <v>156.5</v>
          </cell>
          <cell r="P749">
            <v>300.97000000000003</v>
          </cell>
          <cell r="Q749">
            <v>23</v>
          </cell>
          <cell r="R749">
            <v>6922.31</v>
          </cell>
          <cell r="S749">
            <v>0.06</v>
          </cell>
          <cell r="T749">
            <v>415.33859999999999</v>
          </cell>
          <cell r="U749">
            <v>6922.25</v>
          </cell>
          <cell r="V749">
            <v>7.18</v>
          </cell>
          <cell r="W749">
            <v>6929.43</v>
          </cell>
        </row>
        <row r="750">
          <cell r="A750" t="str">
            <v>6108-1</v>
          </cell>
          <cell r="B750">
            <v>42314</v>
          </cell>
          <cell r="C750" t="str">
            <v>Vivek Grady</v>
          </cell>
          <cell r="D750" t="str">
            <v>99 Lygon Street,East Brunswick</v>
          </cell>
          <cell r="E750" t="str">
            <v>Melbourne</v>
          </cell>
          <cell r="F750" t="str">
            <v>VIC</v>
          </cell>
          <cell r="G750" t="str">
            <v>Corporate</v>
          </cell>
          <cell r="H750" t="str">
            <v>Connor Betts</v>
          </cell>
          <cell r="I750" t="str">
            <v>High</v>
          </cell>
          <cell r="J750" t="str">
            <v>TechSavi Cordless Access Keyboard</v>
          </cell>
          <cell r="K750" t="str">
            <v>Technology</v>
          </cell>
          <cell r="L750" t="str">
            <v>Small Box</v>
          </cell>
          <cell r="M750" t="str">
            <v>Express Air</v>
          </cell>
          <cell r="N750">
            <v>42314</v>
          </cell>
          <cell r="O750">
            <v>14.7</v>
          </cell>
          <cell r="P750">
            <v>29.99</v>
          </cell>
          <cell r="Q750">
            <v>20</v>
          </cell>
          <cell r="R750">
            <v>599.79999999999995</v>
          </cell>
          <cell r="S750">
            <v>0.04</v>
          </cell>
          <cell r="T750">
            <v>23.991999999999997</v>
          </cell>
          <cell r="U750">
            <v>599.76</v>
          </cell>
          <cell r="V750">
            <v>5.5</v>
          </cell>
          <cell r="W750">
            <v>605.26</v>
          </cell>
        </row>
        <row r="751">
          <cell r="A751" t="str">
            <v>6109-1</v>
          </cell>
          <cell r="B751">
            <v>42314</v>
          </cell>
          <cell r="C751" t="str">
            <v>Mitch Gastineau</v>
          </cell>
          <cell r="D751" t="str">
            <v>85-113 Dunning Ave,Rosebery</v>
          </cell>
          <cell r="E751" t="str">
            <v>Sydney</v>
          </cell>
          <cell r="F751" t="str">
            <v>NSW</v>
          </cell>
          <cell r="G751" t="str">
            <v>Small Business</v>
          </cell>
          <cell r="H751" t="str">
            <v>Mihael Khan</v>
          </cell>
          <cell r="I751" t="str">
            <v>Low</v>
          </cell>
          <cell r="J751" t="str">
            <v>TypeRight Side-Opening Peel &amp; Seel Expanding Envelopes</v>
          </cell>
          <cell r="K751" t="str">
            <v>Office Supplies</v>
          </cell>
          <cell r="L751" t="str">
            <v>Small Box</v>
          </cell>
          <cell r="M751" t="str">
            <v>Regular Air</v>
          </cell>
          <cell r="N751">
            <v>42321</v>
          </cell>
          <cell r="O751">
            <v>54.29</v>
          </cell>
          <cell r="P751">
            <v>90.48</v>
          </cell>
          <cell r="Q751">
            <v>49</v>
          </cell>
          <cell r="R751">
            <v>4433.5200000000004</v>
          </cell>
          <cell r="S751">
            <v>0.05</v>
          </cell>
          <cell r="T751">
            <v>221.67600000000004</v>
          </cell>
          <cell r="U751">
            <v>4433.47</v>
          </cell>
          <cell r="V751">
            <v>19.989999999999998</v>
          </cell>
          <cell r="W751">
            <v>4453.46</v>
          </cell>
        </row>
        <row r="752">
          <cell r="A752" t="str">
            <v>6110-1</v>
          </cell>
          <cell r="B752">
            <v>42315</v>
          </cell>
          <cell r="C752" t="str">
            <v>Cindy Schnelling</v>
          </cell>
          <cell r="D752" t="str">
            <v>240-242 Johnston Street,Fitzroy</v>
          </cell>
          <cell r="E752" t="str">
            <v>Melbourne</v>
          </cell>
          <cell r="F752" t="str">
            <v>VIC</v>
          </cell>
          <cell r="G752" t="str">
            <v>Corporate</v>
          </cell>
          <cell r="H752" t="str">
            <v>Connor Betts</v>
          </cell>
          <cell r="I752" t="str">
            <v>Critical</v>
          </cell>
          <cell r="J752" t="str">
            <v>Steady Liquid Accent Highlighters</v>
          </cell>
          <cell r="K752" t="str">
            <v>Office Supplies</v>
          </cell>
          <cell r="L752" t="str">
            <v>Wrap Bag</v>
          </cell>
          <cell r="M752" t="str">
            <v>Regular Air</v>
          </cell>
          <cell r="N752">
            <v>42316</v>
          </cell>
          <cell r="O752">
            <v>3.47</v>
          </cell>
          <cell r="P752">
            <v>6.68</v>
          </cell>
          <cell r="Q752">
            <v>12</v>
          </cell>
          <cell r="R752">
            <v>80.16</v>
          </cell>
          <cell r="S752">
            <v>0.06</v>
          </cell>
          <cell r="T752">
            <v>4.8095999999999997</v>
          </cell>
          <cell r="U752">
            <v>80.099999999999994</v>
          </cell>
          <cell r="V752">
            <v>1.5</v>
          </cell>
          <cell r="W752">
            <v>81.599999999999994</v>
          </cell>
        </row>
        <row r="753">
          <cell r="A753" t="str">
            <v>6112-1</v>
          </cell>
          <cell r="B753">
            <v>42318</v>
          </cell>
          <cell r="C753" t="str">
            <v>Peter Fuller</v>
          </cell>
          <cell r="D753" t="str">
            <v>Westfield Miranda, 600 Kingsway,Miranda</v>
          </cell>
          <cell r="E753" t="str">
            <v>Sydney</v>
          </cell>
          <cell r="F753" t="str">
            <v>NSW</v>
          </cell>
          <cell r="G753" t="str">
            <v>Corporate</v>
          </cell>
          <cell r="H753" t="str">
            <v>Preston Senome</v>
          </cell>
          <cell r="I753" t="str">
            <v>Low</v>
          </cell>
          <cell r="J753" t="str">
            <v>Binder Clips by OIC</v>
          </cell>
          <cell r="K753" t="str">
            <v>Office Supplies</v>
          </cell>
          <cell r="L753" t="str">
            <v>Wrap Bag</v>
          </cell>
          <cell r="M753" t="str">
            <v>Regular Air</v>
          </cell>
          <cell r="N753">
            <v>42322</v>
          </cell>
          <cell r="O753">
            <v>0.93</v>
          </cell>
          <cell r="P753">
            <v>1.48</v>
          </cell>
          <cell r="Q753">
            <v>19</v>
          </cell>
          <cell r="R753">
            <v>28.12</v>
          </cell>
          <cell r="S753">
            <v>0</v>
          </cell>
          <cell r="T753">
            <v>0</v>
          </cell>
          <cell r="U753">
            <v>28.12</v>
          </cell>
          <cell r="V753">
            <v>0.7</v>
          </cell>
          <cell r="W753">
            <v>28.82</v>
          </cell>
        </row>
        <row r="754">
          <cell r="A754" t="str">
            <v>6113-1</v>
          </cell>
          <cell r="B754">
            <v>42318</v>
          </cell>
          <cell r="C754" t="str">
            <v>Chuck Clark</v>
          </cell>
          <cell r="D754" t="str">
            <v>53-55 Liverpool St,Sydney</v>
          </cell>
          <cell r="E754" t="str">
            <v>Sydney</v>
          </cell>
          <cell r="F754" t="str">
            <v>NSW</v>
          </cell>
          <cell r="G754" t="str">
            <v>Corporate</v>
          </cell>
          <cell r="H754" t="str">
            <v>Tina Carlton</v>
          </cell>
          <cell r="I754" t="str">
            <v>Medium</v>
          </cell>
          <cell r="J754" t="str">
            <v>Smiths File Caddy</v>
          </cell>
          <cell r="K754" t="str">
            <v>Office Supplies</v>
          </cell>
          <cell r="L754" t="str">
            <v>Small Box</v>
          </cell>
          <cell r="M754" t="str">
            <v>Regular Air</v>
          </cell>
          <cell r="N754">
            <v>42318</v>
          </cell>
          <cell r="O754">
            <v>4.03</v>
          </cell>
          <cell r="P754">
            <v>9.3800000000000008</v>
          </cell>
          <cell r="Q754">
            <v>24</v>
          </cell>
          <cell r="R754">
            <v>225.12</v>
          </cell>
          <cell r="S754">
            <v>0.05</v>
          </cell>
          <cell r="T754">
            <v>11.256</v>
          </cell>
          <cell r="U754">
            <v>225.07</v>
          </cell>
          <cell r="V754">
            <v>7.28</v>
          </cell>
          <cell r="W754">
            <v>232.35</v>
          </cell>
        </row>
        <row r="755">
          <cell r="A755" t="str">
            <v>6114-1</v>
          </cell>
          <cell r="B755">
            <v>42319</v>
          </cell>
          <cell r="C755" t="str">
            <v>Nora Price</v>
          </cell>
          <cell r="D755" t="str">
            <v>7 Khartoum Rd,Macquarie Park</v>
          </cell>
          <cell r="E755" t="str">
            <v>Sydney</v>
          </cell>
          <cell r="F755" t="str">
            <v>NSW</v>
          </cell>
          <cell r="G755" t="str">
            <v>Home Office</v>
          </cell>
          <cell r="H755" t="str">
            <v>Preston Senome</v>
          </cell>
          <cell r="I755" t="str">
            <v>High</v>
          </cell>
          <cell r="J755" t="str">
            <v>Artisan 479 Labels</v>
          </cell>
          <cell r="K755" t="str">
            <v>Office Supplies</v>
          </cell>
          <cell r="L755" t="str">
            <v>Small Box</v>
          </cell>
          <cell r="M755" t="str">
            <v>Regular Air</v>
          </cell>
          <cell r="N755">
            <v>42321</v>
          </cell>
          <cell r="O755">
            <v>1.59</v>
          </cell>
          <cell r="P755">
            <v>2.61</v>
          </cell>
          <cell r="Q755">
            <v>40</v>
          </cell>
          <cell r="R755">
            <v>104.39999999999999</v>
          </cell>
          <cell r="S755">
            <v>0.03</v>
          </cell>
          <cell r="T755">
            <v>3.1319999999999997</v>
          </cell>
          <cell r="U755">
            <v>104.36999999999999</v>
          </cell>
          <cell r="V755">
            <v>0.5</v>
          </cell>
          <cell r="W755">
            <v>104.86999999999999</v>
          </cell>
        </row>
        <row r="756">
          <cell r="A756" t="str">
            <v>6116-1</v>
          </cell>
          <cell r="B756">
            <v>42320</v>
          </cell>
          <cell r="C756" t="str">
            <v>Michael Oakman</v>
          </cell>
          <cell r="D756" t="str">
            <v>8 Rankins Lane ,Melbourne</v>
          </cell>
          <cell r="E756" t="str">
            <v>Melbourne</v>
          </cell>
          <cell r="F756" t="str">
            <v>VIC</v>
          </cell>
          <cell r="G756" t="str">
            <v>Small Business</v>
          </cell>
          <cell r="H756" t="str">
            <v>Connor Betts</v>
          </cell>
          <cell r="I756" t="str">
            <v>Not Specified</v>
          </cell>
          <cell r="J756" t="str">
            <v>Apex Box Cutter Scissors</v>
          </cell>
          <cell r="K756" t="str">
            <v>Office Supplies</v>
          </cell>
          <cell r="L756" t="str">
            <v>Small Pack</v>
          </cell>
          <cell r="M756" t="str">
            <v>Regular Air</v>
          </cell>
          <cell r="N756">
            <v>42322</v>
          </cell>
          <cell r="O756">
            <v>4.1900000000000004</v>
          </cell>
          <cell r="P756">
            <v>10.23</v>
          </cell>
          <cell r="Q756">
            <v>46</v>
          </cell>
          <cell r="R756">
            <v>470.58000000000004</v>
          </cell>
          <cell r="S756">
            <v>0.08</v>
          </cell>
          <cell r="T756">
            <v>37.646400000000007</v>
          </cell>
          <cell r="U756">
            <v>470.50000000000006</v>
          </cell>
          <cell r="V756">
            <v>4.68</v>
          </cell>
          <cell r="W756">
            <v>475.18000000000006</v>
          </cell>
        </row>
        <row r="757">
          <cell r="A757" t="str">
            <v>6118-1</v>
          </cell>
          <cell r="B757">
            <v>42323</v>
          </cell>
          <cell r="C757" t="str">
            <v>Alan Hwang</v>
          </cell>
          <cell r="D757" t="str">
            <v>223 Barkly St,St Kilda</v>
          </cell>
          <cell r="E757" t="str">
            <v>Melbourne</v>
          </cell>
          <cell r="F757" t="str">
            <v>VIC</v>
          </cell>
          <cell r="G757" t="str">
            <v>Corporate</v>
          </cell>
          <cell r="H757" t="str">
            <v>Yvette Biti</v>
          </cell>
          <cell r="I757" t="str">
            <v>Low</v>
          </cell>
          <cell r="J757" t="str">
            <v>Smiths Bulk Pack Metal Binder Clips</v>
          </cell>
          <cell r="K757" t="str">
            <v>Office Supplies</v>
          </cell>
          <cell r="L757" t="str">
            <v>Wrap Bag</v>
          </cell>
          <cell r="M757" t="str">
            <v>Regular Air</v>
          </cell>
          <cell r="N757">
            <v>42332</v>
          </cell>
          <cell r="O757">
            <v>3.95</v>
          </cell>
          <cell r="P757">
            <v>6.08</v>
          </cell>
          <cell r="Q757">
            <v>41</v>
          </cell>
          <cell r="R757">
            <v>249.28</v>
          </cell>
          <cell r="S757">
            <v>0.03</v>
          </cell>
          <cell r="T757">
            <v>7.4783999999999997</v>
          </cell>
          <cell r="U757">
            <v>249.25</v>
          </cell>
          <cell r="V757">
            <v>1.82</v>
          </cell>
          <cell r="W757">
            <v>251.07</v>
          </cell>
        </row>
        <row r="758">
          <cell r="A758" t="str">
            <v>6119-1</v>
          </cell>
          <cell r="B758">
            <v>42324</v>
          </cell>
          <cell r="C758" t="str">
            <v>Jenna Caffey</v>
          </cell>
          <cell r="D758" t="str">
            <v>470 Anzac Parade,Kingsford</v>
          </cell>
          <cell r="E758" t="str">
            <v>Sydney</v>
          </cell>
          <cell r="F758" t="str">
            <v>NSW</v>
          </cell>
          <cell r="G758" t="str">
            <v>Consumer</v>
          </cell>
          <cell r="H758" t="str">
            <v>Tina Carlton</v>
          </cell>
          <cell r="I758" t="str">
            <v>Critical</v>
          </cell>
          <cell r="J758" t="str">
            <v>Smiths Pen Style Liquid Stix; Assorted (yellow, pink, green, blue, orange), 5/Pack</v>
          </cell>
          <cell r="K758" t="str">
            <v>Office Supplies</v>
          </cell>
          <cell r="L758" t="str">
            <v>Wrap Bag</v>
          </cell>
          <cell r="M758" t="str">
            <v>Regular Air</v>
          </cell>
          <cell r="N758">
            <v>42325</v>
          </cell>
          <cell r="O758">
            <v>3.88</v>
          </cell>
          <cell r="P758">
            <v>6.47</v>
          </cell>
          <cell r="Q758">
            <v>22</v>
          </cell>
          <cell r="R758">
            <v>142.34</v>
          </cell>
          <cell r="S758">
            <v>0.04</v>
          </cell>
          <cell r="T758">
            <v>5.6936</v>
          </cell>
          <cell r="U758">
            <v>142.30000000000001</v>
          </cell>
          <cell r="V758">
            <v>1.22</v>
          </cell>
          <cell r="W758">
            <v>143.52000000000001</v>
          </cell>
        </row>
        <row r="759">
          <cell r="A759" t="str">
            <v>6121-1</v>
          </cell>
          <cell r="B759">
            <v>42325</v>
          </cell>
          <cell r="C759" t="str">
            <v>Beth Fritzler</v>
          </cell>
          <cell r="D759" t="str">
            <v>Sydney Fish Market, Bank Street, Sydney</v>
          </cell>
          <cell r="E759" t="str">
            <v>Sydney</v>
          </cell>
          <cell r="F759" t="str">
            <v>NSW</v>
          </cell>
          <cell r="G759" t="str">
            <v>Small Business</v>
          </cell>
          <cell r="H759" t="str">
            <v>Phoebe Gour</v>
          </cell>
          <cell r="I759" t="str">
            <v>Critical</v>
          </cell>
          <cell r="J759" t="str">
            <v>Apex Box Cutter Scissors</v>
          </cell>
          <cell r="K759" t="str">
            <v>Office Supplies</v>
          </cell>
          <cell r="L759" t="str">
            <v>Small Pack</v>
          </cell>
          <cell r="M759" t="str">
            <v>Regular Air</v>
          </cell>
          <cell r="N759">
            <v>42327</v>
          </cell>
          <cell r="O759">
            <v>4.1900000000000004</v>
          </cell>
          <cell r="P759">
            <v>10.23</v>
          </cell>
          <cell r="Q759">
            <v>16</v>
          </cell>
          <cell r="R759">
            <v>163.68</v>
          </cell>
          <cell r="S759">
            <v>0.02</v>
          </cell>
          <cell r="T759">
            <v>3.2736000000000001</v>
          </cell>
          <cell r="U759">
            <v>163.66</v>
          </cell>
          <cell r="V759">
            <v>4.68</v>
          </cell>
          <cell r="W759">
            <v>168.34</v>
          </cell>
        </row>
        <row r="760">
          <cell r="A760" t="str">
            <v>6123-1</v>
          </cell>
          <cell r="B760">
            <v>42325</v>
          </cell>
          <cell r="C760" t="str">
            <v>Shahid Hopkins</v>
          </cell>
          <cell r="D760" t="str">
            <v>438 Victoria Avenue,Chatswood</v>
          </cell>
          <cell r="E760" t="str">
            <v>Sydney</v>
          </cell>
          <cell r="F760" t="str">
            <v>NSW</v>
          </cell>
          <cell r="G760" t="str">
            <v>Small Business</v>
          </cell>
          <cell r="H760" t="str">
            <v>Natasha Song</v>
          </cell>
          <cell r="I760" t="str">
            <v>Low</v>
          </cell>
          <cell r="J760" t="str">
            <v>Beekin 6 Outlet Metallic Surge Strip</v>
          </cell>
          <cell r="K760" t="str">
            <v>Office Supplies</v>
          </cell>
          <cell r="L760" t="str">
            <v>Small Box</v>
          </cell>
          <cell r="M760" t="str">
            <v>Regular Air</v>
          </cell>
          <cell r="N760">
            <v>42332</v>
          </cell>
          <cell r="O760">
            <v>4.46</v>
          </cell>
          <cell r="P760">
            <v>10.89</v>
          </cell>
          <cell r="Q760">
            <v>10</v>
          </cell>
          <cell r="R760">
            <v>108.9</v>
          </cell>
          <cell r="S760">
            <v>0.1</v>
          </cell>
          <cell r="T760">
            <v>10.89</v>
          </cell>
          <cell r="U760">
            <v>108.80000000000001</v>
          </cell>
          <cell r="V760">
            <v>4.5</v>
          </cell>
          <cell r="W760">
            <v>113.30000000000001</v>
          </cell>
        </row>
        <row r="761">
          <cell r="A761" t="str">
            <v>6124-1</v>
          </cell>
          <cell r="B761">
            <v>42328</v>
          </cell>
          <cell r="C761" t="str">
            <v>Lycoris Saunders</v>
          </cell>
          <cell r="D761" t="str">
            <v>501 George St,Sydney</v>
          </cell>
          <cell r="E761" t="str">
            <v>Sydney</v>
          </cell>
          <cell r="F761" t="str">
            <v>NSW</v>
          </cell>
          <cell r="G761" t="str">
            <v>Home Office</v>
          </cell>
          <cell r="H761" t="str">
            <v>Samantha Chairs</v>
          </cell>
          <cell r="I761" t="str">
            <v>High</v>
          </cell>
          <cell r="J761" t="str">
            <v>Artisan 481 Labels</v>
          </cell>
          <cell r="K761" t="str">
            <v>Office Supplies</v>
          </cell>
          <cell r="L761" t="str">
            <v>Small Box</v>
          </cell>
          <cell r="M761" t="str">
            <v>Regular Air</v>
          </cell>
          <cell r="N761">
            <v>42330</v>
          </cell>
          <cell r="O761">
            <v>1.94</v>
          </cell>
          <cell r="P761">
            <v>3.08</v>
          </cell>
          <cell r="Q761">
            <v>11</v>
          </cell>
          <cell r="R761">
            <v>33.880000000000003</v>
          </cell>
          <cell r="S761">
            <v>0.09</v>
          </cell>
          <cell r="T761">
            <v>3.0491999999999999</v>
          </cell>
          <cell r="U761">
            <v>33.79</v>
          </cell>
          <cell r="V761">
            <v>0.99</v>
          </cell>
          <cell r="W761">
            <v>34.78</v>
          </cell>
        </row>
        <row r="762">
          <cell r="A762" t="str">
            <v>6125-1</v>
          </cell>
          <cell r="B762">
            <v>42330</v>
          </cell>
          <cell r="C762" t="str">
            <v>Ellis Ballard</v>
          </cell>
          <cell r="D762" t="str">
            <v>53-55 Liverpool St,Sydney</v>
          </cell>
          <cell r="E762" t="str">
            <v>Sydney</v>
          </cell>
          <cell r="F762" t="str">
            <v>NSW</v>
          </cell>
          <cell r="G762" t="str">
            <v>Corporate</v>
          </cell>
          <cell r="H762" t="str">
            <v>Tina Carlton</v>
          </cell>
          <cell r="I762" t="str">
            <v>Medium</v>
          </cell>
          <cell r="J762" t="str">
            <v>Pizazz Drawing Pencil Set</v>
          </cell>
          <cell r="K762" t="str">
            <v>Office Supplies</v>
          </cell>
          <cell r="L762" t="str">
            <v>Wrap Bag</v>
          </cell>
          <cell r="M762" t="str">
            <v>Regular Air</v>
          </cell>
          <cell r="N762">
            <v>42331</v>
          </cell>
          <cell r="O762">
            <v>1.53</v>
          </cell>
          <cell r="P762">
            <v>2.78</v>
          </cell>
          <cell r="Q762">
            <v>21</v>
          </cell>
          <cell r="R762">
            <v>58.379999999999995</v>
          </cell>
          <cell r="S762">
            <v>0.06</v>
          </cell>
          <cell r="T762">
            <v>3.5027999999999997</v>
          </cell>
          <cell r="U762">
            <v>58.319999999999993</v>
          </cell>
          <cell r="V762">
            <v>1.34</v>
          </cell>
          <cell r="W762">
            <v>59.66</v>
          </cell>
        </row>
        <row r="763">
          <cell r="A763" t="str">
            <v>6127-1</v>
          </cell>
          <cell r="B763">
            <v>42332</v>
          </cell>
          <cell r="C763" t="str">
            <v>Henry Goldwyn</v>
          </cell>
          <cell r="D763" t="str">
            <v>541 Church St,Richmond</v>
          </cell>
          <cell r="E763" t="str">
            <v>Melbourne</v>
          </cell>
          <cell r="F763" t="str">
            <v>VIC</v>
          </cell>
          <cell r="G763" t="str">
            <v>Small Business</v>
          </cell>
          <cell r="H763" t="str">
            <v>Yvette Biti</v>
          </cell>
          <cell r="I763" t="str">
            <v>Low</v>
          </cell>
          <cell r="J763" t="str">
            <v>Adesso Programmable 142-Key Keyboard</v>
          </cell>
          <cell r="K763" t="str">
            <v>Technology</v>
          </cell>
          <cell r="L763" t="str">
            <v>Small Box</v>
          </cell>
          <cell r="M763" t="str">
            <v>Regular Air</v>
          </cell>
          <cell r="N763">
            <v>42332</v>
          </cell>
          <cell r="O763">
            <v>39.64</v>
          </cell>
          <cell r="P763">
            <v>152.47999999999999</v>
          </cell>
          <cell r="Q763">
            <v>17</v>
          </cell>
          <cell r="R763">
            <v>2592.16</v>
          </cell>
          <cell r="S763">
            <v>0.04</v>
          </cell>
          <cell r="T763">
            <v>103.68639999999999</v>
          </cell>
          <cell r="U763">
            <v>2592.12</v>
          </cell>
          <cell r="V763">
            <v>6.5</v>
          </cell>
          <cell r="W763">
            <v>2598.62</v>
          </cell>
        </row>
        <row r="764">
          <cell r="A764" t="str">
            <v>6128-1</v>
          </cell>
          <cell r="B764">
            <v>42336</v>
          </cell>
          <cell r="C764" t="str">
            <v>Dennis Bolton</v>
          </cell>
          <cell r="D764" t="str">
            <v>8 Quay Street,Haymarket</v>
          </cell>
          <cell r="E764" t="str">
            <v>Sydney</v>
          </cell>
          <cell r="F764" t="str">
            <v>NSW</v>
          </cell>
          <cell r="G764" t="str">
            <v>Small Business</v>
          </cell>
          <cell r="H764" t="str">
            <v>Leighton Forrest</v>
          </cell>
          <cell r="I764" t="str">
            <v>Critical</v>
          </cell>
          <cell r="J764" t="str">
            <v>Smiths Pen Style Liquid Stix; Assorted (yellow, pink, green, blue, orange), 5/Pack</v>
          </cell>
          <cell r="K764" t="str">
            <v>Office Supplies</v>
          </cell>
          <cell r="L764" t="str">
            <v>Wrap Bag</v>
          </cell>
          <cell r="M764" t="str">
            <v>Regular Air</v>
          </cell>
          <cell r="N764">
            <v>42338</v>
          </cell>
          <cell r="O764">
            <v>3.88</v>
          </cell>
          <cell r="P764">
            <v>6.47</v>
          </cell>
          <cell r="Q764">
            <v>16</v>
          </cell>
          <cell r="R764">
            <v>103.52</v>
          </cell>
          <cell r="S764">
            <v>0.01</v>
          </cell>
          <cell r="T764">
            <v>1.0351999999999999</v>
          </cell>
          <cell r="U764">
            <v>103.50999999999999</v>
          </cell>
          <cell r="V764">
            <v>1.22</v>
          </cell>
          <cell r="W764">
            <v>104.72999999999999</v>
          </cell>
        </row>
        <row r="765">
          <cell r="A765" t="str">
            <v>6129-1</v>
          </cell>
          <cell r="B765">
            <v>42336</v>
          </cell>
          <cell r="C765" t="str">
            <v>Jeremy Pistek</v>
          </cell>
          <cell r="D765" t="str">
            <v>85-113 Dunning Ave,Roseberry</v>
          </cell>
          <cell r="E765" t="str">
            <v>Sydney</v>
          </cell>
          <cell r="F765" t="str">
            <v>NSW</v>
          </cell>
          <cell r="G765" t="str">
            <v>Corporate</v>
          </cell>
          <cell r="H765" t="str">
            <v>Mihael Khan</v>
          </cell>
          <cell r="I765" t="str">
            <v>Critical</v>
          </cell>
          <cell r="J765" t="str">
            <v>Unpadded Memo Slips</v>
          </cell>
          <cell r="K765" t="str">
            <v>Office Supplies</v>
          </cell>
          <cell r="L765" t="str">
            <v>Wrap Bag</v>
          </cell>
          <cell r="M765" t="str">
            <v>Regular Air</v>
          </cell>
          <cell r="N765">
            <v>42339</v>
          </cell>
          <cell r="O765">
            <v>2.59</v>
          </cell>
          <cell r="P765">
            <v>3.98</v>
          </cell>
          <cell r="Q765">
            <v>11</v>
          </cell>
          <cell r="R765">
            <v>43.78</v>
          </cell>
          <cell r="S765">
            <v>7.0000000000000007E-2</v>
          </cell>
          <cell r="T765">
            <v>3.0646000000000004</v>
          </cell>
          <cell r="U765">
            <v>43.71</v>
          </cell>
          <cell r="V765">
            <v>2.97</v>
          </cell>
          <cell r="W765">
            <v>46.68</v>
          </cell>
        </row>
        <row r="766">
          <cell r="A766" t="str">
            <v>6130-1</v>
          </cell>
          <cell r="B766">
            <v>42338</v>
          </cell>
          <cell r="C766" t="str">
            <v>Paul MacIntyre</v>
          </cell>
          <cell r="D766" t="str">
            <v>60 Commercial Rd,Prahran</v>
          </cell>
          <cell r="E766" t="str">
            <v>Melbourne</v>
          </cell>
          <cell r="F766" t="str">
            <v>VIC</v>
          </cell>
          <cell r="G766" t="str">
            <v>Corporate</v>
          </cell>
          <cell r="H766" t="str">
            <v>Yvette Biti</v>
          </cell>
          <cell r="I766" t="str">
            <v>High</v>
          </cell>
          <cell r="J766" t="str">
            <v>Artisan Arch Ring Binders</v>
          </cell>
          <cell r="K766" t="str">
            <v>Office Supplies</v>
          </cell>
          <cell r="L766" t="str">
            <v>Small Box</v>
          </cell>
          <cell r="M766" t="str">
            <v>Regular Air</v>
          </cell>
          <cell r="N766">
            <v>42339</v>
          </cell>
          <cell r="O766">
            <v>36.020000000000003</v>
          </cell>
          <cell r="P766">
            <v>58.1</v>
          </cell>
          <cell r="Q766">
            <v>27</v>
          </cell>
          <cell r="R766">
            <v>1568.7</v>
          </cell>
          <cell r="S766">
            <v>7.0000000000000007E-2</v>
          </cell>
          <cell r="T766">
            <v>109.80900000000001</v>
          </cell>
          <cell r="U766">
            <v>1568.63</v>
          </cell>
          <cell r="V766">
            <v>1.49</v>
          </cell>
          <cell r="W766">
            <v>1570.1200000000001</v>
          </cell>
        </row>
        <row r="767">
          <cell r="A767" t="str">
            <v>6132-1</v>
          </cell>
          <cell r="B767">
            <v>42338</v>
          </cell>
          <cell r="C767" t="str">
            <v>Julie Creighton</v>
          </cell>
          <cell r="D767" t="str">
            <v>22 Civic Rd,Auburn</v>
          </cell>
          <cell r="E767" t="str">
            <v>Sydney</v>
          </cell>
          <cell r="F767" t="str">
            <v>NSW</v>
          </cell>
          <cell r="G767" t="str">
            <v>Corporate</v>
          </cell>
          <cell r="H767" t="str">
            <v>Mihael Khan</v>
          </cell>
          <cell r="I767" t="str">
            <v>Not Specified</v>
          </cell>
          <cell r="J767" t="str">
            <v>DrawIt Colored Pencils</v>
          </cell>
          <cell r="K767" t="str">
            <v>Office Supplies</v>
          </cell>
          <cell r="L767" t="str">
            <v>Wrap Bag</v>
          </cell>
          <cell r="M767" t="str">
            <v>Regular Air</v>
          </cell>
          <cell r="N767">
            <v>42339</v>
          </cell>
          <cell r="O767">
            <v>4.37</v>
          </cell>
          <cell r="P767">
            <v>9.11</v>
          </cell>
          <cell r="Q767">
            <v>30</v>
          </cell>
          <cell r="R767">
            <v>273.29999999999995</v>
          </cell>
          <cell r="S767">
            <v>0.03</v>
          </cell>
          <cell r="T767">
            <v>8.1989999999999981</v>
          </cell>
          <cell r="U767">
            <v>273.27</v>
          </cell>
          <cell r="V767">
            <v>2.25</v>
          </cell>
          <cell r="W767">
            <v>275.52</v>
          </cell>
        </row>
        <row r="768">
          <cell r="A768" t="str">
            <v>6134-1</v>
          </cell>
          <cell r="B768">
            <v>42342</v>
          </cell>
          <cell r="C768" t="str">
            <v>Lindsay Castell</v>
          </cell>
          <cell r="D768" t="str">
            <v>Qantas Domestic Terminal,Mascot</v>
          </cell>
          <cell r="E768" t="str">
            <v>Sydney</v>
          </cell>
          <cell r="F768" t="str">
            <v>NSW</v>
          </cell>
          <cell r="G768" t="str">
            <v>Small Business</v>
          </cell>
          <cell r="H768" t="str">
            <v>Phoebe Gour</v>
          </cell>
          <cell r="I768" t="str">
            <v>High</v>
          </cell>
          <cell r="J768" t="str">
            <v>Artisan 474 Labels</v>
          </cell>
          <cell r="K768" t="str">
            <v>Office Supplies</v>
          </cell>
          <cell r="L768" t="str">
            <v>Small Box</v>
          </cell>
          <cell r="M768" t="str">
            <v>Regular Air</v>
          </cell>
          <cell r="N768">
            <v>42343</v>
          </cell>
          <cell r="O768">
            <v>1.84</v>
          </cell>
          <cell r="P768">
            <v>2.88</v>
          </cell>
          <cell r="Q768">
            <v>28</v>
          </cell>
          <cell r="R768">
            <v>80.64</v>
          </cell>
          <cell r="S768">
            <v>0.1</v>
          </cell>
          <cell r="T768">
            <v>8.0640000000000001</v>
          </cell>
          <cell r="U768">
            <v>80.540000000000006</v>
          </cell>
          <cell r="V768">
            <v>0.99</v>
          </cell>
          <cell r="W768">
            <v>81.53</v>
          </cell>
        </row>
        <row r="769">
          <cell r="A769" t="str">
            <v>6135-1</v>
          </cell>
          <cell r="B769">
            <v>42344</v>
          </cell>
          <cell r="C769" t="str">
            <v>Erin Creighton</v>
          </cell>
          <cell r="D769" t="str">
            <v>523 King St,Newtown</v>
          </cell>
          <cell r="E769" t="str">
            <v>Sydney</v>
          </cell>
          <cell r="F769" t="str">
            <v>NSW</v>
          </cell>
          <cell r="G769" t="str">
            <v>Corporate</v>
          </cell>
          <cell r="H769" t="str">
            <v>Aanya Zhang</v>
          </cell>
          <cell r="I769" t="str">
            <v>Low</v>
          </cell>
          <cell r="J769" t="str">
            <v>Pizazz Drawing Pencil Set</v>
          </cell>
          <cell r="K769" t="str">
            <v>Office Supplies</v>
          </cell>
          <cell r="L769" t="str">
            <v>Wrap Bag</v>
          </cell>
          <cell r="M769" t="str">
            <v>Regular Air</v>
          </cell>
          <cell r="N769">
            <v>42346</v>
          </cell>
          <cell r="O769">
            <v>1.17</v>
          </cell>
          <cell r="P769">
            <v>2.78</v>
          </cell>
          <cell r="Q769">
            <v>39</v>
          </cell>
          <cell r="R769">
            <v>108.41999999999999</v>
          </cell>
          <cell r="S769">
            <v>0.05</v>
          </cell>
          <cell r="T769">
            <v>5.4209999999999994</v>
          </cell>
          <cell r="U769">
            <v>108.36999999999999</v>
          </cell>
          <cell r="V769">
            <v>1.2</v>
          </cell>
          <cell r="W769">
            <v>109.57</v>
          </cell>
        </row>
        <row r="770">
          <cell r="A770" t="str">
            <v>6136-1</v>
          </cell>
          <cell r="B770">
            <v>42344</v>
          </cell>
          <cell r="C770" t="str">
            <v>Dan Lawera</v>
          </cell>
          <cell r="D770" t="str">
            <v>Macquarie Centre Cnr Herring Road &amp; Waterloo Road,Macquarie Park</v>
          </cell>
          <cell r="E770" t="str">
            <v>Sydney</v>
          </cell>
          <cell r="F770" t="str">
            <v>NSW</v>
          </cell>
          <cell r="G770" t="str">
            <v>Corporate</v>
          </cell>
          <cell r="H770" t="str">
            <v>Nicholas Fernandes</v>
          </cell>
          <cell r="I770" t="str">
            <v>Not Specified</v>
          </cell>
          <cell r="J770" t="str">
            <v>Smiths General Use 3-Ring Binders</v>
          </cell>
          <cell r="K770" t="str">
            <v>Office Supplies</v>
          </cell>
          <cell r="L770" t="str">
            <v>Small Box</v>
          </cell>
          <cell r="M770" t="str">
            <v>Regular Air</v>
          </cell>
          <cell r="N770">
            <v>42345</v>
          </cell>
          <cell r="O770">
            <v>1.18</v>
          </cell>
          <cell r="P770">
            <v>1.88</v>
          </cell>
          <cell r="Q770">
            <v>20</v>
          </cell>
          <cell r="R770">
            <v>37.599999999999994</v>
          </cell>
          <cell r="S770">
            <v>7.0000000000000007E-2</v>
          </cell>
          <cell r="T770">
            <v>2.6319999999999997</v>
          </cell>
          <cell r="U770">
            <v>37.529999999999994</v>
          </cell>
          <cell r="V770">
            <v>1.49</v>
          </cell>
          <cell r="W770">
            <v>39.019999999999996</v>
          </cell>
        </row>
        <row r="771">
          <cell r="A771" t="str">
            <v>6138-1</v>
          </cell>
          <cell r="B771">
            <v>42346</v>
          </cell>
          <cell r="C771" t="str">
            <v>Valerie Dominguez</v>
          </cell>
          <cell r="D771" t="str">
            <v>152 Bunnerong Road,Eastgardens</v>
          </cell>
          <cell r="E771" t="str">
            <v>Sydney</v>
          </cell>
          <cell r="F771" t="str">
            <v>NSW</v>
          </cell>
          <cell r="G771" t="str">
            <v>Corporate</v>
          </cell>
          <cell r="H771" t="str">
            <v>Tina Carlton</v>
          </cell>
          <cell r="I771" t="str">
            <v>Low</v>
          </cell>
          <cell r="J771" t="str">
            <v>Smiths Metal Binder Clips</v>
          </cell>
          <cell r="K771" t="str">
            <v>Office Supplies</v>
          </cell>
          <cell r="L771" t="str">
            <v>Wrap Bag</v>
          </cell>
          <cell r="M771" t="str">
            <v>Regular Air</v>
          </cell>
          <cell r="N771">
            <v>42350</v>
          </cell>
          <cell r="O771">
            <v>1.6</v>
          </cell>
          <cell r="P771">
            <v>2.62</v>
          </cell>
          <cell r="Q771">
            <v>26</v>
          </cell>
          <cell r="R771">
            <v>68.12</v>
          </cell>
          <cell r="S771">
            <v>0.08</v>
          </cell>
          <cell r="T771">
            <v>5.4496000000000002</v>
          </cell>
          <cell r="U771">
            <v>68.040000000000006</v>
          </cell>
          <cell r="V771">
            <v>0.8</v>
          </cell>
          <cell r="W771">
            <v>68.84</v>
          </cell>
        </row>
        <row r="772">
          <cell r="A772" t="str">
            <v>6140-1</v>
          </cell>
          <cell r="B772">
            <v>42347</v>
          </cell>
          <cell r="C772" t="str">
            <v>Craig Carroll</v>
          </cell>
          <cell r="D772" t="str">
            <v>99 Lygon Street,East Brunswick</v>
          </cell>
          <cell r="E772" t="str">
            <v>Melbourne</v>
          </cell>
          <cell r="F772" t="str">
            <v>VIC</v>
          </cell>
          <cell r="G772" t="str">
            <v>Corporate</v>
          </cell>
          <cell r="H772" t="str">
            <v>Connor Betts</v>
          </cell>
          <cell r="I772" t="str">
            <v>High</v>
          </cell>
          <cell r="J772" t="str">
            <v>12 Colored Short Pencils</v>
          </cell>
          <cell r="K772" t="str">
            <v>Office Supplies</v>
          </cell>
          <cell r="L772" t="str">
            <v>Wrap Bag</v>
          </cell>
          <cell r="M772" t="str">
            <v>Regular Air</v>
          </cell>
          <cell r="N772">
            <v>42347</v>
          </cell>
          <cell r="O772">
            <v>1.0900000000000001</v>
          </cell>
          <cell r="P772">
            <v>2.6</v>
          </cell>
          <cell r="Q772">
            <v>14</v>
          </cell>
          <cell r="R772">
            <v>36.4</v>
          </cell>
          <cell r="S772">
            <v>0.08</v>
          </cell>
          <cell r="T772">
            <v>2.9119999999999999</v>
          </cell>
          <cell r="U772">
            <v>36.32</v>
          </cell>
          <cell r="V772">
            <v>2.4</v>
          </cell>
          <cell r="W772">
            <v>38.72</v>
          </cell>
        </row>
        <row r="773">
          <cell r="A773" t="str">
            <v>6141-1</v>
          </cell>
          <cell r="B773">
            <v>42347</v>
          </cell>
          <cell r="C773" t="str">
            <v>Vivek Grady</v>
          </cell>
          <cell r="D773" t="str">
            <v>99 Lygon Street,East Brunswick</v>
          </cell>
          <cell r="E773" t="str">
            <v>Melbourne</v>
          </cell>
          <cell r="F773" t="str">
            <v>VIC</v>
          </cell>
          <cell r="G773" t="str">
            <v>Home Office</v>
          </cell>
          <cell r="H773" t="str">
            <v>Connor Betts</v>
          </cell>
          <cell r="I773" t="str">
            <v>Medium</v>
          </cell>
          <cell r="J773" t="str">
            <v>Alliance Rubber Bands</v>
          </cell>
          <cell r="K773" t="str">
            <v>Office Supplies</v>
          </cell>
          <cell r="L773" t="str">
            <v>Wrap Bag</v>
          </cell>
          <cell r="M773" t="str">
            <v>Express Air</v>
          </cell>
          <cell r="N773">
            <v>42348</v>
          </cell>
          <cell r="O773">
            <v>0.32</v>
          </cell>
          <cell r="P773">
            <v>1.68</v>
          </cell>
          <cell r="Q773">
            <v>6</v>
          </cell>
          <cell r="R773">
            <v>10.08</v>
          </cell>
          <cell r="S773">
            <v>0.05</v>
          </cell>
          <cell r="T773">
            <v>0.504</v>
          </cell>
          <cell r="U773">
            <v>10.029999999999999</v>
          </cell>
          <cell r="V773">
            <v>1.02</v>
          </cell>
          <cell r="W773">
            <v>11.049999999999999</v>
          </cell>
        </row>
        <row r="774">
          <cell r="A774" t="str">
            <v>6142-1</v>
          </cell>
          <cell r="B774">
            <v>42348</v>
          </cell>
          <cell r="C774" t="str">
            <v>Paul Knutson</v>
          </cell>
          <cell r="D774" t="str">
            <v>1/173-179 Bronte Rd,Waverley</v>
          </cell>
          <cell r="E774" t="str">
            <v>Sydney</v>
          </cell>
          <cell r="F774" t="str">
            <v>NSW</v>
          </cell>
          <cell r="G774" t="str">
            <v>Corporate</v>
          </cell>
          <cell r="H774" t="str">
            <v>Leighton Forrest</v>
          </cell>
          <cell r="I774" t="str">
            <v>Critical</v>
          </cell>
          <cell r="J774" t="str">
            <v>UGen Ultra Professional Cordless Optical Suite</v>
          </cell>
          <cell r="K774" t="str">
            <v>Technology</v>
          </cell>
          <cell r="L774" t="str">
            <v>Small Box</v>
          </cell>
          <cell r="M774" t="str">
            <v>Express Air</v>
          </cell>
          <cell r="N774">
            <v>42350</v>
          </cell>
          <cell r="O774">
            <v>156.5</v>
          </cell>
          <cell r="P774">
            <v>300.97000000000003</v>
          </cell>
          <cell r="Q774">
            <v>8</v>
          </cell>
          <cell r="R774">
            <v>2407.7600000000002</v>
          </cell>
          <cell r="S774">
            <v>0.05</v>
          </cell>
          <cell r="T774">
            <v>120.38800000000002</v>
          </cell>
          <cell r="U774">
            <v>2407.71</v>
          </cell>
          <cell r="V774">
            <v>7.18</v>
          </cell>
          <cell r="W774">
            <v>2414.89</v>
          </cell>
        </row>
        <row r="775">
          <cell r="A775" t="str">
            <v>6144-1</v>
          </cell>
          <cell r="B775">
            <v>42354</v>
          </cell>
          <cell r="C775" t="str">
            <v>Charles Crestani</v>
          </cell>
          <cell r="D775" t="str">
            <v>Sydney Fish Market, Bank Street, Sydney</v>
          </cell>
          <cell r="E775" t="str">
            <v>Sydney</v>
          </cell>
          <cell r="F775" t="str">
            <v>NSW</v>
          </cell>
          <cell r="G775" t="str">
            <v>Consumer</v>
          </cell>
          <cell r="H775" t="str">
            <v>Phoebe Gour</v>
          </cell>
          <cell r="I775" t="str">
            <v>Medium</v>
          </cell>
          <cell r="J775" t="str">
            <v>Multimedia Mailers</v>
          </cell>
          <cell r="K775" t="str">
            <v>Office Supplies</v>
          </cell>
          <cell r="L775" t="str">
            <v>Small Box</v>
          </cell>
          <cell r="M775" t="str">
            <v>Regular Air</v>
          </cell>
          <cell r="N775">
            <v>42355</v>
          </cell>
          <cell r="O775">
            <v>99.39</v>
          </cell>
          <cell r="P775">
            <v>162.93</v>
          </cell>
          <cell r="Q775">
            <v>41</v>
          </cell>
          <cell r="R775">
            <v>6680.13</v>
          </cell>
          <cell r="S775">
            <v>0.01</v>
          </cell>
          <cell r="T775">
            <v>66.801299999999998</v>
          </cell>
          <cell r="U775">
            <v>6680.12</v>
          </cell>
          <cell r="V775">
            <v>19.989999999999998</v>
          </cell>
          <cell r="W775">
            <v>6700.11</v>
          </cell>
        </row>
        <row r="776">
          <cell r="A776" t="str">
            <v>6146-1</v>
          </cell>
          <cell r="B776">
            <v>42357</v>
          </cell>
          <cell r="C776" t="str">
            <v>Olvera Toch</v>
          </cell>
          <cell r="D776" t="str">
            <v>3 Carrington Road ,Box Hill</v>
          </cell>
          <cell r="E776" t="str">
            <v>Melbourne</v>
          </cell>
          <cell r="F776" t="str">
            <v>VIC</v>
          </cell>
          <cell r="G776" t="str">
            <v>Home Office</v>
          </cell>
          <cell r="H776" t="str">
            <v>Yvette Biti</v>
          </cell>
          <cell r="I776" t="str">
            <v>Not Specified</v>
          </cell>
          <cell r="J776" t="str">
            <v>Alto Memo Cubes</v>
          </cell>
          <cell r="K776" t="str">
            <v>Office Supplies</v>
          </cell>
          <cell r="L776" t="str">
            <v>Wrap Bag</v>
          </cell>
          <cell r="M776" t="str">
            <v>Regular Air</v>
          </cell>
          <cell r="N776">
            <v>42359</v>
          </cell>
          <cell r="O776">
            <v>3.32</v>
          </cell>
          <cell r="P776">
            <v>5.18</v>
          </cell>
          <cell r="Q776">
            <v>25</v>
          </cell>
          <cell r="R776">
            <v>129.5</v>
          </cell>
          <cell r="S776">
            <v>0.1</v>
          </cell>
          <cell r="T776">
            <v>12.950000000000001</v>
          </cell>
          <cell r="U776">
            <v>129.4</v>
          </cell>
          <cell r="V776">
            <v>2.04</v>
          </cell>
          <cell r="W776">
            <v>131.44</v>
          </cell>
        </row>
        <row r="777">
          <cell r="A777" t="str">
            <v>6148-1</v>
          </cell>
          <cell r="B777">
            <v>42357</v>
          </cell>
          <cell r="C777" t="str">
            <v>Lena Creighton</v>
          </cell>
          <cell r="D777" t="str">
            <v>127 Liverpool St,Sydney</v>
          </cell>
          <cell r="E777" t="str">
            <v>Sydney</v>
          </cell>
          <cell r="F777" t="str">
            <v>NSW</v>
          </cell>
          <cell r="G777" t="str">
            <v>Corporate</v>
          </cell>
          <cell r="H777" t="str">
            <v>Samantha Chairs</v>
          </cell>
          <cell r="I777" t="str">
            <v>Critical</v>
          </cell>
          <cell r="J777" t="str">
            <v>Beekin 6 Outlet Metallic Surge Strip</v>
          </cell>
          <cell r="K777" t="str">
            <v>Office Supplies</v>
          </cell>
          <cell r="L777" t="str">
            <v>Small Box</v>
          </cell>
          <cell r="M777" t="str">
            <v>Regular Air</v>
          </cell>
          <cell r="N777">
            <v>42359</v>
          </cell>
          <cell r="O777">
            <v>4.46</v>
          </cell>
          <cell r="P777">
            <v>10.89</v>
          </cell>
          <cell r="Q777">
            <v>30</v>
          </cell>
          <cell r="R777">
            <v>326.70000000000005</v>
          </cell>
          <cell r="S777">
            <v>0.08</v>
          </cell>
          <cell r="T777">
            <v>26.136000000000003</v>
          </cell>
          <cell r="U777">
            <v>326.62000000000006</v>
          </cell>
          <cell r="V777">
            <v>4.5</v>
          </cell>
          <cell r="W777">
            <v>331.12000000000006</v>
          </cell>
        </row>
        <row r="778">
          <cell r="A778" t="str">
            <v>6150-1</v>
          </cell>
          <cell r="B778">
            <v>42360</v>
          </cell>
          <cell r="C778" t="str">
            <v>Carol Triggs</v>
          </cell>
          <cell r="D778" t="str">
            <v>644 George St,Sydney</v>
          </cell>
          <cell r="E778" t="str">
            <v>Sydney</v>
          </cell>
          <cell r="F778" t="str">
            <v>NSW</v>
          </cell>
          <cell r="G778" t="str">
            <v>Home Office</v>
          </cell>
          <cell r="H778" t="str">
            <v>Radhya Staples</v>
          </cell>
          <cell r="I778" t="str">
            <v>Not Specified</v>
          </cell>
          <cell r="J778" t="str">
            <v>600 Series Non-Flip</v>
          </cell>
          <cell r="K778" t="str">
            <v>Technology</v>
          </cell>
          <cell r="L778" t="str">
            <v>Small Box</v>
          </cell>
          <cell r="M778" t="str">
            <v>Regular Air</v>
          </cell>
          <cell r="N778">
            <v>42362</v>
          </cell>
          <cell r="O778">
            <v>19.78</v>
          </cell>
          <cell r="P778">
            <v>45.99</v>
          </cell>
          <cell r="Q778">
            <v>11</v>
          </cell>
          <cell r="R778">
            <v>505.89000000000004</v>
          </cell>
          <cell r="S778">
            <v>7.0000000000000007E-2</v>
          </cell>
          <cell r="T778">
            <v>35.412300000000009</v>
          </cell>
          <cell r="U778">
            <v>505.82000000000005</v>
          </cell>
          <cell r="V778">
            <v>4.99</v>
          </cell>
          <cell r="W778">
            <v>510.81000000000006</v>
          </cell>
        </row>
        <row r="779">
          <cell r="A779" t="str">
            <v>6151-1</v>
          </cell>
          <cell r="B779">
            <v>42362</v>
          </cell>
          <cell r="C779" t="str">
            <v>Sarah Foster</v>
          </cell>
          <cell r="D779" t="str">
            <v>Sydney Fish Market, Bank Street, Sydney</v>
          </cell>
          <cell r="E779" t="str">
            <v>Sydney</v>
          </cell>
          <cell r="F779" t="str">
            <v>NSW</v>
          </cell>
          <cell r="G779" t="str">
            <v>Corporate</v>
          </cell>
          <cell r="H779" t="str">
            <v>Phoebe Gour</v>
          </cell>
          <cell r="I779" t="str">
            <v>Critical</v>
          </cell>
          <cell r="J779" t="str">
            <v>Smiths General Use 3-Ring Binders</v>
          </cell>
          <cell r="K779" t="str">
            <v>Office Supplies</v>
          </cell>
          <cell r="L779" t="str">
            <v>Small Box</v>
          </cell>
          <cell r="M779" t="str">
            <v>Regular Air</v>
          </cell>
          <cell r="N779">
            <v>42364</v>
          </cell>
          <cell r="O779">
            <v>1.18</v>
          </cell>
          <cell r="P779">
            <v>1.88</v>
          </cell>
          <cell r="Q779">
            <v>39</v>
          </cell>
          <cell r="R779">
            <v>73.319999999999993</v>
          </cell>
          <cell r="S779">
            <v>7.0000000000000007E-2</v>
          </cell>
          <cell r="T779">
            <v>5.1323999999999996</v>
          </cell>
          <cell r="U779">
            <v>73.25</v>
          </cell>
          <cell r="V779">
            <v>1.49</v>
          </cell>
          <cell r="W779">
            <v>74.739999999999995</v>
          </cell>
        </row>
        <row r="780">
          <cell r="A780" t="str">
            <v>6152-1</v>
          </cell>
          <cell r="B780">
            <v>42363</v>
          </cell>
          <cell r="C780" t="str">
            <v>Art Miller</v>
          </cell>
          <cell r="D780" t="str">
            <v>8 Quay Street,Haymarket</v>
          </cell>
          <cell r="E780" t="str">
            <v>Sydney</v>
          </cell>
          <cell r="F780" t="str">
            <v>NSW</v>
          </cell>
          <cell r="G780" t="str">
            <v>Corporate</v>
          </cell>
          <cell r="H780" t="str">
            <v>Leighton Forrest</v>
          </cell>
          <cell r="I780" t="str">
            <v>Low</v>
          </cell>
          <cell r="J780" t="str">
            <v>HFX LaserJet 3310 Copier</v>
          </cell>
          <cell r="K780" t="str">
            <v>Technology</v>
          </cell>
          <cell r="L780" t="str">
            <v>Large Box</v>
          </cell>
          <cell r="M780" t="str">
            <v>Regular Air</v>
          </cell>
          <cell r="N780">
            <v>42370</v>
          </cell>
          <cell r="O780">
            <v>377.99</v>
          </cell>
          <cell r="P780">
            <v>599.99</v>
          </cell>
          <cell r="Q780">
            <v>17</v>
          </cell>
          <cell r="R780">
            <v>10199.83</v>
          </cell>
          <cell r="S780">
            <v>0.08</v>
          </cell>
          <cell r="T780">
            <v>815.9864</v>
          </cell>
          <cell r="U780">
            <v>10199.75</v>
          </cell>
          <cell r="V780">
            <v>24.49</v>
          </cell>
          <cell r="W780">
            <v>10224.24</v>
          </cell>
        </row>
        <row r="781">
          <cell r="A781" t="str">
            <v>6154-1</v>
          </cell>
          <cell r="B781">
            <v>42363</v>
          </cell>
          <cell r="C781" t="str">
            <v>Karl Brown</v>
          </cell>
          <cell r="D781" t="str">
            <v>470 Anzac Parade,Kingsford</v>
          </cell>
          <cell r="E781" t="str">
            <v>Sydney</v>
          </cell>
          <cell r="F781" t="str">
            <v>NSW</v>
          </cell>
          <cell r="G781" t="str">
            <v>Corporate</v>
          </cell>
          <cell r="H781" t="str">
            <v>Tina Carlton</v>
          </cell>
          <cell r="I781" t="str">
            <v>High</v>
          </cell>
          <cell r="J781" t="str">
            <v>Pizazz Dustless Chalk Sticks</v>
          </cell>
          <cell r="K781" t="str">
            <v>Office Supplies</v>
          </cell>
          <cell r="L781" t="str">
            <v>Wrap Bag</v>
          </cell>
          <cell r="M781" t="str">
            <v>Regular Air</v>
          </cell>
          <cell r="N781">
            <v>42364</v>
          </cell>
          <cell r="O781">
            <v>1.0900000000000001</v>
          </cell>
          <cell r="P781">
            <v>1.68</v>
          </cell>
          <cell r="Q781">
            <v>24</v>
          </cell>
          <cell r="R781">
            <v>40.32</v>
          </cell>
          <cell r="S781">
            <v>0.05</v>
          </cell>
          <cell r="T781">
            <v>2.016</v>
          </cell>
          <cell r="U781">
            <v>40.270000000000003</v>
          </cell>
          <cell r="V781">
            <v>1</v>
          </cell>
          <cell r="W781">
            <v>41.27</v>
          </cell>
        </row>
        <row r="782">
          <cell r="A782" t="str">
            <v>6155-1</v>
          </cell>
          <cell r="B782">
            <v>42366</v>
          </cell>
          <cell r="C782" t="str">
            <v>Gary McGarr</v>
          </cell>
          <cell r="D782" t="str">
            <v>10 Bligh St,Melbourne</v>
          </cell>
          <cell r="E782" t="str">
            <v>Melbourne</v>
          </cell>
          <cell r="F782" t="str">
            <v>VIC</v>
          </cell>
          <cell r="G782" t="str">
            <v>Home Office</v>
          </cell>
          <cell r="H782" t="str">
            <v>Yvette Biti</v>
          </cell>
          <cell r="I782" t="str">
            <v>High</v>
          </cell>
          <cell r="J782" t="str">
            <v>1726 Digital Answering Machine</v>
          </cell>
          <cell r="K782" t="str">
            <v>Technology</v>
          </cell>
          <cell r="L782" t="str">
            <v>Medium Box</v>
          </cell>
          <cell r="M782" t="str">
            <v>Regular Air</v>
          </cell>
          <cell r="N782">
            <v>42367</v>
          </cell>
          <cell r="O782">
            <v>8.82</v>
          </cell>
          <cell r="P782">
            <v>20.99</v>
          </cell>
          <cell r="Q782">
            <v>30</v>
          </cell>
          <cell r="R782">
            <v>629.69999999999993</v>
          </cell>
          <cell r="S782">
            <v>0.03</v>
          </cell>
          <cell r="T782">
            <v>18.890999999999998</v>
          </cell>
          <cell r="U782">
            <v>629.66999999999996</v>
          </cell>
          <cell r="V782">
            <v>4.8099999999999996</v>
          </cell>
          <cell r="W782">
            <v>634.4799999999999</v>
          </cell>
        </row>
        <row r="783">
          <cell r="A783" t="str">
            <v>6157-1</v>
          </cell>
          <cell r="B783">
            <v>42366</v>
          </cell>
          <cell r="C783" t="str">
            <v>Ken Dana</v>
          </cell>
          <cell r="D783" t="str">
            <v>73 York St,Sydney</v>
          </cell>
          <cell r="E783" t="str">
            <v>Sydney</v>
          </cell>
          <cell r="F783" t="str">
            <v>NSW</v>
          </cell>
          <cell r="G783" t="str">
            <v>Small Business</v>
          </cell>
          <cell r="H783" t="str">
            <v>Tina Carlton</v>
          </cell>
          <cell r="I783" t="str">
            <v>Critical</v>
          </cell>
          <cell r="J783" t="str">
            <v>Smiths General Use 3-Ring Binders</v>
          </cell>
          <cell r="K783" t="str">
            <v>Office Supplies</v>
          </cell>
          <cell r="L783" t="str">
            <v>Small Box</v>
          </cell>
          <cell r="M783" t="str">
            <v>Regular Air</v>
          </cell>
          <cell r="N783">
            <v>42368</v>
          </cell>
          <cell r="O783">
            <v>1.18</v>
          </cell>
          <cell r="P783">
            <v>1.88</v>
          </cell>
          <cell r="Q783">
            <v>1</v>
          </cell>
          <cell r="R783">
            <v>1.88</v>
          </cell>
          <cell r="S783">
            <v>0.09</v>
          </cell>
          <cell r="T783">
            <v>0.16919999999999999</v>
          </cell>
          <cell r="U783">
            <v>1.7899999999999998</v>
          </cell>
          <cell r="V783">
            <v>1.49</v>
          </cell>
          <cell r="W783">
            <v>3.28</v>
          </cell>
        </row>
        <row r="784">
          <cell r="A784" t="str">
            <v>6158-1</v>
          </cell>
          <cell r="B784">
            <v>42366</v>
          </cell>
          <cell r="C784" t="str">
            <v>Sally Knutson</v>
          </cell>
          <cell r="D784" t="str">
            <v>Shop 1, 186-190 Church Street,Parramatta;46a Macleay Street,Potts Point</v>
          </cell>
          <cell r="E784" t="str">
            <v>Sydney</v>
          </cell>
          <cell r="F784" t="str">
            <v>NSW</v>
          </cell>
          <cell r="G784" t="str">
            <v>Corporate</v>
          </cell>
          <cell r="H784" t="str">
            <v>Mihael Khan</v>
          </cell>
          <cell r="I784" t="str">
            <v>Low</v>
          </cell>
          <cell r="J784" t="str">
            <v>Steady 52201 APSCO Electric Pencil Sharpener</v>
          </cell>
          <cell r="K784" t="str">
            <v>Office Supplies</v>
          </cell>
          <cell r="L784" t="str">
            <v>Small Pack</v>
          </cell>
          <cell r="M784" t="str">
            <v>Express Air</v>
          </cell>
          <cell r="N784">
            <v>42373</v>
          </cell>
          <cell r="O784">
            <v>16.8</v>
          </cell>
          <cell r="P784">
            <v>40.97</v>
          </cell>
          <cell r="Q784">
            <v>49</v>
          </cell>
          <cell r="R784">
            <v>2007.53</v>
          </cell>
          <cell r="S784">
            <v>0.1</v>
          </cell>
          <cell r="T784">
            <v>200.75300000000001</v>
          </cell>
          <cell r="U784">
            <v>2007.43</v>
          </cell>
          <cell r="V784">
            <v>8.99</v>
          </cell>
          <cell r="W784">
            <v>2016.42</v>
          </cell>
        </row>
        <row r="785">
          <cell r="A785" t="str">
            <v>6165-1</v>
          </cell>
          <cell r="B785">
            <v>42371</v>
          </cell>
          <cell r="C785" t="str">
            <v>Bart Folk</v>
          </cell>
          <cell r="D785" t="str">
            <v>Westfield Miranda, 600 Kingsway,Miranda</v>
          </cell>
          <cell r="E785" t="str">
            <v>Sydney</v>
          </cell>
          <cell r="F785" t="str">
            <v>NSW</v>
          </cell>
          <cell r="G785" t="str">
            <v>Corporate</v>
          </cell>
          <cell r="H785" t="str">
            <v>Preston Senome</v>
          </cell>
          <cell r="I785" t="str">
            <v>Not Specified</v>
          </cell>
          <cell r="J785" t="str">
            <v>TechSavi Cordless Access Keyboard</v>
          </cell>
          <cell r="K785" t="str">
            <v>Technology</v>
          </cell>
          <cell r="L785" t="str">
            <v>Small Box</v>
          </cell>
          <cell r="M785" t="str">
            <v>Regular Air</v>
          </cell>
          <cell r="N785">
            <v>42372</v>
          </cell>
          <cell r="O785">
            <v>14.7</v>
          </cell>
          <cell r="P785">
            <v>29.99</v>
          </cell>
          <cell r="Q785">
            <v>14</v>
          </cell>
          <cell r="R785">
            <v>419.85999999999996</v>
          </cell>
          <cell r="S785">
            <v>0.04</v>
          </cell>
          <cell r="T785">
            <v>16.7944</v>
          </cell>
          <cell r="U785">
            <v>419.81999999999994</v>
          </cell>
          <cell r="V785">
            <v>5.5</v>
          </cell>
          <cell r="W785">
            <v>425.31999999999994</v>
          </cell>
        </row>
        <row r="786">
          <cell r="A786" t="str">
            <v>6166-1</v>
          </cell>
          <cell r="B786">
            <v>42378</v>
          </cell>
          <cell r="C786" t="str">
            <v>Lena Creighton</v>
          </cell>
          <cell r="D786" t="str">
            <v>127 Liverpool St,Sydney</v>
          </cell>
          <cell r="E786" t="str">
            <v>Sydney</v>
          </cell>
          <cell r="F786" t="str">
            <v>NSW</v>
          </cell>
          <cell r="G786" t="str">
            <v>Home Office</v>
          </cell>
          <cell r="H786" t="str">
            <v>Samantha Chairs</v>
          </cell>
          <cell r="I786" t="str">
            <v>High</v>
          </cell>
          <cell r="J786" t="str">
            <v>Steady Liquid Accent Highlighters</v>
          </cell>
          <cell r="K786" t="str">
            <v>Office Supplies</v>
          </cell>
          <cell r="L786" t="str">
            <v>Wrap Bag</v>
          </cell>
          <cell r="M786" t="str">
            <v>Regular Air</v>
          </cell>
          <cell r="N786">
            <v>42380</v>
          </cell>
          <cell r="O786">
            <v>3.47</v>
          </cell>
          <cell r="P786">
            <v>6.68</v>
          </cell>
          <cell r="Q786">
            <v>10</v>
          </cell>
          <cell r="R786">
            <v>66.8</v>
          </cell>
          <cell r="S786">
            <v>0.08</v>
          </cell>
          <cell r="T786">
            <v>5.3440000000000003</v>
          </cell>
          <cell r="U786">
            <v>66.72</v>
          </cell>
          <cell r="V786">
            <v>1.5</v>
          </cell>
          <cell r="W786">
            <v>68.22</v>
          </cell>
        </row>
        <row r="787">
          <cell r="A787" t="str">
            <v>6167-1</v>
          </cell>
          <cell r="B787">
            <v>42381</v>
          </cell>
          <cell r="C787" t="str">
            <v>Dave Hallsten</v>
          </cell>
          <cell r="D787" t="str">
            <v>1 John St,Waterloo</v>
          </cell>
          <cell r="E787" t="str">
            <v>Sydney</v>
          </cell>
          <cell r="F787" t="str">
            <v>NSW</v>
          </cell>
          <cell r="G787" t="str">
            <v>Home Office</v>
          </cell>
          <cell r="H787" t="str">
            <v>Charlie Bui</v>
          </cell>
          <cell r="I787" t="str">
            <v>High</v>
          </cell>
          <cell r="J787" t="str">
            <v>Artisan Legal 4-Ring Binder</v>
          </cell>
          <cell r="K787" t="str">
            <v>Office Supplies</v>
          </cell>
          <cell r="L787" t="str">
            <v>Small Box</v>
          </cell>
          <cell r="M787" t="str">
            <v>Regular Air</v>
          </cell>
          <cell r="N787">
            <v>42383</v>
          </cell>
          <cell r="O787">
            <v>13.64</v>
          </cell>
          <cell r="P787">
            <v>20.98</v>
          </cell>
          <cell r="Q787">
            <v>34</v>
          </cell>
          <cell r="R787">
            <v>713.32</v>
          </cell>
          <cell r="S787">
            <v>7.0000000000000007E-2</v>
          </cell>
          <cell r="T787">
            <v>49.932400000000008</v>
          </cell>
          <cell r="U787">
            <v>713.25</v>
          </cell>
          <cell r="V787">
            <v>1.49</v>
          </cell>
          <cell r="W787">
            <v>714.74</v>
          </cell>
        </row>
        <row r="788">
          <cell r="A788" t="str">
            <v>6169-1</v>
          </cell>
          <cell r="B788">
            <v>42386</v>
          </cell>
          <cell r="C788" t="str">
            <v>Cyra Reiten</v>
          </cell>
          <cell r="D788" t="str">
            <v>Westfield 1 Anderson St,Chatswood</v>
          </cell>
          <cell r="E788" t="str">
            <v>Sydney</v>
          </cell>
          <cell r="F788" t="str">
            <v>NSW</v>
          </cell>
          <cell r="G788" t="str">
            <v>Consumer</v>
          </cell>
          <cell r="H788" t="str">
            <v>Nicholas Fernandes</v>
          </cell>
          <cell r="I788" t="str">
            <v>Medium</v>
          </cell>
          <cell r="J788" t="str">
            <v>Laser Neon Mac Format Diskettes, 10/Pack</v>
          </cell>
          <cell r="K788" t="str">
            <v>Technology</v>
          </cell>
          <cell r="L788" t="str">
            <v>Small Pack</v>
          </cell>
          <cell r="M788" t="str">
            <v>Regular Air</v>
          </cell>
          <cell r="N788">
            <v>42386</v>
          </cell>
          <cell r="O788">
            <v>1.87</v>
          </cell>
          <cell r="P788">
            <v>8.1199999999999992</v>
          </cell>
          <cell r="Q788">
            <v>36</v>
          </cell>
          <cell r="R788">
            <v>292.32</v>
          </cell>
          <cell r="S788">
            <v>0.1</v>
          </cell>
          <cell r="T788">
            <v>29.231999999999999</v>
          </cell>
          <cell r="U788">
            <v>292.21999999999997</v>
          </cell>
          <cell r="V788">
            <v>2.83</v>
          </cell>
          <cell r="W788">
            <v>295.04999999999995</v>
          </cell>
        </row>
        <row r="789">
          <cell r="A789" t="str">
            <v>6170-1</v>
          </cell>
          <cell r="B789">
            <v>42386</v>
          </cell>
          <cell r="C789" t="str">
            <v>Maria Bertelson</v>
          </cell>
          <cell r="D789" t="str">
            <v>188 Pitt Street,Sydney</v>
          </cell>
          <cell r="E789" t="str">
            <v>Sydney</v>
          </cell>
          <cell r="F789" t="str">
            <v>NSW</v>
          </cell>
          <cell r="G789" t="str">
            <v>Home Office</v>
          </cell>
          <cell r="H789" t="str">
            <v>Tina Carlton</v>
          </cell>
          <cell r="I789" t="str">
            <v>Medium</v>
          </cell>
          <cell r="J789" t="str">
            <v>Smiths SlimLine Pencil Sharpener</v>
          </cell>
          <cell r="K789" t="str">
            <v>Office Supplies</v>
          </cell>
          <cell r="L789" t="str">
            <v>Small Pack</v>
          </cell>
          <cell r="M789" t="str">
            <v>Regular Air</v>
          </cell>
          <cell r="N789">
            <v>42388</v>
          </cell>
          <cell r="O789">
            <v>4.79</v>
          </cell>
          <cell r="P789">
            <v>11.97</v>
          </cell>
          <cell r="Q789">
            <v>28</v>
          </cell>
          <cell r="R789">
            <v>335.16</v>
          </cell>
          <cell r="S789">
            <v>0.03</v>
          </cell>
          <cell r="T789">
            <v>10.0548</v>
          </cell>
          <cell r="U789">
            <v>335.13000000000005</v>
          </cell>
          <cell r="V789">
            <v>5.81</v>
          </cell>
          <cell r="W789">
            <v>340.94000000000005</v>
          </cell>
        </row>
        <row r="790">
          <cell r="A790" t="str">
            <v>6172-1</v>
          </cell>
          <cell r="B790">
            <v>42387</v>
          </cell>
          <cell r="C790" t="str">
            <v>Nicole Brennan</v>
          </cell>
          <cell r="D790" t="str">
            <v>310 Wattle St,Ultimo</v>
          </cell>
          <cell r="E790" t="str">
            <v>Sydney</v>
          </cell>
          <cell r="F790" t="str">
            <v>NSW</v>
          </cell>
          <cell r="G790" t="str">
            <v>Home Office</v>
          </cell>
          <cell r="H790" t="str">
            <v>Aanya Zhang</v>
          </cell>
          <cell r="I790" t="str">
            <v>Not Specified</v>
          </cell>
          <cell r="J790" t="str">
            <v>TechSavi Access Keyboard</v>
          </cell>
          <cell r="K790" t="str">
            <v>Technology</v>
          </cell>
          <cell r="L790" t="str">
            <v>Small Box</v>
          </cell>
          <cell r="M790" t="str">
            <v>Regular Air</v>
          </cell>
          <cell r="N790">
            <v>42389</v>
          </cell>
          <cell r="O790">
            <v>8.31</v>
          </cell>
          <cell r="P790">
            <v>15.98</v>
          </cell>
          <cell r="Q790">
            <v>4</v>
          </cell>
          <cell r="R790">
            <v>63.92</v>
          </cell>
          <cell r="S790">
            <v>0.09</v>
          </cell>
          <cell r="T790">
            <v>5.7527999999999997</v>
          </cell>
          <cell r="U790">
            <v>63.83</v>
          </cell>
          <cell r="V790">
            <v>6.5</v>
          </cell>
          <cell r="W790">
            <v>70.33</v>
          </cell>
        </row>
        <row r="791">
          <cell r="A791" t="str">
            <v>6174-1</v>
          </cell>
          <cell r="B791">
            <v>42388</v>
          </cell>
          <cell r="C791" t="str">
            <v>Tamara Willingham</v>
          </cell>
          <cell r="D791" t="str">
            <v>Sydney Fish Market, Bank Street, Sydney</v>
          </cell>
          <cell r="E791" t="str">
            <v>Sydney</v>
          </cell>
          <cell r="F791" t="str">
            <v>NSW</v>
          </cell>
          <cell r="G791" t="str">
            <v>Corporate</v>
          </cell>
          <cell r="H791" t="str">
            <v>Phoebe Gour</v>
          </cell>
          <cell r="I791" t="str">
            <v>High</v>
          </cell>
          <cell r="J791" t="str">
            <v>Beekin 6 Outlet Metallic Surge Strip</v>
          </cell>
          <cell r="K791" t="str">
            <v>Office Supplies</v>
          </cell>
          <cell r="L791" t="str">
            <v>Small Box</v>
          </cell>
          <cell r="M791" t="str">
            <v>Regular Air</v>
          </cell>
          <cell r="N791">
            <v>42388</v>
          </cell>
          <cell r="O791">
            <v>4.46</v>
          </cell>
          <cell r="P791">
            <v>10.89</v>
          </cell>
          <cell r="Q791">
            <v>25</v>
          </cell>
          <cell r="R791">
            <v>272.25</v>
          </cell>
          <cell r="S791">
            <v>0.03</v>
          </cell>
          <cell r="T791">
            <v>8.1675000000000004</v>
          </cell>
          <cell r="U791">
            <v>272.22000000000003</v>
          </cell>
          <cell r="V791">
            <v>4.5</v>
          </cell>
          <cell r="W791">
            <v>276.72000000000003</v>
          </cell>
        </row>
        <row r="792">
          <cell r="A792" t="str">
            <v>6175-1</v>
          </cell>
          <cell r="B792">
            <v>42388</v>
          </cell>
          <cell r="C792" t="str">
            <v>Sue Ann Reed</v>
          </cell>
          <cell r="D792" t="str">
            <v>501 George St,Sydney</v>
          </cell>
          <cell r="E792" t="str">
            <v>Sydney</v>
          </cell>
          <cell r="F792" t="str">
            <v>NSW</v>
          </cell>
          <cell r="G792" t="str">
            <v>Consumer</v>
          </cell>
          <cell r="H792" t="str">
            <v>Samantha Chairs</v>
          </cell>
          <cell r="I792" t="str">
            <v>Critical</v>
          </cell>
          <cell r="J792" t="str">
            <v>Office Shears by Apex</v>
          </cell>
          <cell r="K792" t="str">
            <v>Office Supplies</v>
          </cell>
          <cell r="L792" t="str">
            <v>Small Pack</v>
          </cell>
          <cell r="M792" t="str">
            <v>Regular Air</v>
          </cell>
          <cell r="N792">
            <v>42388</v>
          </cell>
          <cell r="O792">
            <v>0.94</v>
          </cell>
          <cell r="P792">
            <v>2.08</v>
          </cell>
          <cell r="Q792">
            <v>33</v>
          </cell>
          <cell r="R792">
            <v>68.64</v>
          </cell>
          <cell r="S792">
            <v>0.05</v>
          </cell>
          <cell r="T792">
            <v>3.4320000000000004</v>
          </cell>
          <cell r="U792">
            <v>68.59</v>
          </cell>
          <cell r="V792">
            <v>2.56</v>
          </cell>
          <cell r="W792">
            <v>71.150000000000006</v>
          </cell>
        </row>
        <row r="793">
          <cell r="A793" t="str">
            <v>6176-1</v>
          </cell>
          <cell r="B793">
            <v>42388</v>
          </cell>
          <cell r="C793" t="str">
            <v>Justin MacKendrick</v>
          </cell>
          <cell r="D793" t="str">
            <v>53-55 Liverpool Street,Sydney</v>
          </cell>
          <cell r="E793" t="str">
            <v>Sydney</v>
          </cell>
          <cell r="F793" t="str">
            <v>NSW</v>
          </cell>
          <cell r="G793" t="str">
            <v>Corporate</v>
          </cell>
          <cell r="H793" t="str">
            <v>Tina Carlton</v>
          </cell>
          <cell r="I793" t="str">
            <v>Critical</v>
          </cell>
          <cell r="J793" t="str">
            <v>UGen Ultra Professional Cordless Optical Suite</v>
          </cell>
          <cell r="K793" t="str">
            <v>Technology</v>
          </cell>
          <cell r="L793" t="str">
            <v>Small Box</v>
          </cell>
          <cell r="M793" t="str">
            <v>Regular Air</v>
          </cell>
          <cell r="N793">
            <v>42388</v>
          </cell>
          <cell r="O793">
            <v>156.5</v>
          </cell>
          <cell r="P793">
            <v>300.97000000000003</v>
          </cell>
          <cell r="Q793">
            <v>43</v>
          </cell>
          <cell r="R793">
            <v>12941.710000000001</v>
          </cell>
          <cell r="S793">
            <v>0.08</v>
          </cell>
          <cell r="T793">
            <v>1035.3368</v>
          </cell>
          <cell r="U793">
            <v>12941.630000000001</v>
          </cell>
          <cell r="V793">
            <v>7.18</v>
          </cell>
          <cell r="W793">
            <v>12948.810000000001</v>
          </cell>
        </row>
        <row r="794">
          <cell r="A794" t="str">
            <v>6177-1</v>
          </cell>
          <cell r="B794">
            <v>42393</v>
          </cell>
          <cell r="C794" t="str">
            <v>Joy Bell</v>
          </cell>
          <cell r="D794" t="str">
            <v>Westfield Miranda, 600 Kingsway,Miranda</v>
          </cell>
          <cell r="E794" t="str">
            <v>Sydney</v>
          </cell>
          <cell r="F794" t="str">
            <v>NSW</v>
          </cell>
          <cell r="G794" t="str">
            <v>Home Office</v>
          </cell>
          <cell r="H794" t="str">
            <v>Preston Senome</v>
          </cell>
          <cell r="I794" t="str">
            <v>Critical</v>
          </cell>
          <cell r="J794" t="str">
            <v>Apex Straight Scissors</v>
          </cell>
          <cell r="K794" t="str">
            <v>Office Supplies</v>
          </cell>
          <cell r="L794" t="str">
            <v>Small Pack</v>
          </cell>
          <cell r="M794" t="str">
            <v>Regular Air</v>
          </cell>
          <cell r="N794">
            <v>42394</v>
          </cell>
          <cell r="O794">
            <v>5.19</v>
          </cell>
          <cell r="P794">
            <v>12.98</v>
          </cell>
          <cell r="Q794">
            <v>50</v>
          </cell>
          <cell r="R794">
            <v>649</v>
          </cell>
          <cell r="S794">
            <v>0.08</v>
          </cell>
          <cell r="T794">
            <v>51.92</v>
          </cell>
          <cell r="U794">
            <v>648.91999999999996</v>
          </cell>
          <cell r="V794">
            <v>3.14</v>
          </cell>
          <cell r="W794">
            <v>652.05999999999995</v>
          </cell>
        </row>
        <row r="795">
          <cell r="A795" t="str">
            <v>6179-1</v>
          </cell>
          <cell r="B795">
            <v>42395</v>
          </cell>
          <cell r="C795" t="str">
            <v>Aleksandra Gannaway</v>
          </cell>
          <cell r="D795" t="str">
            <v>Hoyts Entertainment Quarter 122 Lang Road,Moore Park</v>
          </cell>
          <cell r="E795" t="str">
            <v>Sydney</v>
          </cell>
          <cell r="F795" t="str">
            <v>NSW</v>
          </cell>
          <cell r="G795" t="str">
            <v>Corporate</v>
          </cell>
          <cell r="H795" t="str">
            <v>Tina Carlton</v>
          </cell>
          <cell r="I795" t="str">
            <v>High</v>
          </cell>
          <cell r="J795" t="str">
            <v>Message Book, One Form per Page</v>
          </cell>
          <cell r="K795" t="str">
            <v>Office Supplies</v>
          </cell>
          <cell r="L795" t="str">
            <v>Wrap Bag</v>
          </cell>
          <cell r="M795" t="str">
            <v>Express Air</v>
          </cell>
          <cell r="N795">
            <v>42397</v>
          </cell>
          <cell r="O795">
            <v>2.41</v>
          </cell>
          <cell r="P795">
            <v>3.71</v>
          </cell>
          <cell r="Q795">
            <v>16</v>
          </cell>
          <cell r="R795">
            <v>59.36</v>
          </cell>
          <cell r="S795">
            <v>0.1</v>
          </cell>
          <cell r="T795">
            <v>5.9359999999999999</v>
          </cell>
          <cell r="U795">
            <v>59.26</v>
          </cell>
          <cell r="V795">
            <v>1.93</v>
          </cell>
          <cell r="W795">
            <v>61.19</v>
          </cell>
        </row>
        <row r="796">
          <cell r="A796" t="str">
            <v>6181-1</v>
          </cell>
          <cell r="B796">
            <v>42397</v>
          </cell>
          <cell r="C796" t="str">
            <v>Patrick ODonnell</v>
          </cell>
          <cell r="D796" t="str">
            <v>21 Wentworth St,Parramatta</v>
          </cell>
          <cell r="E796" t="str">
            <v>Sydney</v>
          </cell>
          <cell r="F796" t="str">
            <v>NSW</v>
          </cell>
          <cell r="G796" t="str">
            <v>Home Office</v>
          </cell>
          <cell r="H796" t="str">
            <v>Aanya Zhang</v>
          </cell>
          <cell r="I796" t="str">
            <v>Medium</v>
          </cell>
          <cell r="J796" t="str">
            <v>Adesso Programmable 142-Key Keyboard</v>
          </cell>
          <cell r="K796" t="str">
            <v>Technology</v>
          </cell>
          <cell r="L796" t="str">
            <v>Small Box</v>
          </cell>
          <cell r="M796" t="str">
            <v>Regular Air</v>
          </cell>
          <cell r="N796">
            <v>42398</v>
          </cell>
          <cell r="O796">
            <v>39.64</v>
          </cell>
          <cell r="P796">
            <v>152.47999999999999</v>
          </cell>
          <cell r="Q796">
            <v>27</v>
          </cell>
          <cell r="R796">
            <v>4116.96</v>
          </cell>
          <cell r="S796">
            <v>0.1</v>
          </cell>
          <cell r="T796">
            <v>411.69600000000003</v>
          </cell>
          <cell r="U796">
            <v>4116.8599999999997</v>
          </cell>
          <cell r="V796">
            <v>6.5</v>
          </cell>
          <cell r="W796">
            <v>4123.3599999999997</v>
          </cell>
        </row>
        <row r="797">
          <cell r="A797" t="str">
            <v>6183-1</v>
          </cell>
          <cell r="B797">
            <v>42397</v>
          </cell>
          <cell r="C797" t="str">
            <v>Noel Staavos</v>
          </cell>
          <cell r="D797" t="str">
            <v>85-113 Dunning Ave,Roseberry</v>
          </cell>
          <cell r="E797" t="str">
            <v>Sydney</v>
          </cell>
          <cell r="F797" t="str">
            <v>NSW</v>
          </cell>
          <cell r="G797" t="str">
            <v>Home Office</v>
          </cell>
          <cell r="H797" t="str">
            <v>Mihael Khan</v>
          </cell>
          <cell r="I797" t="str">
            <v>Critical</v>
          </cell>
          <cell r="J797" t="str">
            <v>Unpadded Memo Slips</v>
          </cell>
          <cell r="K797" t="str">
            <v>Office Supplies</v>
          </cell>
          <cell r="L797" t="str">
            <v>Wrap Bag</v>
          </cell>
          <cell r="M797" t="str">
            <v>Regular Air</v>
          </cell>
          <cell r="N797">
            <v>42399</v>
          </cell>
          <cell r="O797">
            <v>2.59</v>
          </cell>
          <cell r="P797">
            <v>3.98</v>
          </cell>
          <cell r="Q797">
            <v>41</v>
          </cell>
          <cell r="R797">
            <v>163.18</v>
          </cell>
          <cell r="S797">
            <v>0.1</v>
          </cell>
          <cell r="T797">
            <v>16.318000000000001</v>
          </cell>
          <cell r="U797">
            <v>163.08000000000001</v>
          </cell>
          <cell r="V797">
            <v>2.97</v>
          </cell>
          <cell r="W797">
            <v>166.05</v>
          </cell>
        </row>
        <row r="798">
          <cell r="A798" t="str">
            <v>6184-1</v>
          </cell>
          <cell r="B798">
            <v>42398</v>
          </cell>
          <cell r="C798" t="str">
            <v>Bryan Spruell</v>
          </cell>
          <cell r="D798" t="str">
            <v>1 John Street,Waterloo</v>
          </cell>
          <cell r="E798" t="str">
            <v>Sydney</v>
          </cell>
          <cell r="F798" t="str">
            <v>NSW</v>
          </cell>
          <cell r="G798" t="str">
            <v>Home Office</v>
          </cell>
          <cell r="H798" t="str">
            <v>Charlie Bui</v>
          </cell>
          <cell r="I798" t="str">
            <v>Not Specified</v>
          </cell>
          <cell r="J798" t="str">
            <v>Pizazz Drawing Pencil Set</v>
          </cell>
          <cell r="K798" t="str">
            <v>Office Supplies</v>
          </cell>
          <cell r="L798" t="str">
            <v>Wrap Bag</v>
          </cell>
          <cell r="M798" t="str">
            <v>Regular Air</v>
          </cell>
          <cell r="N798">
            <v>42400</v>
          </cell>
          <cell r="O798">
            <v>1.53</v>
          </cell>
          <cell r="P798">
            <v>2.78</v>
          </cell>
          <cell r="Q798">
            <v>38</v>
          </cell>
          <cell r="R798">
            <v>105.63999999999999</v>
          </cell>
          <cell r="S798">
            <v>0</v>
          </cell>
          <cell r="T798">
            <v>0</v>
          </cell>
          <cell r="U798">
            <v>105.63999999999999</v>
          </cell>
          <cell r="V798">
            <v>1.34</v>
          </cell>
          <cell r="W798">
            <v>106.97999999999999</v>
          </cell>
        </row>
        <row r="799">
          <cell r="A799" t="str">
            <v>6186-1</v>
          </cell>
          <cell r="B799">
            <v>42401</v>
          </cell>
          <cell r="C799" t="str">
            <v>Patrick Gardner</v>
          </cell>
          <cell r="D799" t="str">
            <v>224A Gertrude St,Fitzroy</v>
          </cell>
          <cell r="E799" t="str">
            <v>Melbourne</v>
          </cell>
          <cell r="F799" t="str">
            <v>VIC</v>
          </cell>
          <cell r="G799" t="str">
            <v>Consumer</v>
          </cell>
          <cell r="H799" t="str">
            <v>Connor Betts</v>
          </cell>
          <cell r="I799" t="str">
            <v>High</v>
          </cell>
          <cell r="J799" t="str">
            <v>Artisan Reinforcements for Hole-Punch Pages</v>
          </cell>
          <cell r="K799" t="str">
            <v>Office Supplies</v>
          </cell>
          <cell r="L799" t="str">
            <v>Small Box</v>
          </cell>
          <cell r="M799" t="str">
            <v>Regular Air</v>
          </cell>
          <cell r="N799">
            <v>42402</v>
          </cell>
          <cell r="O799">
            <v>1.19</v>
          </cell>
          <cell r="P799">
            <v>1.98</v>
          </cell>
          <cell r="Q799">
            <v>12</v>
          </cell>
          <cell r="R799">
            <v>23.759999999999998</v>
          </cell>
          <cell r="S799">
            <v>7.0000000000000007E-2</v>
          </cell>
          <cell r="T799">
            <v>1.6632</v>
          </cell>
          <cell r="U799">
            <v>23.689999999999998</v>
          </cell>
          <cell r="V799">
            <v>4.7699999999999996</v>
          </cell>
          <cell r="W799">
            <v>28.459999999999997</v>
          </cell>
        </row>
        <row r="800">
          <cell r="A800" t="str">
            <v>6187-1</v>
          </cell>
          <cell r="B800">
            <v>42403</v>
          </cell>
          <cell r="C800" t="str">
            <v>Darrin Martin</v>
          </cell>
          <cell r="D800" t="str">
            <v>221 Barkly St,St Kilda</v>
          </cell>
          <cell r="E800" t="str">
            <v>Melbourne</v>
          </cell>
          <cell r="F800" t="str">
            <v>VIC</v>
          </cell>
          <cell r="G800" t="str">
            <v>Small Business</v>
          </cell>
          <cell r="H800" t="str">
            <v>Yvette Biti</v>
          </cell>
          <cell r="I800" t="str">
            <v>Low</v>
          </cell>
          <cell r="J800" t="str">
            <v>Smiths Bulk Pack Metal Binder Clips</v>
          </cell>
          <cell r="K800" t="str">
            <v>Office Supplies</v>
          </cell>
          <cell r="L800" t="str">
            <v>Wrap Bag</v>
          </cell>
          <cell r="M800" t="str">
            <v>Regular Air</v>
          </cell>
          <cell r="N800">
            <v>42405</v>
          </cell>
          <cell r="O800">
            <v>3.95</v>
          </cell>
          <cell r="P800">
            <v>6.08</v>
          </cell>
          <cell r="Q800">
            <v>42</v>
          </cell>
          <cell r="R800">
            <v>255.36</v>
          </cell>
          <cell r="S800">
            <v>0.09</v>
          </cell>
          <cell r="T800">
            <v>22.982400000000002</v>
          </cell>
          <cell r="U800">
            <v>255.27</v>
          </cell>
          <cell r="V800">
            <v>1.82</v>
          </cell>
          <cell r="W800">
            <v>257.09000000000003</v>
          </cell>
        </row>
        <row r="801">
          <cell r="A801" t="str">
            <v>6189-1</v>
          </cell>
          <cell r="B801">
            <v>42404</v>
          </cell>
          <cell r="C801" t="str">
            <v>Cyma Kinney</v>
          </cell>
          <cell r="D801" t="str">
            <v>Sydney Fish Market, Bank Street, Sydney</v>
          </cell>
          <cell r="E801" t="str">
            <v>Sydney</v>
          </cell>
          <cell r="F801" t="str">
            <v>NSW</v>
          </cell>
          <cell r="G801" t="str">
            <v>Small Business</v>
          </cell>
          <cell r="H801" t="str">
            <v>Phoebe Gour</v>
          </cell>
          <cell r="I801" t="str">
            <v>Not Specified</v>
          </cell>
          <cell r="J801" t="str">
            <v>Steady 52201 APSCO Electric Pencil Sharpener</v>
          </cell>
          <cell r="K801" t="str">
            <v>Office Supplies</v>
          </cell>
          <cell r="L801" t="str">
            <v>Small Pack</v>
          </cell>
          <cell r="M801" t="str">
            <v>Express Air</v>
          </cell>
          <cell r="N801">
            <v>42405</v>
          </cell>
          <cell r="O801">
            <v>16.8</v>
          </cell>
          <cell r="P801">
            <v>40.97</v>
          </cell>
          <cell r="Q801">
            <v>49</v>
          </cell>
          <cell r="R801">
            <v>2007.53</v>
          </cell>
          <cell r="S801">
            <v>0.04</v>
          </cell>
          <cell r="T801">
            <v>80.301199999999994</v>
          </cell>
          <cell r="U801">
            <v>2007.49</v>
          </cell>
          <cell r="V801">
            <v>8.99</v>
          </cell>
          <cell r="W801">
            <v>2016.48</v>
          </cell>
        </row>
        <row r="802">
          <cell r="A802" t="str">
            <v>6190-1</v>
          </cell>
          <cell r="B802">
            <v>42408</v>
          </cell>
          <cell r="C802" t="str">
            <v>Ed Braxton</v>
          </cell>
          <cell r="D802" t="str">
            <v>499-501 Lygon Street,Carlton North</v>
          </cell>
          <cell r="E802" t="str">
            <v>Melbourne</v>
          </cell>
          <cell r="F802" t="str">
            <v>VIC</v>
          </cell>
          <cell r="G802" t="str">
            <v>Home Office</v>
          </cell>
          <cell r="H802" t="str">
            <v>Yvette Biti</v>
          </cell>
          <cell r="I802" t="str">
            <v>Medium</v>
          </cell>
          <cell r="J802" t="str">
            <v>DrawIt Colored Pencils, 48-Color Set</v>
          </cell>
          <cell r="K802" t="str">
            <v>Office Supplies</v>
          </cell>
          <cell r="L802" t="str">
            <v>Wrap Bag</v>
          </cell>
          <cell r="M802" t="str">
            <v>Regular Air</v>
          </cell>
          <cell r="N802">
            <v>42409</v>
          </cell>
          <cell r="O802">
            <v>21.56</v>
          </cell>
          <cell r="P802">
            <v>36.549999999999997</v>
          </cell>
          <cell r="Q802">
            <v>6</v>
          </cell>
          <cell r="R802">
            <v>219.29999999999998</v>
          </cell>
          <cell r="S802">
            <v>0.01</v>
          </cell>
          <cell r="T802">
            <v>2.1930000000000001</v>
          </cell>
          <cell r="U802">
            <v>219.29</v>
          </cell>
          <cell r="V802">
            <v>13.89</v>
          </cell>
          <cell r="W802">
            <v>233.18</v>
          </cell>
        </row>
        <row r="803">
          <cell r="A803" t="str">
            <v>6191-1</v>
          </cell>
          <cell r="B803">
            <v>42409</v>
          </cell>
          <cell r="C803" t="str">
            <v>Roy Skaria</v>
          </cell>
          <cell r="D803" t="str">
            <v>2/797 Botany Rd,Rosebery</v>
          </cell>
          <cell r="E803" t="str">
            <v>Sydney</v>
          </cell>
          <cell r="F803" t="str">
            <v>NSW</v>
          </cell>
          <cell r="G803" t="str">
            <v>Corporate</v>
          </cell>
          <cell r="H803" t="str">
            <v>Samantha Chairs</v>
          </cell>
          <cell r="I803" t="str">
            <v>Low</v>
          </cell>
          <cell r="J803" t="str">
            <v>Unpadded Memo Slips</v>
          </cell>
          <cell r="K803" t="str">
            <v>Office Supplies</v>
          </cell>
          <cell r="L803" t="str">
            <v>Wrap Bag</v>
          </cell>
          <cell r="M803" t="str">
            <v>Regular Air</v>
          </cell>
          <cell r="N803">
            <v>42414</v>
          </cell>
          <cell r="O803">
            <v>2.59</v>
          </cell>
          <cell r="P803">
            <v>3.98</v>
          </cell>
          <cell r="Q803">
            <v>50</v>
          </cell>
          <cell r="R803">
            <v>199</v>
          </cell>
          <cell r="S803">
            <v>0.08</v>
          </cell>
          <cell r="T803">
            <v>15.92</v>
          </cell>
          <cell r="U803">
            <v>198.92</v>
          </cell>
          <cell r="V803">
            <v>2.97</v>
          </cell>
          <cell r="W803">
            <v>201.89</v>
          </cell>
        </row>
        <row r="804">
          <cell r="A804" t="str">
            <v>6193-1</v>
          </cell>
          <cell r="B804">
            <v>42410</v>
          </cell>
          <cell r="C804" t="str">
            <v>Roy Skaria</v>
          </cell>
          <cell r="D804" t="str">
            <v>2/797 Botany Rd,Rosebery</v>
          </cell>
          <cell r="E804" t="str">
            <v>Sydney</v>
          </cell>
          <cell r="F804" t="str">
            <v>NSW</v>
          </cell>
          <cell r="G804" t="str">
            <v>Corporate</v>
          </cell>
          <cell r="H804" t="str">
            <v>Samantha Chairs</v>
          </cell>
          <cell r="I804" t="str">
            <v>Medium</v>
          </cell>
          <cell r="J804" t="str">
            <v>PastelOcean Color Pencil Set</v>
          </cell>
          <cell r="K804" t="str">
            <v>Office Supplies</v>
          </cell>
          <cell r="L804" t="str">
            <v>Wrap Bag</v>
          </cell>
          <cell r="M804" t="str">
            <v>Regular Air</v>
          </cell>
          <cell r="N804">
            <v>42411</v>
          </cell>
          <cell r="O804">
            <v>11.11</v>
          </cell>
          <cell r="P804">
            <v>19.84</v>
          </cell>
          <cell r="Q804">
            <v>10</v>
          </cell>
          <cell r="R804">
            <v>198.4</v>
          </cell>
          <cell r="S804">
            <v>0.05</v>
          </cell>
          <cell r="T804">
            <v>9.9200000000000017</v>
          </cell>
          <cell r="U804">
            <v>198.35</v>
          </cell>
          <cell r="V804">
            <v>4.0999999999999996</v>
          </cell>
          <cell r="W804">
            <v>202.45</v>
          </cell>
        </row>
        <row r="805">
          <cell r="A805" t="str">
            <v>6194-1</v>
          </cell>
          <cell r="B805">
            <v>42411</v>
          </cell>
          <cell r="C805" t="str">
            <v>Ralph Knight</v>
          </cell>
          <cell r="D805" t="str">
            <v>5/63-71 Enmore Rd,Newtown</v>
          </cell>
          <cell r="E805" t="str">
            <v>Sydney</v>
          </cell>
          <cell r="F805" t="str">
            <v>NSW</v>
          </cell>
          <cell r="G805" t="str">
            <v>Consumer</v>
          </cell>
          <cell r="H805" t="str">
            <v>Charlie Bui</v>
          </cell>
          <cell r="I805" t="str">
            <v>Medium</v>
          </cell>
          <cell r="J805" t="str">
            <v>600 Series Flip</v>
          </cell>
          <cell r="K805" t="str">
            <v>Technology</v>
          </cell>
          <cell r="L805" t="str">
            <v>Small Box</v>
          </cell>
          <cell r="M805" t="str">
            <v>Regular Air</v>
          </cell>
          <cell r="N805">
            <v>42413</v>
          </cell>
          <cell r="O805">
            <v>41.28</v>
          </cell>
          <cell r="P805">
            <v>95.99</v>
          </cell>
          <cell r="Q805">
            <v>14</v>
          </cell>
          <cell r="R805">
            <v>1343.86</v>
          </cell>
          <cell r="S805">
            <v>0.04</v>
          </cell>
          <cell r="T805">
            <v>53.754399999999997</v>
          </cell>
          <cell r="U805">
            <v>1343.82</v>
          </cell>
          <cell r="V805">
            <v>8.99</v>
          </cell>
          <cell r="W805">
            <v>1352.81</v>
          </cell>
        </row>
        <row r="806">
          <cell r="A806" t="str">
            <v>6196-1</v>
          </cell>
          <cell r="B806">
            <v>42411</v>
          </cell>
          <cell r="C806" t="str">
            <v>Eva Jacobs</v>
          </cell>
          <cell r="D806" t="str">
            <v>Westfield 1 Anderson St,Chatswood</v>
          </cell>
          <cell r="E806" t="str">
            <v>Sydney</v>
          </cell>
          <cell r="F806" t="str">
            <v>NSW</v>
          </cell>
          <cell r="G806" t="str">
            <v>Home Office</v>
          </cell>
          <cell r="H806" t="str">
            <v>Nicholas Fernandes</v>
          </cell>
          <cell r="I806" t="str">
            <v>Low</v>
          </cell>
          <cell r="J806" t="str">
            <v>Multimedia Mailers</v>
          </cell>
          <cell r="K806" t="str">
            <v>Office Supplies</v>
          </cell>
          <cell r="L806" t="str">
            <v>Small Box</v>
          </cell>
          <cell r="M806" t="str">
            <v>Regular Air</v>
          </cell>
          <cell r="N806">
            <v>42420</v>
          </cell>
          <cell r="O806">
            <v>99.39</v>
          </cell>
          <cell r="P806">
            <v>162.93</v>
          </cell>
          <cell r="Q806">
            <v>22</v>
          </cell>
          <cell r="R806">
            <v>3584.46</v>
          </cell>
          <cell r="S806">
            <v>7.0000000000000007E-2</v>
          </cell>
          <cell r="T806">
            <v>250.91220000000001</v>
          </cell>
          <cell r="U806">
            <v>3584.39</v>
          </cell>
          <cell r="V806">
            <v>19.989999999999998</v>
          </cell>
          <cell r="W806">
            <v>3604.3799999999997</v>
          </cell>
        </row>
        <row r="807">
          <cell r="A807" t="str">
            <v>6201-1</v>
          </cell>
          <cell r="B807">
            <v>42413</v>
          </cell>
          <cell r="C807" t="str">
            <v>Gary Hansen</v>
          </cell>
          <cell r="D807" t="str">
            <v>273 George Street,Sydney</v>
          </cell>
          <cell r="E807" t="str">
            <v>Sydney</v>
          </cell>
          <cell r="F807" t="str">
            <v>NSW</v>
          </cell>
          <cell r="G807" t="str">
            <v>Consumer</v>
          </cell>
          <cell r="H807" t="str">
            <v>Leighton Forrest</v>
          </cell>
          <cell r="I807" t="str">
            <v>High</v>
          </cell>
          <cell r="J807" t="str">
            <v>Aluminum Document Frame</v>
          </cell>
          <cell r="K807" t="str">
            <v>Furniture</v>
          </cell>
          <cell r="L807" t="str">
            <v>Small Pack</v>
          </cell>
          <cell r="M807" t="str">
            <v>Regular Air</v>
          </cell>
          <cell r="N807">
            <v>42414</v>
          </cell>
          <cell r="O807">
            <v>5.5</v>
          </cell>
          <cell r="P807">
            <v>12.22</v>
          </cell>
          <cell r="Q807">
            <v>10</v>
          </cell>
          <cell r="R807">
            <v>122.2</v>
          </cell>
          <cell r="S807">
            <v>0.1</v>
          </cell>
          <cell r="T807">
            <v>12.22</v>
          </cell>
          <cell r="U807">
            <v>122.10000000000001</v>
          </cell>
          <cell r="V807">
            <v>2.85</v>
          </cell>
          <cell r="W807">
            <v>124.95</v>
          </cell>
        </row>
        <row r="808">
          <cell r="A808" t="str">
            <v>6203-1</v>
          </cell>
          <cell r="B808">
            <v>42413</v>
          </cell>
          <cell r="C808" t="str">
            <v>Scot Coram</v>
          </cell>
          <cell r="D808" t="str">
            <v>2-4 College Street, Darlinghurst</v>
          </cell>
          <cell r="E808" t="str">
            <v>Sydney</v>
          </cell>
          <cell r="F808" t="str">
            <v>NSW</v>
          </cell>
          <cell r="G808" t="str">
            <v>Corporate</v>
          </cell>
          <cell r="H808" t="str">
            <v>Nicholas Fernandes</v>
          </cell>
          <cell r="I808" t="str">
            <v>High</v>
          </cell>
          <cell r="J808" t="str">
            <v>Apex Box Cutter Scissors</v>
          </cell>
          <cell r="K808" t="str">
            <v>Office Supplies</v>
          </cell>
          <cell r="L808" t="str">
            <v>Small Pack</v>
          </cell>
          <cell r="M808" t="str">
            <v>Express Air</v>
          </cell>
          <cell r="N808">
            <v>42416</v>
          </cell>
          <cell r="O808">
            <v>4.1900000000000004</v>
          </cell>
          <cell r="P808">
            <v>10.23</v>
          </cell>
          <cell r="Q808">
            <v>19</v>
          </cell>
          <cell r="R808">
            <v>194.37</v>
          </cell>
          <cell r="S808">
            <v>0.08</v>
          </cell>
          <cell r="T808">
            <v>15.5496</v>
          </cell>
          <cell r="U808">
            <v>194.29</v>
          </cell>
          <cell r="V808">
            <v>4.68</v>
          </cell>
          <cell r="W808">
            <v>198.97</v>
          </cell>
        </row>
        <row r="809">
          <cell r="A809" t="str">
            <v>6204-1</v>
          </cell>
          <cell r="B809">
            <v>42413</v>
          </cell>
          <cell r="C809" t="str">
            <v>Pete Armstrong</v>
          </cell>
          <cell r="D809" t="str">
            <v>506 Swan Street,Richmond</v>
          </cell>
          <cell r="E809" t="str">
            <v>Melbourne</v>
          </cell>
          <cell r="F809" t="str">
            <v>VIC</v>
          </cell>
          <cell r="G809" t="str">
            <v>Consumer</v>
          </cell>
          <cell r="H809" t="str">
            <v>Connor Betts</v>
          </cell>
          <cell r="I809" t="str">
            <v>High</v>
          </cell>
          <cell r="J809" t="str">
            <v>Wirebound Voice Message Log Book</v>
          </cell>
          <cell r="K809" t="str">
            <v>Office Supplies</v>
          </cell>
          <cell r="L809" t="str">
            <v>Wrap Bag</v>
          </cell>
          <cell r="M809" t="str">
            <v>Regular Air</v>
          </cell>
          <cell r="N809">
            <v>42416</v>
          </cell>
          <cell r="O809">
            <v>2.9</v>
          </cell>
          <cell r="P809">
            <v>4.76</v>
          </cell>
          <cell r="Q809">
            <v>33</v>
          </cell>
          <cell r="R809">
            <v>157.07999999999998</v>
          </cell>
          <cell r="S809">
            <v>0.06</v>
          </cell>
          <cell r="T809">
            <v>9.4247999999999994</v>
          </cell>
          <cell r="U809">
            <v>157.01999999999998</v>
          </cell>
          <cell r="V809">
            <v>0.88</v>
          </cell>
          <cell r="W809">
            <v>157.89999999999998</v>
          </cell>
        </row>
        <row r="810">
          <cell r="A810" t="str">
            <v>6206-1</v>
          </cell>
          <cell r="B810">
            <v>42416</v>
          </cell>
          <cell r="C810" t="str">
            <v>Dionis Lloyd</v>
          </cell>
          <cell r="D810" t="str">
            <v>85-113 Dunning Ave,Rosebery</v>
          </cell>
          <cell r="E810" t="str">
            <v>Sydney</v>
          </cell>
          <cell r="F810" t="str">
            <v>NSW</v>
          </cell>
          <cell r="G810" t="str">
            <v>Small Business</v>
          </cell>
          <cell r="H810" t="str">
            <v>Mihael Khan</v>
          </cell>
          <cell r="I810" t="str">
            <v>Not Specified</v>
          </cell>
          <cell r="J810" t="str">
            <v>Angle-D Binders with Locking Rings, Label Holders</v>
          </cell>
          <cell r="K810" t="str">
            <v>Office Supplies</v>
          </cell>
          <cell r="L810" t="str">
            <v>Small Box</v>
          </cell>
          <cell r="M810" t="str">
            <v>Regular Air</v>
          </cell>
          <cell r="N810">
            <v>42417</v>
          </cell>
          <cell r="O810">
            <v>4.53</v>
          </cell>
          <cell r="P810">
            <v>7.3</v>
          </cell>
          <cell r="Q810">
            <v>36</v>
          </cell>
          <cell r="R810">
            <v>262.8</v>
          </cell>
          <cell r="S810">
            <v>0.1</v>
          </cell>
          <cell r="T810">
            <v>26.28</v>
          </cell>
          <cell r="U810">
            <v>262.7</v>
          </cell>
          <cell r="V810">
            <v>7.72</v>
          </cell>
          <cell r="W810">
            <v>270.42</v>
          </cell>
        </row>
        <row r="811">
          <cell r="A811" t="str">
            <v>6208-1</v>
          </cell>
          <cell r="B811">
            <v>42416</v>
          </cell>
          <cell r="C811" t="str">
            <v>Don Jones</v>
          </cell>
          <cell r="D811" t="str">
            <v>6-8 O'Connell Street,Newtown</v>
          </cell>
          <cell r="E811" t="str">
            <v>Sydney</v>
          </cell>
          <cell r="F811" t="str">
            <v>NSW</v>
          </cell>
          <cell r="G811" t="str">
            <v>Corporate</v>
          </cell>
          <cell r="H811" t="str">
            <v>Nicholas Fernandes</v>
          </cell>
          <cell r="I811" t="str">
            <v>Low</v>
          </cell>
          <cell r="J811" t="str">
            <v>Unpadded Memo Slips</v>
          </cell>
          <cell r="K811" t="str">
            <v>Office Supplies</v>
          </cell>
          <cell r="L811" t="str">
            <v>Wrap Bag</v>
          </cell>
          <cell r="M811" t="str">
            <v>Regular Air</v>
          </cell>
          <cell r="N811">
            <v>42421</v>
          </cell>
          <cell r="O811">
            <v>2.59</v>
          </cell>
          <cell r="P811">
            <v>3.98</v>
          </cell>
          <cell r="Q811">
            <v>11</v>
          </cell>
          <cell r="R811">
            <v>43.78</v>
          </cell>
          <cell r="S811">
            <v>0.01</v>
          </cell>
          <cell r="T811">
            <v>0.43780000000000002</v>
          </cell>
          <cell r="U811">
            <v>43.77</v>
          </cell>
          <cell r="V811">
            <v>2.97</v>
          </cell>
          <cell r="W811">
            <v>46.74</v>
          </cell>
        </row>
        <row r="812">
          <cell r="A812" t="str">
            <v>6209-1</v>
          </cell>
          <cell r="B812">
            <v>42417</v>
          </cell>
          <cell r="C812" t="str">
            <v>Tony Sayre</v>
          </cell>
          <cell r="D812" t="str">
            <v>499-501 Lygon Street,Carlton North</v>
          </cell>
          <cell r="E812" t="str">
            <v>Melbourne</v>
          </cell>
          <cell r="F812" t="str">
            <v>VIC</v>
          </cell>
          <cell r="G812" t="str">
            <v>Home Office</v>
          </cell>
          <cell r="H812" t="str">
            <v>Yvette Biti</v>
          </cell>
          <cell r="I812" t="str">
            <v>Not Specified</v>
          </cell>
          <cell r="J812" t="str">
            <v>Smiths Metal Binder Clips</v>
          </cell>
          <cell r="K812" t="str">
            <v>Office Supplies</v>
          </cell>
          <cell r="L812" t="str">
            <v>Wrap Bag</v>
          </cell>
          <cell r="M812" t="str">
            <v>Regular Air</v>
          </cell>
          <cell r="N812">
            <v>42418</v>
          </cell>
          <cell r="O812">
            <v>1.6</v>
          </cell>
          <cell r="P812">
            <v>2.62</v>
          </cell>
          <cell r="Q812">
            <v>48</v>
          </cell>
          <cell r="R812">
            <v>125.76</v>
          </cell>
          <cell r="S812">
            <v>0.1</v>
          </cell>
          <cell r="T812">
            <v>12.576000000000001</v>
          </cell>
          <cell r="U812">
            <v>125.66000000000001</v>
          </cell>
          <cell r="V812">
            <v>0.8</v>
          </cell>
          <cell r="W812">
            <v>126.46000000000001</v>
          </cell>
        </row>
        <row r="813">
          <cell r="A813" t="str">
            <v>6211-1</v>
          </cell>
          <cell r="B813">
            <v>42420</v>
          </cell>
          <cell r="C813" t="str">
            <v>Andy Reiter</v>
          </cell>
          <cell r="D813" t="str">
            <v>Cnr Williams Road &amp; Lechlade Ave,South Yarra</v>
          </cell>
          <cell r="E813" t="str">
            <v>Melbourne</v>
          </cell>
          <cell r="F813" t="str">
            <v>VIC</v>
          </cell>
          <cell r="G813" t="str">
            <v>Corporate</v>
          </cell>
          <cell r="H813" t="str">
            <v>Yvette Biti</v>
          </cell>
          <cell r="I813" t="str">
            <v>Critical</v>
          </cell>
          <cell r="J813" t="str">
            <v>TechSavi Cordless Access Keyboard</v>
          </cell>
          <cell r="K813" t="str">
            <v>Technology</v>
          </cell>
          <cell r="L813" t="str">
            <v>Small Box</v>
          </cell>
          <cell r="M813" t="str">
            <v>Regular Air</v>
          </cell>
          <cell r="N813">
            <v>42422</v>
          </cell>
          <cell r="O813">
            <v>14.7</v>
          </cell>
          <cell r="P813">
            <v>29.99</v>
          </cell>
          <cell r="Q813">
            <v>11</v>
          </cell>
          <cell r="R813">
            <v>329.89</v>
          </cell>
          <cell r="S813">
            <v>0.08</v>
          </cell>
          <cell r="T813">
            <v>26.391199999999998</v>
          </cell>
          <cell r="U813">
            <v>329.81</v>
          </cell>
          <cell r="V813">
            <v>5.5</v>
          </cell>
          <cell r="W813">
            <v>335.31</v>
          </cell>
        </row>
        <row r="814">
          <cell r="A814" t="str">
            <v>6213-1</v>
          </cell>
          <cell r="B814">
            <v>42422</v>
          </cell>
          <cell r="C814" t="str">
            <v>Clay Cheatham</v>
          </cell>
          <cell r="D814" t="str">
            <v>Macquarie Centre Cnr Herring Road &amp; Waterloo Road,Macquarie Park</v>
          </cell>
          <cell r="E814" t="str">
            <v>Sydney</v>
          </cell>
          <cell r="F814" t="str">
            <v>NSW</v>
          </cell>
          <cell r="G814" t="str">
            <v>Small Business</v>
          </cell>
          <cell r="H814" t="str">
            <v>Nicholas Fernandes</v>
          </cell>
          <cell r="I814" t="str">
            <v>Not Specified</v>
          </cell>
          <cell r="J814" t="str">
            <v>Cando PC940 Copier</v>
          </cell>
          <cell r="K814" t="str">
            <v>Technology</v>
          </cell>
          <cell r="L814" t="str">
            <v>Jumbo Drum</v>
          </cell>
          <cell r="M814" t="str">
            <v>Delivery Truck</v>
          </cell>
          <cell r="N814">
            <v>42423</v>
          </cell>
          <cell r="O814">
            <v>278.99</v>
          </cell>
          <cell r="P814">
            <v>449.99</v>
          </cell>
          <cell r="Q814">
            <v>38</v>
          </cell>
          <cell r="R814">
            <v>17099.62</v>
          </cell>
          <cell r="S814">
            <v>0.01</v>
          </cell>
          <cell r="T814">
            <v>170.99619999999999</v>
          </cell>
          <cell r="U814">
            <v>17099.61</v>
          </cell>
          <cell r="V814">
            <v>49</v>
          </cell>
          <cell r="W814">
            <v>17148.61</v>
          </cell>
        </row>
        <row r="815">
          <cell r="A815" t="str">
            <v>6214-1</v>
          </cell>
          <cell r="B815">
            <v>42423</v>
          </cell>
          <cell r="C815" t="str">
            <v>Quincy Jones</v>
          </cell>
          <cell r="D815" t="str">
            <v>Shop 3/144 Waterloo Road,Greenacre</v>
          </cell>
          <cell r="E815" t="str">
            <v>Sydney</v>
          </cell>
          <cell r="F815" t="str">
            <v>NSW</v>
          </cell>
          <cell r="G815" t="str">
            <v>Small Business</v>
          </cell>
          <cell r="H815" t="str">
            <v>Samantha Chairs</v>
          </cell>
          <cell r="I815" t="str">
            <v>Medium</v>
          </cell>
          <cell r="J815" t="str">
            <v>Smiths Colored Bar Computer Paper</v>
          </cell>
          <cell r="K815" t="str">
            <v>Office Supplies</v>
          </cell>
          <cell r="L815" t="str">
            <v>Small Box</v>
          </cell>
          <cell r="M815" t="str">
            <v>Regular Air</v>
          </cell>
          <cell r="N815">
            <v>42424</v>
          </cell>
          <cell r="O815">
            <v>21.97</v>
          </cell>
          <cell r="P815">
            <v>35.44</v>
          </cell>
          <cell r="Q815">
            <v>48</v>
          </cell>
          <cell r="R815">
            <v>1701.12</v>
          </cell>
          <cell r="S815">
            <v>0.08</v>
          </cell>
          <cell r="T815">
            <v>136.08959999999999</v>
          </cell>
          <cell r="U815">
            <v>1701.04</v>
          </cell>
          <cell r="V815">
            <v>4.92</v>
          </cell>
          <cell r="W815">
            <v>1705.96</v>
          </cell>
        </row>
        <row r="816">
          <cell r="A816" t="str">
            <v>6215-1</v>
          </cell>
          <cell r="B816">
            <v>42426</v>
          </cell>
          <cell r="C816" t="str">
            <v>Linda Southworth</v>
          </cell>
          <cell r="D816" t="str">
            <v>359 Crown Street,Surry Hills</v>
          </cell>
          <cell r="E816" t="str">
            <v>Sydney</v>
          </cell>
          <cell r="F816" t="str">
            <v>NSW</v>
          </cell>
          <cell r="G816" t="str">
            <v>Consumer</v>
          </cell>
          <cell r="H816" t="str">
            <v>Phoebe Gour</v>
          </cell>
          <cell r="I816" t="str">
            <v>Low</v>
          </cell>
          <cell r="J816" t="str">
            <v>Artisan Hi-Liter Smear-Safe Highlighters</v>
          </cell>
          <cell r="K816" t="str">
            <v>Office Supplies</v>
          </cell>
          <cell r="L816" t="str">
            <v>Wrap Bag</v>
          </cell>
          <cell r="M816" t="str">
            <v>Regular Air</v>
          </cell>
          <cell r="N816">
            <v>42433</v>
          </cell>
          <cell r="O816">
            <v>2.98</v>
          </cell>
          <cell r="P816">
            <v>5.84</v>
          </cell>
          <cell r="Q816">
            <v>19</v>
          </cell>
          <cell r="R816">
            <v>110.96</v>
          </cell>
          <cell r="S816">
            <v>0.01</v>
          </cell>
          <cell r="T816">
            <v>1.1095999999999999</v>
          </cell>
          <cell r="U816">
            <v>110.94999999999999</v>
          </cell>
          <cell r="V816">
            <v>0.83</v>
          </cell>
          <cell r="W816">
            <v>111.77999999999999</v>
          </cell>
        </row>
        <row r="817">
          <cell r="A817" t="str">
            <v>6217-1</v>
          </cell>
          <cell r="B817">
            <v>42429</v>
          </cell>
          <cell r="C817" t="str">
            <v>Bill Donatelli</v>
          </cell>
          <cell r="D817" t="str">
            <v>359 Crown Street,Surry Hills</v>
          </cell>
          <cell r="E817" t="str">
            <v>Sydney</v>
          </cell>
          <cell r="F817" t="str">
            <v>NSW</v>
          </cell>
          <cell r="G817" t="str">
            <v>Small Business</v>
          </cell>
          <cell r="H817" t="str">
            <v>Phoebe Gour</v>
          </cell>
          <cell r="I817" t="str">
            <v>Medium</v>
          </cell>
          <cell r="J817" t="str">
            <v>TypeRight Side-Opening Peel &amp; Seel Expanding Envelopes</v>
          </cell>
          <cell r="K817" t="str">
            <v>Office Supplies</v>
          </cell>
          <cell r="L817" t="str">
            <v>Small Box</v>
          </cell>
          <cell r="M817" t="str">
            <v>Regular Air</v>
          </cell>
          <cell r="N817">
            <v>42429</v>
          </cell>
          <cell r="O817">
            <v>54.29</v>
          </cell>
          <cell r="P817">
            <v>90.48</v>
          </cell>
          <cell r="Q817">
            <v>16</v>
          </cell>
          <cell r="R817">
            <v>1447.68</v>
          </cell>
          <cell r="S817">
            <v>0</v>
          </cell>
          <cell r="T817">
            <v>0</v>
          </cell>
          <cell r="U817">
            <v>1447.68</v>
          </cell>
          <cell r="V817">
            <v>19.989999999999998</v>
          </cell>
          <cell r="W817">
            <v>1467.67</v>
          </cell>
        </row>
        <row r="818">
          <cell r="A818" t="str">
            <v>6219-1</v>
          </cell>
          <cell r="B818">
            <v>42434</v>
          </cell>
          <cell r="C818" t="str">
            <v>Steven Cartwright</v>
          </cell>
          <cell r="D818" t="str">
            <v>523 King St,Newtown</v>
          </cell>
          <cell r="E818" t="str">
            <v>Sydney</v>
          </cell>
          <cell r="F818" t="str">
            <v>NSW</v>
          </cell>
          <cell r="G818" t="str">
            <v>Home Office</v>
          </cell>
          <cell r="H818" t="str">
            <v>Aanya Zhang</v>
          </cell>
          <cell r="I818" t="str">
            <v>Low</v>
          </cell>
          <cell r="J818" t="str">
            <v>Steady Pocket Accent Highlighters</v>
          </cell>
          <cell r="K818" t="str">
            <v>Office Supplies</v>
          </cell>
          <cell r="L818" t="str">
            <v>Wrap Bag</v>
          </cell>
          <cell r="M818" t="str">
            <v>Regular Air</v>
          </cell>
          <cell r="N818">
            <v>42438</v>
          </cell>
          <cell r="O818">
            <v>0.93</v>
          </cell>
          <cell r="P818">
            <v>1.6</v>
          </cell>
          <cell r="Q818">
            <v>43</v>
          </cell>
          <cell r="R818">
            <v>68.8</v>
          </cell>
          <cell r="S818">
            <v>0.01</v>
          </cell>
          <cell r="T818">
            <v>0.68799999999999994</v>
          </cell>
          <cell r="U818">
            <v>68.789999999999992</v>
          </cell>
          <cell r="V818">
            <v>1.29</v>
          </cell>
          <cell r="W818">
            <v>70.08</v>
          </cell>
        </row>
        <row r="819">
          <cell r="A819" t="str">
            <v>6220-1</v>
          </cell>
          <cell r="B819">
            <v>42435</v>
          </cell>
          <cell r="C819" t="str">
            <v>Erica Smith</v>
          </cell>
          <cell r="D819" t="str">
            <v>188 Pitt Street,Sydney</v>
          </cell>
          <cell r="E819" t="str">
            <v>Sydney</v>
          </cell>
          <cell r="F819" t="str">
            <v>NSW</v>
          </cell>
          <cell r="G819" t="str">
            <v>Small Business</v>
          </cell>
          <cell r="H819" t="str">
            <v>Tina Carlton</v>
          </cell>
          <cell r="I819" t="str">
            <v>Low</v>
          </cell>
          <cell r="J819" t="str">
            <v>600 Series Flip</v>
          </cell>
          <cell r="K819" t="str">
            <v>Technology</v>
          </cell>
          <cell r="L819" t="str">
            <v>Small Box</v>
          </cell>
          <cell r="M819" t="str">
            <v>Regular Air</v>
          </cell>
          <cell r="N819">
            <v>42440</v>
          </cell>
          <cell r="O819">
            <v>41.28</v>
          </cell>
          <cell r="P819">
            <v>95.99</v>
          </cell>
          <cell r="Q819">
            <v>40</v>
          </cell>
          <cell r="R819">
            <v>3839.6</v>
          </cell>
          <cell r="S819">
            <v>0.05</v>
          </cell>
          <cell r="T819">
            <v>191.98000000000002</v>
          </cell>
          <cell r="U819">
            <v>3839.5499999999997</v>
          </cell>
          <cell r="V819">
            <v>8.99</v>
          </cell>
          <cell r="W819">
            <v>3848.5399999999995</v>
          </cell>
        </row>
        <row r="820">
          <cell r="A820" t="str">
            <v>6221-1</v>
          </cell>
          <cell r="B820">
            <v>42435</v>
          </cell>
          <cell r="C820" t="str">
            <v>Robert Marley</v>
          </cell>
          <cell r="D820" t="str">
            <v>211/25-29 Dixon St,Haymarket</v>
          </cell>
          <cell r="E820" t="str">
            <v>Sydney</v>
          </cell>
          <cell r="F820" t="str">
            <v>NSW</v>
          </cell>
          <cell r="G820" t="str">
            <v>Corporate</v>
          </cell>
          <cell r="H820" t="str">
            <v>Preston Senome</v>
          </cell>
          <cell r="I820" t="str">
            <v>Not Specified</v>
          </cell>
          <cell r="J820" t="str">
            <v>Artisan Hole Reinforcements</v>
          </cell>
          <cell r="K820" t="str">
            <v>Office Supplies</v>
          </cell>
          <cell r="L820" t="str">
            <v>Small Box</v>
          </cell>
          <cell r="M820" t="str">
            <v>Express Air</v>
          </cell>
          <cell r="N820">
            <v>42436</v>
          </cell>
          <cell r="O820">
            <v>3.99</v>
          </cell>
          <cell r="P820">
            <v>6.23</v>
          </cell>
          <cell r="Q820">
            <v>33</v>
          </cell>
          <cell r="R820">
            <v>205.59</v>
          </cell>
          <cell r="S820">
            <v>0.08</v>
          </cell>
          <cell r="T820">
            <v>16.447200000000002</v>
          </cell>
          <cell r="U820">
            <v>205.51</v>
          </cell>
          <cell r="V820">
            <v>6.97</v>
          </cell>
          <cell r="W820">
            <v>212.48</v>
          </cell>
        </row>
        <row r="821">
          <cell r="A821" t="str">
            <v>6222-1</v>
          </cell>
          <cell r="B821">
            <v>42436</v>
          </cell>
          <cell r="C821" t="str">
            <v>Rick Hansen</v>
          </cell>
          <cell r="D821" t="str">
            <v>Macquarie Centre Cnr Herring Road &amp; Waterloo Road,Macquarie Park</v>
          </cell>
          <cell r="E821" t="str">
            <v>Sydney</v>
          </cell>
          <cell r="F821" t="str">
            <v>NSW</v>
          </cell>
          <cell r="G821" t="str">
            <v>Home Office</v>
          </cell>
          <cell r="H821" t="str">
            <v>Nicholas Fernandes</v>
          </cell>
          <cell r="I821" t="str">
            <v>Medium</v>
          </cell>
          <cell r="J821" t="str">
            <v>Steady 52201 APSCO Electric Pencil Sharpener</v>
          </cell>
          <cell r="K821" t="str">
            <v>Office Supplies</v>
          </cell>
          <cell r="L821" t="str">
            <v>Small Pack</v>
          </cell>
          <cell r="M821" t="str">
            <v>Regular Air</v>
          </cell>
          <cell r="N821">
            <v>42437</v>
          </cell>
          <cell r="O821">
            <v>16.8</v>
          </cell>
          <cell r="P821">
            <v>40.97</v>
          </cell>
          <cell r="Q821">
            <v>14</v>
          </cell>
          <cell r="R821">
            <v>573.57999999999993</v>
          </cell>
          <cell r="S821">
            <v>0</v>
          </cell>
          <cell r="T821">
            <v>0</v>
          </cell>
          <cell r="U821">
            <v>573.57999999999993</v>
          </cell>
          <cell r="V821">
            <v>8.99</v>
          </cell>
          <cell r="W821">
            <v>582.56999999999994</v>
          </cell>
        </row>
        <row r="822">
          <cell r="A822" t="str">
            <v>6223-1</v>
          </cell>
          <cell r="B822">
            <v>42438</v>
          </cell>
          <cell r="C822" t="str">
            <v>Shirley Schmidt</v>
          </cell>
          <cell r="D822" t="str">
            <v>60 Commercial Rd,Prahran</v>
          </cell>
          <cell r="E822" t="str">
            <v>Melbourne</v>
          </cell>
          <cell r="F822" t="str">
            <v>VIC</v>
          </cell>
          <cell r="G822" t="str">
            <v>Corporate</v>
          </cell>
          <cell r="H822" t="str">
            <v>Yvette Biti</v>
          </cell>
          <cell r="I822" t="str">
            <v>Medium</v>
          </cell>
          <cell r="J822" t="str">
            <v>Beekin 105-Key Black Keyboard</v>
          </cell>
          <cell r="K822" t="str">
            <v>Technology</v>
          </cell>
          <cell r="L822" t="str">
            <v>Small Box</v>
          </cell>
          <cell r="M822" t="str">
            <v>Regular Air</v>
          </cell>
          <cell r="N822">
            <v>42439</v>
          </cell>
          <cell r="O822">
            <v>6.39</v>
          </cell>
          <cell r="P822">
            <v>19.98</v>
          </cell>
          <cell r="Q822">
            <v>39</v>
          </cell>
          <cell r="R822">
            <v>779.22</v>
          </cell>
          <cell r="S822">
            <v>0.05</v>
          </cell>
          <cell r="T822">
            <v>38.961000000000006</v>
          </cell>
          <cell r="U822">
            <v>779.17000000000007</v>
          </cell>
          <cell r="V822">
            <v>4</v>
          </cell>
          <cell r="W822">
            <v>783.17000000000007</v>
          </cell>
        </row>
        <row r="823">
          <cell r="A823" t="str">
            <v>6224-1</v>
          </cell>
          <cell r="B823">
            <v>42440</v>
          </cell>
          <cell r="C823" t="str">
            <v>Brooke Gillingham</v>
          </cell>
          <cell r="D823" t="str">
            <v>21 Wentworth St,Parramatta</v>
          </cell>
          <cell r="E823" t="str">
            <v>Sydney</v>
          </cell>
          <cell r="F823" t="str">
            <v>NSW</v>
          </cell>
          <cell r="G823" t="str">
            <v>Small Business</v>
          </cell>
          <cell r="H823" t="str">
            <v>Aanya Zhang</v>
          </cell>
          <cell r="I823" t="str">
            <v>Medium</v>
          </cell>
          <cell r="J823" t="str">
            <v>Multi-Use Personal File Cart and Caster Set, Three Stacking Bins</v>
          </cell>
          <cell r="K823" t="str">
            <v>Office Supplies</v>
          </cell>
          <cell r="L823" t="str">
            <v>Small Box</v>
          </cell>
          <cell r="M823" t="str">
            <v>Regular Air</v>
          </cell>
          <cell r="N823">
            <v>42442</v>
          </cell>
          <cell r="O823">
            <v>14.95</v>
          </cell>
          <cell r="P823">
            <v>34.76</v>
          </cell>
          <cell r="Q823">
            <v>27</v>
          </cell>
          <cell r="R823">
            <v>938.52</v>
          </cell>
          <cell r="S823">
            <v>0.1</v>
          </cell>
          <cell r="T823">
            <v>93.852000000000004</v>
          </cell>
          <cell r="U823">
            <v>938.42</v>
          </cell>
          <cell r="V823">
            <v>8.2200000000000006</v>
          </cell>
          <cell r="W823">
            <v>946.64</v>
          </cell>
        </row>
        <row r="824">
          <cell r="A824" t="str">
            <v>6225-1</v>
          </cell>
          <cell r="B824">
            <v>42441</v>
          </cell>
          <cell r="C824" t="str">
            <v>Magdelene Morse</v>
          </cell>
          <cell r="D824" t="str">
            <v>53 Riley Street,Woolloomooloo</v>
          </cell>
          <cell r="E824" t="str">
            <v>Sydney</v>
          </cell>
          <cell r="F824" t="str">
            <v>NSW</v>
          </cell>
          <cell r="G824" t="str">
            <v>Home Office</v>
          </cell>
          <cell r="H824" t="str">
            <v>Tina Carlton</v>
          </cell>
          <cell r="I824" t="str">
            <v>Medium</v>
          </cell>
          <cell r="J824" t="str">
            <v>Smiths Pushpins</v>
          </cell>
          <cell r="K824" t="str">
            <v>Office Supplies</v>
          </cell>
          <cell r="L824" t="str">
            <v>Wrap Bag</v>
          </cell>
          <cell r="M824" t="str">
            <v>Regular Air</v>
          </cell>
          <cell r="N824">
            <v>42441</v>
          </cell>
          <cell r="O824">
            <v>0.94</v>
          </cell>
          <cell r="P824">
            <v>1.88</v>
          </cell>
          <cell r="Q824">
            <v>36</v>
          </cell>
          <cell r="R824">
            <v>67.679999999999993</v>
          </cell>
          <cell r="S824">
            <v>0.04</v>
          </cell>
          <cell r="T824">
            <v>2.7071999999999998</v>
          </cell>
          <cell r="U824">
            <v>67.639999999999986</v>
          </cell>
          <cell r="V824">
            <v>0.79</v>
          </cell>
          <cell r="W824">
            <v>68.429999999999993</v>
          </cell>
        </row>
        <row r="825">
          <cell r="A825" t="str">
            <v>6226-1</v>
          </cell>
          <cell r="B825">
            <v>42441</v>
          </cell>
          <cell r="C825" t="str">
            <v>Andrew Allen</v>
          </cell>
          <cell r="D825" t="str">
            <v>797 Botany Rd,Rosebery</v>
          </cell>
          <cell r="E825" t="str">
            <v>Sydney</v>
          </cell>
          <cell r="F825" t="str">
            <v>NSW</v>
          </cell>
          <cell r="G825" t="str">
            <v>Corporate</v>
          </cell>
          <cell r="H825" t="str">
            <v>Phoebe Gour</v>
          </cell>
          <cell r="I825" t="str">
            <v>Low</v>
          </cell>
          <cell r="J825" t="str">
            <v>Steady Pocket Accent Highlighters</v>
          </cell>
          <cell r="K825" t="str">
            <v>Office Supplies</v>
          </cell>
          <cell r="L825" t="str">
            <v>Wrap Bag</v>
          </cell>
          <cell r="M825" t="str">
            <v>Regular Air</v>
          </cell>
          <cell r="N825">
            <v>42446</v>
          </cell>
          <cell r="O825">
            <v>0.93</v>
          </cell>
          <cell r="P825">
            <v>1.6</v>
          </cell>
          <cell r="Q825">
            <v>40</v>
          </cell>
          <cell r="R825">
            <v>64</v>
          </cell>
          <cell r="S825">
            <v>0.01</v>
          </cell>
          <cell r="T825">
            <v>0.64</v>
          </cell>
          <cell r="U825">
            <v>63.99</v>
          </cell>
          <cell r="V825">
            <v>1.29</v>
          </cell>
          <cell r="W825">
            <v>65.28</v>
          </cell>
        </row>
        <row r="826">
          <cell r="A826" t="str">
            <v>6227-1</v>
          </cell>
          <cell r="B826">
            <v>42443</v>
          </cell>
          <cell r="C826" t="str">
            <v>Sandra Flanagan</v>
          </cell>
          <cell r="D826" t="str">
            <v>359 Crown Street,Surry Hills</v>
          </cell>
          <cell r="E826" t="str">
            <v>Sydney</v>
          </cell>
          <cell r="F826" t="str">
            <v>NSW</v>
          </cell>
          <cell r="G826" t="str">
            <v>Home Office</v>
          </cell>
          <cell r="H826" t="str">
            <v>Phoebe Gour</v>
          </cell>
          <cell r="I826" t="str">
            <v>Low</v>
          </cell>
          <cell r="J826" t="str">
            <v>Xit Blank Computer Paper</v>
          </cell>
          <cell r="K826" t="str">
            <v>Office Supplies</v>
          </cell>
          <cell r="L826" t="str">
            <v>Small Box</v>
          </cell>
          <cell r="M826" t="str">
            <v>Regular Air</v>
          </cell>
          <cell r="N826">
            <v>42447</v>
          </cell>
          <cell r="O826">
            <v>12.39</v>
          </cell>
          <cell r="P826">
            <v>19.98</v>
          </cell>
          <cell r="Q826">
            <v>47</v>
          </cell>
          <cell r="R826">
            <v>939.06000000000006</v>
          </cell>
          <cell r="S826">
            <v>0</v>
          </cell>
          <cell r="T826">
            <v>0</v>
          </cell>
          <cell r="U826">
            <v>939.06000000000006</v>
          </cell>
          <cell r="V826">
            <v>5.77</v>
          </cell>
          <cell r="W826">
            <v>944.83</v>
          </cell>
        </row>
        <row r="827">
          <cell r="A827" t="str">
            <v>6228-1</v>
          </cell>
          <cell r="B827">
            <v>42446</v>
          </cell>
          <cell r="C827" t="str">
            <v>Monica Federle</v>
          </cell>
          <cell r="D827" t="str">
            <v>834 Bourke St,Waterloo</v>
          </cell>
          <cell r="E827" t="str">
            <v>Sydney</v>
          </cell>
          <cell r="F827" t="str">
            <v>NSW</v>
          </cell>
          <cell r="G827" t="str">
            <v>Corporate</v>
          </cell>
          <cell r="H827" t="str">
            <v>Charlie Bui</v>
          </cell>
          <cell r="I827" t="str">
            <v>Critical</v>
          </cell>
          <cell r="J827" t="str">
            <v>Bagged Rubber Bands</v>
          </cell>
          <cell r="K827" t="str">
            <v>Office Supplies</v>
          </cell>
          <cell r="L827" t="str">
            <v>Wrap Bag</v>
          </cell>
          <cell r="M827" t="str">
            <v>Regular Air</v>
          </cell>
          <cell r="N827">
            <v>42449</v>
          </cell>
          <cell r="O827">
            <v>0.24</v>
          </cell>
          <cell r="P827">
            <v>1.26</v>
          </cell>
          <cell r="Q827">
            <v>47</v>
          </cell>
          <cell r="R827">
            <v>59.22</v>
          </cell>
          <cell r="S827">
            <v>7.0000000000000007E-2</v>
          </cell>
          <cell r="T827">
            <v>4.1454000000000004</v>
          </cell>
          <cell r="U827">
            <v>59.15</v>
          </cell>
          <cell r="V827">
            <v>0.7</v>
          </cell>
          <cell r="W827">
            <v>59.85</v>
          </cell>
        </row>
        <row r="828">
          <cell r="A828" t="str">
            <v>6230-1</v>
          </cell>
          <cell r="B828">
            <v>42446</v>
          </cell>
          <cell r="C828" t="str">
            <v>Carol Darley</v>
          </cell>
          <cell r="D828" t="str">
            <v>Crown Complex,Southbank</v>
          </cell>
          <cell r="E828" t="str">
            <v>Melbourne</v>
          </cell>
          <cell r="F828" t="str">
            <v>VIC</v>
          </cell>
          <cell r="G828" t="str">
            <v>Small Business</v>
          </cell>
          <cell r="H828" t="str">
            <v>Yvette Biti</v>
          </cell>
          <cell r="I828" t="str">
            <v>Medium</v>
          </cell>
          <cell r="J828" t="str">
            <v>Laser Neon Mac Format Diskettes, 10/Pack</v>
          </cell>
          <cell r="K828" t="str">
            <v>Technology</v>
          </cell>
          <cell r="L828" t="str">
            <v>Small Pack</v>
          </cell>
          <cell r="M828" t="str">
            <v>Express Air</v>
          </cell>
          <cell r="N828">
            <v>42447</v>
          </cell>
          <cell r="O828">
            <v>1.87</v>
          </cell>
          <cell r="P828">
            <v>8.1199999999999992</v>
          </cell>
          <cell r="Q828">
            <v>37</v>
          </cell>
          <cell r="R828">
            <v>300.44</v>
          </cell>
          <cell r="S828">
            <v>0.01</v>
          </cell>
          <cell r="T828">
            <v>3.0044</v>
          </cell>
          <cell r="U828">
            <v>300.43</v>
          </cell>
          <cell r="V828">
            <v>2.83</v>
          </cell>
          <cell r="W828">
            <v>303.26</v>
          </cell>
        </row>
        <row r="829">
          <cell r="A829" t="str">
            <v>6231-1</v>
          </cell>
          <cell r="B829">
            <v>42447</v>
          </cell>
          <cell r="C829" t="str">
            <v>Robert Marley</v>
          </cell>
          <cell r="D829" t="str">
            <v>211/25-29 Dixon St,Haymarket</v>
          </cell>
          <cell r="E829" t="str">
            <v>Sydney</v>
          </cell>
          <cell r="F829" t="str">
            <v>NSW</v>
          </cell>
          <cell r="G829" t="str">
            <v>Corporate</v>
          </cell>
          <cell r="H829" t="str">
            <v>Preston Senome</v>
          </cell>
          <cell r="I829" t="str">
            <v>Low</v>
          </cell>
          <cell r="J829" t="str">
            <v>Artisan File Folder Labels</v>
          </cell>
          <cell r="K829" t="str">
            <v>Office Supplies</v>
          </cell>
          <cell r="L829" t="str">
            <v>Small Box</v>
          </cell>
          <cell r="M829" t="str">
            <v>Regular Air</v>
          </cell>
          <cell r="N829">
            <v>42452</v>
          </cell>
          <cell r="O829">
            <v>1.84</v>
          </cell>
          <cell r="P829">
            <v>2.88</v>
          </cell>
          <cell r="Q829">
            <v>18</v>
          </cell>
          <cell r="R829">
            <v>51.839999999999996</v>
          </cell>
          <cell r="S829">
            <v>0.02</v>
          </cell>
          <cell r="T829">
            <v>1.0367999999999999</v>
          </cell>
          <cell r="U829">
            <v>51.819999999999993</v>
          </cell>
          <cell r="V829">
            <v>5.33</v>
          </cell>
          <cell r="W829">
            <v>57.149999999999991</v>
          </cell>
        </row>
        <row r="830">
          <cell r="A830" t="str">
            <v>6232-1</v>
          </cell>
          <cell r="B830">
            <v>42447</v>
          </cell>
          <cell r="C830" t="str">
            <v>MaryBeth Skach</v>
          </cell>
          <cell r="D830" t="str">
            <v>499-501 Lygon Street,Carlton North</v>
          </cell>
          <cell r="E830" t="str">
            <v>Melbourne</v>
          </cell>
          <cell r="F830" t="str">
            <v>VIC</v>
          </cell>
          <cell r="G830" t="str">
            <v>Home Office</v>
          </cell>
          <cell r="H830" t="str">
            <v>Yvette Biti</v>
          </cell>
          <cell r="I830" t="str">
            <v>High</v>
          </cell>
          <cell r="J830" t="str">
            <v>Steady Major Accent Highlighters</v>
          </cell>
          <cell r="K830" t="str">
            <v>Office Supplies</v>
          </cell>
          <cell r="L830" t="str">
            <v>Wrap Bag</v>
          </cell>
          <cell r="M830" t="str">
            <v>Regular Air</v>
          </cell>
          <cell r="N830">
            <v>42447</v>
          </cell>
          <cell r="O830">
            <v>3.75</v>
          </cell>
          <cell r="P830">
            <v>7.08</v>
          </cell>
          <cell r="Q830">
            <v>16</v>
          </cell>
          <cell r="R830">
            <v>113.28</v>
          </cell>
          <cell r="S830">
            <v>0.02</v>
          </cell>
          <cell r="T830">
            <v>2.2656000000000001</v>
          </cell>
          <cell r="U830">
            <v>113.26</v>
          </cell>
          <cell r="V830">
            <v>2.35</v>
          </cell>
          <cell r="W830">
            <v>115.61</v>
          </cell>
        </row>
        <row r="831">
          <cell r="A831" t="str">
            <v>6234-1</v>
          </cell>
          <cell r="B831">
            <v>42449</v>
          </cell>
          <cell r="C831" t="str">
            <v>Michael Kennedy</v>
          </cell>
          <cell r="D831" t="str">
            <v>3 Orwell St,Potts Point</v>
          </cell>
          <cell r="E831" t="str">
            <v>Sydney</v>
          </cell>
          <cell r="F831" t="str">
            <v>NSW</v>
          </cell>
          <cell r="G831" t="str">
            <v>Corporate</v>
          </cell>
          <cell r="H831" t="str">
            <v>Leighton Forrest</v>
          </cell>
          <cell r="I831" t="str">
            <v>Not Specified</v>
          </cell>
          <cell r="J831" t="str">
            <v>Wirebound Voice Message Log Book</v>
          </cell>
          <cell r="K831" t="str">
            <v>Office Supplies</v>
          </cell>
          <cell r="L831" t="str">
            <v>Wrap Bag</v>
          </cell>
          <cell r="M831" t="str">
            <v>Regular Air</v>
          </cell>
          <cell r="N831">
            <v>42451</v>
          </cell>
          <cell r="O831">
            <v>2.9</v>
          </cell>
          <cell r="P831">
            <v>4.76</v>
          </cell>
          <cell r="Q831">
            <v>23</v>
          </cell>
          <cell r="R831">
            <v>109.47999999999999</v>
          </cell>
          <cell r="S831">
            <v>0.05</v>
          </cell>
          <cell r="T831">
            <v>5.4740000000000002</v>
          </cell>
          <cell r="U831">
            <v>109.42999999999999</v>
          </cell>
          <cell r="V831">
            <v>0.88</v>
          </cell>
          <cell r="W831">
            <v>110.30999999999999</v>
          </cell>
        </row>
        <row r="832">
          <cell r="A832" t="str">
            <v>6235-1</v>
          </cell>
          <cell r="B832">
            <v>42450</v>
          </cell>
          <cell r="C832" t="str">
            <v>Deanra Eno</v>
          </cell>
          <cell r="D832" t="str">
            <v>412 Brunswick St,Fitzroy</v>
          </cell>
          <cell r="E832" t="str">
            <v>Melbourne</v>
          </cell>
          <cell r="F832" t="str">
            <v>VIC</v>
          </cell>
          <cell r="G832" t="str">
            <v>Corporate</v>
          </cell>
          <cell r="H832" t="str">
            <v>Connor Betts</v>
          </cell>
          <cell r="I832" t="str">
            <v>Medium</v>
          </cell>
          <cell r="J832" t="str">
            <v>1726 Digital Answering Machine</v>
          </cell>
          <cell r="K832" t="str">
            <v>Technology</v>
          </cell>
          <cell r="L832" t="str">
            <v>Medium Box</v>
          </cell>
          <cell r="M832" t="str">
            <v>Regular Air</v>
          </cell>
          <cell r="N832">
            <v>42451</v>
          </cell>
          <cell r="O832">
            <v>8.82</v>
          </cell>
          <cell r="P832">
            <v>20.99</v>
          </cell>
          <cell r="Q832">
            <v>2</v>
          </cell>
          <cell r="R832">
            <v>41.98</v>
          </cell>
          <cell r="S832">
            <v>7.0000000000000007E-2</v>
          </cell>
          <cell r="T832">
            <v>2.9386000000000001</v>
          </cell>
          <cell r="U832">
            <v>41.91</v>
          </cell>
          <cell r="V832">
            <v>4.8099999999999996</v>
          </cell>
          <cell r="W832">
            <v>46.72</v>
          </cell>
        </row>
        <row r="833">
          <cell r="A833" t="str">
            <v>6237-1</v>
          </cell>
          <cell r="B833">
            <v>42454</v>
          </cell>
          <cell r="C833" t="str">
            <v>Toby Knight</v>
          </cell>
          <cell r="D833" t="str">
            <v>Crown Complex,Southbank</v>
          </cell>
          <cell r="E833" t="str">
            <v>Melbourne</v>
          </cell>
          <cell r="F833" t="str">
            <v>VIC</v>
          </cell>
          <cell r="G833" t="str">
            <v>Corporate</v>
          </cell>
          <cell r="H833" t="str">
            <v>Connor Betts</v>
          </cell>
          <cell r="I833" t="str">
            <v>Not Specified</v>
          </cell>
          <cell r="J833" t="str">
            <v>Smiths Bulldog Clip</v>
          </cell>
          <cell r="K833" t="str">
            <v>Office Supplies</v>
          </cell>
          <cell r="L833" t="str">
            <v>Wrap Bag</v>
          </cell>
          <cell r="M833" t="str">
            <v>Regular Air</v>
          </cell>
          <cell r="N833">
            <v>42454</v>
          </cell>
          <cell r="O833">
            <v>2.31</v>
          </cell>
          <cell r="P833">
            <v>3.78</v>
          </cell>
          <cell r="Q833">
            <v>28</v>
          </cell>
          <cell r="R833">
            <v>105.83999999999999</v>
          </cell>
          <cell r="S833">
            <v>0</v>
          </cell>
          <cell r="T833">
            <v>0</v>
          </cell>
          <cell r="U833">
            <v>105.83999999999999</v>
          </cell>
          <cell r="V833">
            <v>0.71</v>
          </cell>
          <cell r="W833">
            <v>106.54999999999998</v>
          </cell>
        </row>
        <row r="834">
          <cell r="A834" t="str">
            <v>6238-1</v>
          </cell>
          <cell r="B834">
            <v>42455</v>
          </cell>
          <cell r="C834" t="str">
            <v>Nick Crebassa</v>
          </cell>
          <cell r="D834" t="str">
            <v>2a/285A Crown St,Surry Hills</v>
          </cell>
          <cell r="E834" t="str">
            <v>Sydney</v>
          </cell>
          <cell r="F834" t="str">
            <v>NSW</v>
          </cell>
          <cell r="G834" t="str">
            <v>Corporate</v>
          </cell>
          <cell r="H834" t="str">
            <v>Phoebe Gour</v>
          </cell>
          <cell r="I834" t="str">
            <v>Low</v>
          </cell>
          <cell r="J834" t="str">
            <v>Apex Preferred Stainless Steel Scissors</v>
          </cell>
          <cell r="K834" t="str">
            <v>Office Supplies</v>
          </cell>
          <cell r="L834" t="str">
            <v>Small Pack</v>
          </cell>
          <cell r="M834" t="str">
            <v>Regular Air</v>
          </cell>
          <cell r="N834">
            <v>42457</v>
          </cell>
          <cell r="O834">
            <v>2.5</v>
          </cell>
          <cell r="P834">
            <v>5.68</v>
          </cell>
          <cell r="Q834">
            <v>45</v>
          </cell>
          <cell r="R834">
            <v>255.6</v>
          </cell>
          <cell r="S834">
            <v>0.01</v>
          </cell>
          <cell r="T834">
            <v>2.556</v>
          </cell>
          <cell r="U834">
            <v>255.59</v>
          </cell>
          <cell r="V834">
            <v>3.6</v>
          </cell>
          <cell r="W834">
            <v>259.19</v>
          </cell>
        </row>
        <row r="835">
          <cell r="A835" t="str">
            <v>6240-1</v>
          </cell>
          <cell r="B835">
            <v>42455</v>
          </cell>
          <cell r="C835" t="str">
            <v>Cyma Kinney</v>
          </cell>
          <cell r="D835" t="str">
            <v>Sydney Fish Market, Bank Street, Sydney</v>
          </cell>
          <cell r="E835" t="str">
            <v>Sydney</v>
          </cell>
          <cell r="F835" t="str">
            <v>NSW</v>
          </cell>
          <cell r="G835" t="str">
            <v>Small Business</v>
          </cell>
          <cell r="H835" t="str">
            <v>Phoebe Gour</v>
          </cell>
          <cell r="I835" t="str">
            <v>Critical</v>
          </cell>
          <cell r="J835" t="str">
            <v>Artisan 479 Labels</v>
          </cell>
          <cell r="K835" t="str">
            <v>Office Supplies</v>
          </cell>
          <cell r="L835" t="str">
            <v>Small Box</v>
          </cell>
          <cell r="M835" t="str">
            <v>Regular Air</v>
          </cell>
          <cell r="N835">
            <v>42457</v>
          </cell>
          <cell r="O835">
            <v>1.59</v>
          </cell>
          <cell r="P835">
            <v>2.61</v>
          </cell>
          <cell r="Q835">
            <v>8</v>
          </cell>
          <cell r="R835">
            <v>20.88</v>
          </cell>
          <cell r="S835">
            <v>0.02</v>
          </cell>
          <cell r="T835">
            <v>0.41759999999999997</v>
          </cell>
          <cell r="U835">
            <v>20.86</v>
          </cell>
          <cell r="V835">
            <v>0.5</v>
          </cell>
          <cell r="W835">
            <v>21.36</v>
          </cell>
        </row>
        <row r="836">
          <cell r="A836" t="str">
            <v>6242-1</v>
          </cell>
          <cell r="B836">
            <v>42456</v>
          </cell>
          <cell r="C836" t="str">
            <v>Craig Leslie</v>
          </cell>
          <cell r="D836" t="str">
            <v>10 Bligh St,Melbourne</v>
          </cell>
          <cell r="E836" t="str">
            <v>Melbourne</v>
          </cell>
          <cell r="F836" t="str">
            <v>VIC</v>
          </cell>
          <cell r="G836" t="str">
            <v>Consumer</v>
          </cell>
          <cell r="H836" t="str">
            <v>Charlie Bui</v>
          </cell>
          <cell r="I836" t="str">
            <v>High</v>
          </cell>
          <cell r="J836" t="str">
            <v>Cando PC940 Copier</v>
          </cell>
          <cell r="K836" t="str">
            <v>Technology</v>
          </cell>
          <cell r="L836" t="str">
            <v>Large Box</v>
          </cell>
          <cell r="M836" t="str">
            <v>Regular Air</v>
          </cell>
          <cell r="N836">
            <v>42457</v>
          </cell>
          <cell r="O836">
            <v>216</v>
          </cell>
          <cell r="P836">
            <v>449.99</v>
          </cell>
          <cell r="Q836">
            <v>49</v>
          </cell>
          <cell r="R836">
            <v>22049.510000000002</v>
          </cell>
          <cell r="S836">
            <v>0.06</v>
          </cell>
          <cell r="T836">
            <v>1322.9706000000001</v>
          </cell>
          <cell r="U836">
            <v>22049.45</v>
          </cell>
          <cell r="V836">
            <v>24.49</v>
          </cell>
          <cell r="W836">
            <v>22073.940000000002</v>
          </cell>
        </row>
        <row r="837">
          <cell r="A837" t="str">
            <v>6243-1</v>
          </cell>
          <cell r="B837">
            <v>42456</v>
          </cell>
          <cell r="C837" t="str">
            <v>Deirdre Greer</v>
          </cell>
          <cell r="D837" t="str">
            <v>33/4 Barangaroo Avenue,Sydney</v>
          </cell>
          <cell r="E837" t="str">
            <v>Sydney</v>
          </cell>
          <cell r="F837" t="str">
            <v>NSW</v>
          </cell>
          <cell r="G837" t="str">
            <v>Home Office</v>
          </cell>
          <cell r="H837" t="str">
            <v>Natasha Song</v>
          </cell>
          <cell r="I837" t="str">
            <v>Low</v>
          </cell>
          <cell r="J837" t="str">
            <v>Cando S750 Color Inkjet Printer</v>
          </cell>
          <cell r="K837" t="str">
            <v>Technology</v>
          </cell>
          <cell r="L837" t="str">
            <v>Jumbo Drum</v>
          </cell>
          <cell r="M837" t="str">
            <v>Delivery Truck</v>
          </cell>
          <cell r="N837">
            <v>42463</v>
          </cell>
          <cell r="O837">
            <v>75</v>
          </cell>
          <cell r="P837">
            <v>120.97</v>
          </cell>
          <cell r="Q837">
            <v>42</v>
          </cell>
          <cell r="R837">
            <v>5080.74</v>
          </cell>
          <cell r="S837">
            <v>0</v>
          </cell>
          <cell r="T837">
            <v>0</v>
          </cell>
          <cell r="U837">
            <v>5080.74</v>
          </cell>
          <cell r="V837">
            <v>26.3</v>
          </cell>
          <cell r="W837">
            <v>5107.04</v>
          </cell>
        </row>
        <row r="838">
          <cell r="A838" t="str">
            <v>6244-1</v>
          </cell>
          <cell r="B838">
            <v>42458</v>
          </cell>
          <cell r="C838" t="str">
            <v>Sung Shariari</v>
          </cell>
          <cell r="D838" t="str">
            <v>6/15 Cross Street,Double Bay</v>
          </cell>
          <cell r="E838" t="str">
            <v>Sydney</v>
          </cell>
          <cell r="F838" t="str">
            <v>NSW</v>
          </cell>
          <cell r="G838" t="str">
            <v>Corporate</v>
          </cell>
          <cell r="H838" t="str">
            <v>Leighton Forrest</v>
          </cell>
          <cell r="I838" t="str">
            <v>Critical</v>
          </cell>
          <cell r="J838" t="str">
            <v>Apex Straight Scissors</v>
          </cell>
          <cell r="K838" t="str">
            <v>Office Supplies</v>
          </cell>
          <cell r="L838" t="str">
            <v>Small Pack</v>
          </cell>
          <cell r="M838" t="str">
            <v>Regular Air</v>
          </cell>
          <cell r="N838">
            <v>42459</v>
          </cell>
          <cell r="O838">
            <v>5.19</v>
          </cell>
          <cell r="P838">
            <v>12.98</v>
          </cell>
          <cell r="Q838">
            <v>45</v>
          </cell>
          <cell r="R838">
            <v>584.1</v>
          </cell>
          <cell r="S838">
            <v>0.05</v>
          </cell>
          <cell r="T838">
            <v>29.205000000000002</v>
          </cell>
          <cell r="U838">
            <v>584.05000000000007</v>
          </cell>
          <cell r="V838">
            <v>3.14</v>
          </cell>
          <cell r="W838">
            <v>587.19000000000005</v>
          </cell>
        </row>
        <row r="839">
          <cell r="A839" t="str">
            <v>6246-1</v>
          </cell>
          <cell r="B839">
            <v>42458</v>
          </cell>
          <cell r="C839" t="str">
            <v>Alan Dominguez</v>
          </cell>
          <cell r="D839" t="str">
            <v>60 Commercial Rd,Prahran</v>
          </cell>
          <cell r="E839" t="str">
            <v>Melbourne</v>
          </cell>
          <cell r="F839" t="str">
            <v>VIC</v>
          </cell>
          <cell r="G839" t="str">
            <v>Corporate</v>
          </cell>
          <cell r="H839" t="str">
            <v>Yvette Biti</v>
          </cell>
          <cell r="I839" t="str">
            <v>Low</v>
          </cell>
          <cell r="J839" t="str">
            <v>Artisan 481 Labels</v>
          </cell>
          <cell r="K839" t="str">
            <v>Office Supplies</v>
          </cell>
          <cell r="L839" t="str">
            <v>Small Box</v>
          </cell>
          <cell r="M839" t="str">
            <v>Regular Air</v>
          </cell>
          <cell r="N839">
            <v>42460</v>
          </cell>
          <cell r="O839">
            <v>1.94</v>
          </cell>
          <cell r="P839">
            <v>3.08</v>
          </cell>
          <cell r="Q839">
            <v>42</v>
          </cell>
          <cell r="R839">
            <v>129.36000000000001</v>
          </cell>
          <cell r="S839">
            <v>0.09</v>
          </cell>
          <cell r="T839">
            <v>11.6424</v>
          </cell>
          <cell r="U839">
            <v>129.27000000000001</v>
          </cell>
          <cell r="V839">
            <v>0.99</v>
          </cell>
          <cell r="W839">
            <v>130.26000000000002</v>
          </cell>
        </row>
        <row r="840">
          <cell r="A840" t="str">
            <v>6248-1</v>
          </cell>
          <cell r="B840">
            <v>42459</v>
          </cell>
          <cell r="C840" t="str">
            <v>Ruben Dartt</v>
          </cell>
          <cell r="D840" t="str">
            <v>188 Pitt Street,Sydney</v>
          </cell>
          <cell r="E840" t="str">
            <v>Sydney</v>
          </cell>
          <cell r="F840" t="str">
            <v>NSW</v>
          </cell>
          <cell r="G840" t="str">
            <v>Corporate</v>
          </cell>
          <cell r="H840" t="str">
            <v>Tina Carlton</v>
          </cell>
          <cell r="I840" t="str">
            <v>Not Specified</v>
          </cell>
          <cell r="J840" t="str">
            <v>Office Shears by Apex</v>
          </cell>
          <cell r="K840" t="str">
            <v>Office Supplies</v>
          </cell>
          <cell r="L840" t="str">
            <v>Small Pack</v>
          </cell>
          <cell r="M840" t="str">
            <v>Regular Air</v>
          </cell>
          <cell r="N840">
            <v>42460</v>
          </cell>
          <cell r="O840">
            <v>0.94</v>
          </cell>
          <cell r="P840">
            <v>2.08</v>
          </cell>
          <cell r="Q840">
            <v>2</v>
          </cell>
          <cell r="R840">
            <v>4.16</v>
          </cell>
          <cell r="S840">
            <v>0.01</v>
          </cell>
          <cell r="T840">
            <v>4.1600000000000005E-2</v>
          </cell>
          <cell r="U840">
            <v>4.1500000000000004</v>
          </cell>
          <cell r="V840">
            <v>2.56</v>
          </cell>
          <cell r="W840">
            <v>6.7100000000000009</v>
          </cell>
        </row>
        <row r="841">
          <cell r="A841" t="str">
            <v>6250-1</v>
          </cell>
          <cell r="B841">
            <v>42462</v>
          </cell>
          <cell r="C841" t="str">
            <v>Hunter Glantz</v>
          </cell>
          <cell r="D841" t="str">
            <v>152 Bunnerong Road,Eastgardens</v>
          </cell>
          <cell r="E841" t="str">
            <v>Sydney</v>
          </cell>
          <cell r="F841" t="str">
            <v>NSW</v>
          </cell>
          <cell r="G841" t="str">
            <v>Corporate</v>
          </cell>
          <cell r="H841" t="str">
            <v>Tina Carlton</v>
          </cell>
          <cell r="I841" t="str">
            <v>Low</v>
          </cell>
          <cell r="J841" t="str">
            <v>Artisan Flip-Chart Easel Binder, Black</v>
          </cell>
          <cell r="K841" t="str">
            <v>Office Supplies</v>
          </cell>
          <cell r="L841" t="str">
            <v>Small Box</v>
          </cell>
          <cell r="M841" t="str">
            <v>Regular Air</v>
          </cell>
          <cell r="N841">
            <v>42470</v>
          </cell>
          <cell r="O841">
            <v>13.88</v>
          </cell>
          <cell r="P841">
            <v>22.38</v>
          </cell>
          <cell r="Q841">
            <v>16</v>
          </cell>
          <cell r="R841">
            <v>358.08</v>
          </cell>
          <cell r="S841">
            <v>0.09</v>
          </cell>
          <cell r="T841">
            <v>32.227199999999996</v>
          </cell>
          <cell r="U841">
            <v>357.99</v>
          </cell>
          <cell r="V841">
            <v>15.1</v>
          </cell>
          <cell r="W841">
            <v>373.09000000000003</v>
          </cell>
        </row>
        <row r="842">
          <cell r="A842" t="str">
            <v>6252-1</v>
          </cell>
          <cell r="B842">
            <v>42463</v>
          </cell>
          <cell r="C842" t="str">
            <v>Christina Vanderzanden</v>
          </cell>
          <cell r="D842" t="str">
            <v>188 Pitt Street,Sydney</v>
          </cell>
          <cell r="E842" t="str">
            <v>Sydney</v>
          </cell>
          <cell r="F842" t="str">
            <v>NSW</v>
          </cell>
          <cell r="G842" t="str">
            <v>Small Business</v>
          </cell>
          <cell r="H842" t="str">
            <v>Tina Carlton</v>
          </cell>
          <cell r="I842" t="str">
            <v>Low</v>
          </cell>
          <cell r="J842" t="str">
            <v>Bagged Rubber Bands</v>
          </cell>
          <cell r="K842" t="str">
            <v>Office Supplies</v>
          </cell>
          <cell r="L842" t="str">
            <v>Wrap Bag</v>
          </cell>
          <cell r="M842" t="str">
            <v>Express Air</v>
          </cell>
          <cell r="N842">
            <v>42463</v>
          </cell>
          <cell r="O842">
            <v>0.24</v>
          </cell>
          <cell r="P842">
            <v>1.26</v>
          </cell>
          <cell r="Q842">
            <v>40</v>
          </cell>
          <cell r="R842">
            <v>50.4</v>
          </cell>
          <cell r="S842">
            <v>0.04</v>
          </cell>
          <cell r="T842">
            <v>2.016</v>
          </cell>
          <cell r="U842">
            <v>50.36</v>
          </cell>
          <cell r="V842">
            <v>0.7</v>
          </cell>
          <cell r="W842">
            <v>51.06</v>
          </cell>
        </row>
        <row r="843">
          <cell r="A843" t="str">
            <v>6254-1</v>
          </cell>
          <cell r="B843">
            <v>42465</v>
          </cell>
          <cell r="C843" t="str">
            <v>Adrian Shami</v>
          </cell>
          <cell r="D843" t="str">
            <v>Sydney Fish Market, Bank Street, Sydney</v>
          </cell>
          <cell r="E843" t="str">
            <v>Sydney</v>
          </cell>
          <cell r="F843" t="str">
            <v>NSW</v>
          </cell>
          <cell r="G843" t="str">
            <v>Consumer</v>
          </cell>
          <cell r="H843" t="str">
            <v>Phoebe Gour</v>
          </cell>
          <cell r="I843" t="str">
            <v>Low</v>
          </cell>
          <cell r="J843" t="str">
            <v>Apex Forged Steel Scissors with Black Enamel Handles</v>
          </cell>
          <cell r="K843" t="str">
            <v>Office Supplies</v>
          </cell>
          <cell r="L843" t="str">
            <v>Small Pack</v>
          </cell>
          <cell r="M843" t="str">
            <v>Regular Air</v>
          </cell>
          <cell r="N843">
            <v>42471</v>
          </cell>
          <cell r="O843">
            <v>4.0999999999999996</v>
          </cell>
          <cell r="P843">
            <v>9.31</v>
          </cell>
          <cell r="Q843">
            <v>35</v>
          </cell>
          <cell r="R843">
            <v>325.85000000000002</v>
          </cell>
          <cell r="S843">
            <v>0.05</v>
          </cell>
          <cell r="T843">
            <v>16.2925</v>
          </cell>
          <cell r="U843">
            <v>325.8</v>
          </cell>
          <cell r="V843">
            <v>3.98</v>
          </cell>
          <cell r="W843">
            <v>329.78000000000003</v>
          </cell>
        </row>
        <row r="844">
          <cell r="A844" t="str">
            <v>6256-1</v>
          </cell>
          <cell r="B844">
            <v>42466</v>
          </cell>
          <cell r="C844" t="str">
            <v>Emily Grady</v>
          </cell>
          <cell r="D844" t="str">
            <v>359 Crown Street,Surry Hills</v>
          </cell>
          <cell r="E844" t="str">
            <v>Sydney</v>
          </cell>
          <cell r="F844" t="str">
            <v>NSW</v>
          </cell>
          <cell r="G844" t="str">
            <v>Home Office</v>
          </cell>
          <cell r="H844" t="str">
            <v>Phoebe Gour</v>
          </cell>
          <cell r="I844" t="str">
            <v>Not Specified</v>
          </cell>
          <cell r="J844" t="str">
            <v>Pizazz Drawing Pencil Set</v>
          </cell>
          <cell r="K844" t="str">
            <v>Office Supplies</v>
          </cell>
          <cell r="L844" t="str">
            <v>Wrap Bag</v>
          </cell>
          <cell r="M844" t="str">
            <v>Regular Air</v>
          </cell>
          <cell r="N844">
            <v>42468</v>
          </cell>
          <cell r="O844">
            <v>1.53</v>
          </cell>
          <cell r="P844">
            <v>2.78</v>
          </cell>
          <cell r="Q844">
            <v>10</v>
          </cell>
          <cell r="R844">
            <v>27.799999999999997</v>
          </cell>
          <cell r="S844">
            <v>0.01</v>
          </cell>
          <cell r="T844">
            <v>0.27799999999999997</v>
          </cell>
          <cell r="U844">
            <v>27.789999999999996</v>
          </cell>
          <cell r="V844">
            <v>1.34</v>
          </cell>
          <cell r="W844">
            <v>29.129999999999995</v>
          </cell>
        </row>
        <row r="845">
          <cell r="A845" t="str">
            <v>6258-1</v>
          </cell>
          <cell r="B845">
            <v>42471</v>
          </cell>
          <cell r="C845" t="str">
            <v>Barry Weirich</v>
          </cell>
          <cell r="D845" t="str">
            <v>105 Pitt St,Sydney</v>
          </cell>
          <cell r="E845" t="str">
            <v>Sydney</v>
          </cell>
          <cell r="F845" t="str">
            <v>NSW</v>
          </cell>
          <cell r="G845" t="str">
            <v>Corporate</v>
          </cell>
          <cell r="H845" t="str">
            <v>Charlie Bui</v>
          </cell>
          <cell r="I845" t="str">
            <v>Not Specified</v>
          </cell>
          <cell r="J845" t="str">
            <v>Artisan Hole Reinforcements</v>
          </cell>
          <cell r="K845" t="str">
            <v>Office Supplies</v>
          </cell>
          <cell r="L845" t="str">
            <v>Small Box</v>
          </cell>
          <cell r="M845" t="str">
            <v>Regular Air</v>
          </cell>
          <cell r="N845">
            <v>42473</v>
          </cell>
          <cell r="O845">
            <v>3.99</v>
          </cell>
          <cell r="P845">
            <v>6.23</v>
          </cell>
          <cell r="Q845">
            <v>21</v>
          </cell>
          <cell r="R845">
            <v>130.83000000000001</v>
          </cell>
          <cell r="S845">
            <v>0.05</v>
          </cell>
          <cell r="T845">
            <v>6.541500000000001</v>
          </cell>
          <cell r="U845">
            <v>130.78</v>
          </cell>
          <cell r="V845">
            <v>6.97</v>
          </cell>
          <cell r="W845">
            <v>137.75</v>
          </cell>
        </row>
        <row r="846">
          <cell r="A846" t="str">
            <v>6260-1</v>
          </cell>
          <cell r="B846">
            <v>42471</v>
          </cell>
          <cell r="C846" t="str">
            <v>Berenike Kampe</v>
          </cell>
          <cell r="D846" t="str">
            <v>180 High Street,Windsor</v>
          </cell>
          <cell r="E846" t="str">
            <v>Melbourne</v>
          </cell>
          <cell r="F846" t="str">
            <v>VIC</v>
          </cell>
          <cell r="G846" t="str">
            <v>Corporate</v>
          </cell>
          <cell r="H846" t="str">
            <v>Connor Betts</v>
          </cell>
          <cell r="I846" t="str">
            <v>Critical</v>
          </cell>
          <cell r="J846" t="str">
            <v>Colored Push Pins</v>
          </cell>
          <cell r="K846" t="str">
            <v>Office Supplies</v>
          </cell>
          <cell r="L846" t="str">
            <v>Wrap Bag</v>
          </cell>
          <cell r="M846" t="str">
            <v>Regular Air</v>
          </cell>
          <cell r="N846">
            <v>42471</v>
          </cell>
          <cell r="O846">
            <v>0.92</v>
          </cell>
          <cell r="P846">
            <v>1.81</v>
          </cell>
          <cell r="Q846">
            <v>22</v>
          </cell>
          <cell r="R846">
            <v>39.82</v>
          </cell>
          <cell r="S846">
            <v>0.09</v>
          </cell>
          <cell r="T846">
            <v>3.5838000000000001</v>
          </cell>
          <cell r="U846">
            <v>39.729999999999997</v>
          </cell>
          <cell r="V846">
            <v>1.56</v>
          </cell>
          <cell r="W846">
            <v>41.29</v>
          </cell>
        </row>
        <row r="847">
          <cell r="A847" t="str">
            <v>6261-1</v>
          </cell>
          <cell r="B847">
            <v>42471</v>
          </cell>
          <cell r="C847" t="str">
            <v>Corey Lock</v>
          </cell>
          <cell r="D847" t="str">
            <v>Westfield 1 Anderson St,Chatswood</v>
          </cell>
          <cell r="E847" t="str">
            <v>Sydney</v>
          </cell>
          <cell r="F847" t="str">
            <v>NSW</v>
          </cell>
          <cell r="G847" t="str">
            <v>Home Office</v>
          </cell>
          <cell r="H847" t="str">
            <v>Nicholas Fernandes</v>
          </cell>
          <cell r="I847" t="str">
            <v>High</v>
          </cell>
          <cell r="J847" t="str">
            <v>DrawIt Pizazz Watercolor Pencils, 10-Color Set with Brush</v>
          </cell>
          <cell r="K847" t="str">
            <v>Office Supplies</v>
          </cell>
          <cell r="L847" t="str">
            <v>Wrap Bag</v>
          </cell>
          <cell r="M847" t="str">
            <v>Express Air</v>
          </cell>
          <cell r="N847">
            <v>42472</v>
          </cell>
          <cell r="O847">
            <v>2.39</v>
          </cell>
          <cell r="P847">
            <v>4.26</v>
          </cell>
          <cell r="Q847">
            <v>34</v>
          </cell>
          <cell r="R847">
            <v>144.84</v>
          </cell>
          <cell r="S847">
            <v>0.03</v>
          </cell>
          <cell r="T847">
            <v>4.3452000000000002</v>
          </cell>
          <cell r="U847">
            <v>144.81</v>
          </cell>
          <cell r="V847">
            <v>1.2</v>
          </cell>
          <cell r="W847">
            <v>146.01</v>
          </cell>
        </row>
        <row r="848">
          <cell r="A848" t="str">
            <v>6263-1</v>
          </cell>
          <cell r="B848">
            <v>42473</v>
          </cell>
          <cell r="C848" t="str">
            <v>Denny Joy</v>
          </cell>
          <cell r="D848" t="str">
            <v>99 Lygon Street,East Brunswick</v>
          </cell>
          <cell r="E848" t="str">
            <v>Melbourne</v>
          </cell>
          <cell r="F848" t="str">
            <v>VIC</v>
          </cell>
          <cell r="G848" t="str">
            <v>Corporate</v>
          </cell>
          <cell r="H848" t="str">
            <v>Connor Betts</v>
          </cell>
          <cell r="I848" t="str">
            <v>Critical</v>
          </cell>
          <cell r="J848" t="str">
            <v>Cando PC940 Copier</v>
          </cell>
          <cell r="K848" t="str">
            <v>Technology</v>
          </cell>
          <cell r="L848" t="str">
            <v>Jumbo Drum</v>
          </cell>
          <cell r="M848" t="str">
            <v>Delivery Truck</v>
          </cell>
          <cell r="N848">
            <v>42475</v>
          </cell>
          <cell r="O848">
            <v>278.99</v>
          </cell>
          <cell r="P848">
            <v>449.99</v>
          </cell>
          <cell r="Q848">
            <v>43</v>
          </cell>
          <cell r="R848">
            <v>19349.57</v>
          </cell>
          <cell r="S848">
            <v>0.06</v>
          </cell>
          <cell r="T848">
            <v>1160.9741999999999</v>
          </cell>
          <cell r="U848">
            <v>19349.509999999998</v>
          </cell>
          <cell r="V848">
            <v>49</v>
          </cell>
          <cell r="W848">
            <v>19398.509999999998</v>
          </cell>
        </row>
        <row r="849">
          <cell r="A849" t="str">
            <v>6264-1</v>
          </cell>
          <cell r="B849">
            <v>42477</v>
          </cell>
          <cell r="C849" t="str">
            <v>Darrin Sayre</v>
          </cell>
          <cell r="D849" t="str">
            <v>Sydney Fish Market, Bank Street, Sydney</v>
          </cell>
          <cell r="E849" t="str">
            <v>Sydney</v>
          </cell>
          <cell r="F849" t="str">
            <v>NSW</v>
          </cell>
          <cell r="G849" t="str">
            <v>Consumer</v>
          </cell>
          <cell r="H849" t="str">
            <v>Phoebe Gour</v>
          </cell>
          <cell r="I849" t="str">
            <v>Low</v>
          </cell>
          <cell r="J849" t="str">
            <v>Artisan Hi-Liter Comfort Grip Fluorescent Highlighter, Yellow Ink</v>
          </cell>
          <cell r="K849" t="str">
            <v>Office Supplies</v>
          </cell>
          <cell r="L849" t="str">
            <v>Wrap Bag</v>
          </cell>
          <cell r="M849" t="str">
            <v>Regular Air</v>
          </cell>
          <cell r="N849">
            <v>42479</v>
          </cell>
          <cell r="O849">
            <v>1.05</v>
          </cell>
          <cell r="P849">
            <v>1.95</v>
          </cell>
          <cell r="Q849">
            <v>23</v>
          </cell>
          <cell r="R849">
            <v>44.85</v>
          </cell>
          <cell r="S849">
            <v>0.09</v>
          </cell>
          <cell r="T849">
            <v>4.0365000000000002</v>
          </cell>
          <cell r="U849">
            <v>44.76</v>
          </cell>
          <cell r="V849">
            <v>1.63</v>
          </cell>
          <cell r="W849">
            <v>46.39</v>
          </cell>
        </row>
        <row r="850">
          <cell r="A850" t="str">
            <v>6269-1</v>
          </cell>
          <cell r="B850">
            <v>42483</v>
          </cell>
          <cell r="C850" t="str">
            <v>Cindy Chapman</v>
          </cell>
          <cell r="D850" t="str">
            <v>53-55 Liverpool St,Sydney</v>
          </cell>
          <cell r="E850" t="str">
            <v>Sydney</v>
          </cell>
          <cell r="F850" t="str">
            <v>NSW</v>
          </cell>
          <cell r="G850" t="str">
            <v>Corporate</v>
          </cell>
          <cell r="H850" t="str">
            <v>Tina Carlton</v>
          </cell>
          <cell r="I850" t="str">
            <v>Not Specified</v>
          </cell>
          <cell r="J850" t="str">
            <v>Bagged Rubber Bands</v>
          </cell>
          <cell r="K850" t="str">
            <v>Office Supplies</v>
          </cell>
          <cell r="L850" t="str">
            <v>Wrap Bag</v>
          </cell>
          <cell r="M850" t="str">
            <v>Regular Air</v>
          </cell>
          <cell r="N850">
            <v>42484</v>
          </cell>
          <cell r="O850">
            <v>0.24</v>
          </cell>
          <cell r="P850">
            <v>1.26</v>
          </cell>
          <cell r="Q850">
            <v>11</v>
          </cell>
          <cell r="R850">
            <v>13.86</v>
          </cell>
          <cell r="S850">
            <v>0</v>
          </cell>
          <cell r="T850">
            <v>0</v>
          </cell>
          <cell r="U850">
            <v>13.86</v>
          </cell>
          <cell r="V850">
            <v>0.7</v>
          </cell>
          <cell r="W850">
            <v>14.559999999999999</v>
          </cell>
        </row>
        <row r="851">
          <cell r="A851" t="str">
            <v>6270-1</v>
          </cell>
          <cell r="B851">
            <v>42483</v>
          </cell>
          <cell r="C851" t="str">
            <v>Heather Kirkland</v>
          </cell>
          <cell r="D851" t="str">
            <v>541 Church St,Richmond</v>
          </cell>
          <cell r="E851" t="str">
            <v>Melbourne</v>
          </cell>
          <cell r="F851" t="str">
            <v>VIC</v>
          </cell>
          <cell r="G851" t="str">
            <v>Home Office</v>
          </cell>
          <cell r="H851" t="str">
            <v>Yvette Biti</v>
          </cell>
          <cell r="I851" t="str">
            <v>Not Specified</v>
          </cell>
          <cell r="J851" t="str">
            <v>DrawIt Colored Pencils, 48-Color Set</v>
          </cell>
          <cell r="K851" t="str">
            <v>Office Supplies</v>
          </cell>
          <cell r="L851" t="str">
            <v>Wrap Bag</v>
          </cell>
          <cell r="M851" t="str">
            <v>Regular Air</v>
          </cell>
          <cell r="N851">
            <v>42485</v>
          </cell>
          <cell r="O851">
            <v>21.56</v>
          </cell>
          <cell r="P851">
            <v>36.549999999999997</v>
          </cell>
          <cell r="Q851">
            <v>17</v>
          </cell>
          <cell r="R851">
            <v>621.34999999999991</v>
          </cell>
          <cell r="S851">
            <v>0.09</v>
          </cell>
          <cell r="T851">
            <v>55.921499999999988</v>
          </cell>
          <cell r="U851">
            <v>621.25999999999988</v>
          </cell>
          <cell r="V851">
            <v>13.89</v>
          </cell>
          <cell r="W851">
            <v>635.14999999999986</v>
          </cell>
        </row>
        <row r="852">
          <cell r="A852" t="str">
            <v>6272-1</v>
          </cell>
          <cell r="B852">
            <v>42483</v>
          </cell>
          <cell r="C852" t="str">
            <v>Thomas Thornton</v>
          </cell>
          <cell r="D852" t="str">
            <v>222 Barkly St,St Kilda</v>
          </cell>
          <cell r="E852" t="str">
            <v>Melbourne</v>
          </cell>
          <cell r="F852" t="str">
            <v>VIC</v>
          </cell>
          <cell r="G852" t="str">
            <v>Consumer</v>
          </cell>
          <cell r="H852" t="str">
            <v>Yvette Biti</v>
          </cell>
          <cell r="I852" t="str">
            <v>Not Specified</v>
          </cell>
          <cell r="J852" t="str">
            <v>Smiths Gold Paper Clips</v>
          </cell>
          <cell r="K852" t="str">
            <v>Office Supplies</v>
          </cell>
          <cell r="L852" t="str">
            <v>Wrap Bag</v>
          </cell>
          <cell r="M852" t="str">
            <v>Regular Air</v>
          </cell>
          <cell r="N852">
            <v>42484</v>
          </cell>
          <cell r="O852">
            <v>1.82</v>
          </cell>
          <cell r="P852">
            <v>2.98</v>
          </cell>
          <cell r="Q852">
            <v>32</v>
          </cell>
          <cell r="R852">
            <v>95.36</v>
          </cell>
          <cell r="S852">
            <v>0.01</v>
          </cell>
          <cell r="T852">
            <v>0.9536</v>
          </cell>
          <cell r="U852">
            <v>95.35</v>
          </cell>
          <cell r="V852">
            <v>1.58</v>
          </cell>
          <cell r="W852">
            <v>96.929999999999993</v>
          </cell>
        </row>
        <row r="853">
          <cell r="A853" t="str">
            <v>6273-1</v>
          </cell>
          <cell r="B853">
            <v>42484</v>
          </cell>
          <cell r="C853" t="str">
            <v>Shahid Collister</v>
          </cell>
          <cell r="D853" t="str">
            <v>Sydney Fish Market, Bank Street, Sydney</v>
          </cell>
          <cell r="E853" t="str">
            <v>Sydney</v>
          </cell>
          <cell r="F853" t="str">
            <v>NSW</v>
          </cell>
          <cell r="G853" t="str">
            <v>Home Office</v>
          </cell>
          <cell r="H853" t="str">
            <v>Phoebe Gour</v>
          </cell>
          <cell r="I853" t="str">
            <v>High</v>
          </cell>
          <cell r="J853" t="str">
            <v>Self-Adhesive Ring Binder Labels</v>
          </cell>
          <cell r="K853" t="str">
            <v>Office Supplies</v>
          </cell>
          <cell r="L853" t="str">
            <v>Small Box</v>
          </cell>
          <cell r="M853" t="str">
            <v>Regular Air</v>
          </cell>
          <cell r="N853">
            <v>42486</v>
          </cell>
          <cell r="O853">
            <v>2.1800000000000002</v>
          </cell>
          <cell r="P853">
            <v>3.52</v>
          </cell>
          <cell r="Q853">
            <v>32</v>
          </cell>
          <cell r="R853">
            <v>112.64</v>
          </cell>
          <cell r="S853">
            <v>7.0000000000000007E-2</v>
          </cell>
          <cell r="T853">
            <v>7.8848000000000011</v>
          </cell>
          <cell r="U853">
            <v>112.57000000000001</v>
          </cell>
          <cell r="V853">
            <v>6.83</v>
          </cell>
          <cell r="W853">
            <v>119.4</v>
          </cell>
        </row>
        <row r="854">
          <cell r="A854" t="str">
            <v>6274-1</v>
          </cell>
          <cell r="B854">
            <v>42485</v>
          </cell>
          <cell r="C854" t="str">
            <v>Toby Carlisle</v>
          </cell>
          <cell r="D854" t="str">
            <v>6/15 Cross Street,Double Bay</v>
          </cell>
          <cell r="E854" t="str">
            <v>Sydney</v>
          </cell>
          <cell r="F854" t="str">
            <v>NSW</v>
          </cell>
          <cell r="G854" t="str">
            <v>Home Office</v>
          </cell>
          <cell r="H854" t="str">
            <v>Leighton Forrest</v>
          </cell>
          <cell r="I854" t="str">
            <v>Not Specified</v>
          </cell>
          <cell r="J854" t="str">
            <v>TechSavi Access Keyboard</v>
          </cell>
          <cell r="K854" t="str">
            <v>Technology</v>
          </cell>
          <cell r="L854" t="str">
            <v>Small Box</v>
          </cell>
          <cell r="M854" t="str">
            <v>Regular Air</v>
          </cell>
          <cell r="N854">
            <v>42486</v>
          </cell>
          <cell r="O854">
            <v>8.31</v>
          </cell>
          <cell r="P854">
            <v>15.98</v>
          </cell>
          <cell r="Q854">
            <v>18</v>
          </cell>
          <cell r="R854">
            <v>287.64</v>
          </cell>
          <cell r="S854">
            <v>0.1</v>
          </cell>
          <cell r="T854">
            <v>28.763999999999999</v>
          </cell>
          <cell r="U854">
            <v>287.53999999999996</v>
          </cell>
          <cell r="V854">
            <v>6.5</v>
          </cell>
          <cell r="W854">
            <v>294.03999999999996</v>
          </cell>
        </row>
        <row r="855">
          <cell r="A855" t="str">
            <v>6275-1</v>
          </cell>
          <cell r="B855">
            <v>42485</v>
          </cell>
          <cell r="C855" t="str">
            <v>Stuart Van</v>
          </cell>
          <cell r="D855" t="str">
            <v>Westfield Sydney,Sydney</v>
          </cell>
          <cell r="E855" t="str">
            <v>Sydney</v>
          </cell>
          <cell r="F855" t="str">
            <v>NSW</v>
          </cell>
          <cell r="G855" t="str">
            <v>Consumer</v>
          </cell>
          <cell r="H855" t="str">
            <v>Natasha Song</v>
          </cell>
          <cell r="I855" t="str">
            <v>Medium</v>
          </cell>
          <cell r="J855" t="str">
            <v>Wirebound Message Book, 4 per Page</v>
          </cell>
          <cell r="K855" t="str">
            <v>Office Supplies</v>
          </cell>
          <cell r="L855" t="str">
            <v>Wrap Bag</v>
          </cell>
          <cell r="M855" t="str">
            <v>Regular Air</v>
          </cell>
          <cell r="N855">
            <v>42487</v>
          </cell>
          <cell r="O855">
            <v>3.48</v>
          </cell>
          <cell r="P855">
            <v>5.43</v>
          </cell>
          <cell r="Q855">
            <v>37</v>
          </cell>
          <cell r="R855">
            <v>200.91</v>
          </cell>
          <cell r="S855">
            <v>0.09</v>
          </cell>
          <cell r="T855">
            <v>18.081899999999997</v>
          </cell>
          <cell r="U855">
            <v>200.82</v>
          </cell>
          <cell r="V855">
            <v>0.95</v>
          </cell>
          <cell r="W855">
            <v>201.76999999999998</v>
          </cell>
        </row>
        <row r="856">
          <cell r="A856" t="str">
            <v>6276-1</v>
          </cell>
          <cell r="B856">
            <v>42487</v>
          </cell>
          <cell r="C856" t="str">
            <v>Valerie Takahito</v>
          </cell>
          <cell r="D856" t="str">
            <v>Crown Complex,Southbank</v>
          </cell>
          <cell r="E856" t="str">
            <v>Melbourne</v>
          </cell>
          <cell r="F856" t="str">
            <v>VIC</v>
          </cell>
          <cell r="G856" t="str">
            <v>Consumer</v>
          </cell>
          <cell r="H856" t="str">
            <v>Yvette Biti</v>
          </cell>
          <cell r="I856" t="str">
            <v>High</v>
          </cell>
          <cell r="J856" t="str">
            <v>Colored Envelopes</v>
          </cell>
          <cell r="K856" t="str">
            <v>Office Supplies</v>
          </cell>
          <cell r="L856" t="str">
            <v>Small Box</v>
          </cell>
          <cell r="M856" t="str">
            <v>Regular Air</v>
          </cell>
          <cell r="N856">
            <v>42488</v>
          </cell>
          <cell r="O856">
            <v>2.25</v>
          </cell>
          <cell r="P856">
            <v>3.69</v>
          </cell>
          <cell r="Q856">
            <v>46</v>
          </cell>
          <cell r="R856">
            <v>169.74</v>
          </cell>
          <cell r="S856">
            <v>0.04</v>
          </cell>
          <cell r="T856">
            <v>6.7896000000000001</v>
          </cell>
          <cell r="U856">
            <v>169.70000000000002</v>
          </cell>
          <cell r="V856">
            <v>2.5</v>
          </cell>
          <cell r="W856">
            <v>172.20000000000002</v>
          </cell>
        </row>
        <row r="857">
          <cell r="A857" t="str">
            <v>6281-1</v>
          </cell>
          <cell r="B857">
            <v>42492</v>
          </cell>
          <cell r="C857" t="str">
            <v>Scott Cohen</v>
          </cell>
          <cell r="D857" t="str">
            <v>240-242 Johnston Street,Fitzroy</v>
          </cell>
          <cell r="E857" t="str">
            <v>Melbourne</v>
          </cell>
          <cell r="F857" t="str">
            <v>VIC</v>
          </cell>
          <cell r="G857" t="str">
            <v>Consumer</v>
          </cell>
          <cell r="H857" t="str">
            <v>Connor Betts</v>
          </cell>
          <cell r="I857" t="str">
            <v>Not Specified</v>
          </cell>
          <cell r="J857" t="str">
            <v>Apex Preferred Stainless Steel Scissors</v>
          </cell>
          <cell r="K857" t="str">
            <v>Office Supplies</v>
          </cell>
          <cell r="L857" t="str">
            <v>Small Pack</v>
          </cell>
          <cell r="M857" t="str">
            <v>Regular Air</v>
          </cell>
          <cell r="N857">
            <v>42493</v>
          </cell>
          <cell r="O857">
            <v>2.5</v>
          </cell>
          <cell r="P857">
            <v>5.68</v>
          </cell>
          <cell r="Q857">
            <v>25</v>
          </cell>
          <cell r="R857">
            <v>142</v>
          </cell>
          <cell r="S857">
            <v>0.1</v>
          </cell>
          <cell r="T857">
            <v>14.200000000000001</v>
          </cell>
          <cell r="U857">
            <v>141.9</v>
          </cell>
          <cell r="V857">
            <v>3.6</v>
          </cell>
          <cell r="W857">
            <v>145.5</v>
          </cell>
        </row>
        <row r="858">
          <cell r="A858" t="str">
            <v>6285-1</v>
          </cell>
          <cell r="B858">
            <v>42495</v>
          </cell>
          <cell r="C858" t="str">
            <v>Shaun Weien</v>
          </cell>
          <cell r="D858" t="str">
            <v>310 Wattle St,Ultimo</v>
          </cell>
          <cell r="E858" t="str">
            <v>Sydney</v>
          </cell>
          <cell r="F858" t="str">
            <v>NSW</v>
          </cell>
          <cell r="G858" t="str">
            <v>Home Office</v>
          </cell>
          <cell r="H858" t="str">
            <v>Aanya Zhang</v>
          </cell>
          <cell r="I858" t="str">
            <v>Medium</v>
          </cell>
          <cell r="J858" t="str">
            <v>Artisan Heavy-Duty EZD  Binder With Locking Rings</v>
          </cell>
          <cell r="K858" t="str">
            <v>Office Supplies</v>
          </cell>
          <cell r="L858" t="str">
            <v>Small Box</v>
          </cell>
          <cell r="M858" t="str">
            <v>Regular Air</v>
          </cell>
          <cell r="N858">
            <v>42497</v>
          </cell>
          <cell r="O858">
            <v>3.52</v>
          </cell>
          <cell r="P858">
            <v>5.58</v>
          </cell>
          <cell r="Q858">
            <v>13</v>
          </cell>
          <cell r="R858">
            <v>72.540000000000006</v>
          </cell>
          <cell r="S858">
            <v>0.06</v>
          </cell>
          <cell r="T858">
            <v>4.3524000000000003</v>
          </cell>
          <cell r="U858">
            <v>72.48</v>
          </cell>
          <cell r="V858">
            <v>2.99</v>
          </cell>
          <cell r="W858">
            <v>75.47</v>
          </cell>
        </row>
        <row r="859">
          <cell r="A859" t="str">
            <v>6287-1</v>
          </cell>
          <cell r="B859">
            <v>42498</v>
          </cell>
          <cell r="C859" t="str">
            <v>Michelle Moray</v>
          </cell>
          <cell r="D859" t="str">
            <v>310 Wattle St,Ultimo</v>
          </cell>
          <cell r="E859" t="str">
            <v>Sydney</v>
          </cell>
          <cell r="F859" t="str">
            <v>NSW</v>
          </cell>
          <cell r="G859" t="str">
            <v>Corporate</v>
          </cell>
          <cell r="H859" t="str">
            <v>Aanya Zhang</v>
          </cell>
          <cell r="I859" t="str">
            <v>Low</v>
          </cell>
          <cell r="J859" t="str">
            <v>Fluorescent Highlighters by DrawIt</v>
          </cell>
          <cell r="K859" t="str">
            <v>Office Supplies</v>
          </cell>
          <cell r="L859" t="str">
            <v>Wrap Bag</v>
          </cell>
          <cell r="M859" t="str">
            <v>Regular Air</v>
          </cell>
          <cell r="N859">
            <v>42502</v>
          </cell>
          <cell r="O859">
            <v>1.95</v>
          </cell>
          <cell r="P859">
            <v>3.98</v>
          </cell>
          <cell r="Q859">
            <v>27</v>
          </cell>
          <cell r="R859">
            <v>107.46</v>
          </cell>
          <cell r="S859">
            <v>0.06</v>
          </cell>
          <cell r="T859">
            <v>6.4475999999999996</v>
          </cell>
          <cell r="U859">
            <v>107.39999999999999</v>
          </cell>
          <cell r="V859">
            <v>0.83</v>
          </cell>
          <cell r="W859">
            <v>108.22999999999999</v>
          </cell>
        </row>
        <row r="860">
          <cell r="A860" t="str">
            <v>6288-1</v>
          </cell>
          <cell r="B860">
            <v>42498</v>
          </cell>
          <cell r="C860" t="str">
            <v>Quincy Jones</v>
          </cell>
          <cell r="D860" t="str">
            <v>Shop 3/144 Waterloo Road,Greenacre</v>
          </cell>
          <cell r="E860" t="str">
            <v>Sydney</v>
          </cell>
          <cell r="F860" t="str">
            <v>NSW</v>
          </cell>
          <cell r="G860" t="str">
            <v>Corporate</v>
          </cell>
          <cell r="H860" t="str">
            <v>Samantha Chairs</v>
          </cell>
          <cell r="I860" t="str">
            <v>Low</v>
          </cell>
          <cell r="J860" t="str">
            <v>OIC Thumb-Tacks</v>
          </cell>
          <cell r="K860" t="str">
            <v>Office Supplies</v>
          </cell>
          <cell r="L860" t="str">
            <v>Wrap Bag</v>
          </cell>
          <cell r="M860" t="str">
            <v>Regular Air</v>
          </cell>
          <cell r="N860">
            <v>42498</v>
          </cell>
          <cell r="O860">
            <v>0.71</v>
          </cell>
          <cell r="P860">
            <v>1.1399999999999999</v>
          </cell>
          <cell r="Q860">
            <v>20</v>
          </cell>
          <cell r="R860">
            <v>22.799999999999997</v>
          </cell>
          <cell r="S860">
            <v>0.09</v>
          </cell>
          <cell r="T860">
            <v>2.0519999999999996</v>
          </cell>
          <cell r="U860">
            <v>22.709999999999997</v>
          </cell>
          <cell r="V860">
            <v>0.7</v>
          </cell>
          <cell r="W860">
            <v>23.409999999999997</v>
          </cell>
        </row>
        <row r="861">
          <cell r="A861" t="str">
            <v>6290-1</v>
          </cell>
          <cell r="B861">
            <v>42499</v>
          </cell>
          <cell r="C861" t="str">
            <v>Cindy Stewart</v>
          </cell>
          <cell r="D861" t="str">
            <v>1/173-179 Bronte Rd,Waverley</v>
          </cell>
          <cell r="E861" t="str">
            <v>Sydney</v>
          </cell>
          <cell r="F861" t="str">
            <v>NSW</v>
          </cell>
          <cell r="G861" t="str">
            <v>Corporate</v>
          </cell>
          <cell r="H861" t="str">
            <v>Leighton Forrest</v>
          </cell>
          <cell r="I861" t="str">
            <v>High</v>
          </cell>
          <cell r="J861" t="str">
            <v>24 Capacity Maxi Data Binder Racks, Pearl</v>
          </cell>
          <cell r="K861" t="str">
            <v>Office Supplies</v>
          </cell>
          <cell r="L861" t="str">
            <v>Small Box</v>
          </cell>
          <cell r="M861" t="str">
            <v>Regular Air</v>
          </cell>
          <cell r="N861">
            <v>42501</v>
          </cell>
          <cell r="O861">
            <v>84.22</v>
          </cell>
          <cell r="P861">
            <v>210.55</v>
          </cell>
          <cell r="Q861">
            <v>4</v>
          </cell>
          <cell r="R861">
            <v>842.2</v>
          </cell>
          <cell r="S861">
            <v>0.05</v>
          </cell>
          <cell r="T861">
            <v>42.110000000000007</v>
          </cell>
          <cell r="U861">
            <v>842.15000000000009</v>
          </cell>
          <cell r="V861">
            <v>9.99</v>
          </cell>
          <cell r="W861">
            <v>852.1400000000001</v>
          </cell>
        </row>
        <row r="862">
          <cell r="A862" t="str">
            <v>6291-1</v>
          </cell>
          <cell r="B862">
            <v>42500</v>
          </cell>
          <cell r="C862" t="str">
            <v>Roy Collins</v>
          </cell>
          <cell r="D862" t="str">
            <v>Westfield Sydney,Sydney</v>
          </cell>
          <cell r="E862" t="str">
            <v>Sydney</v>
          </cell>
          <cell r="F862" t="str">
            <v>NSW</v>
          </cell>
          <cell r="G862" t="str">
            <v>Corporate</v>
          </cell>
          <cell r="H862" t="str">
            <v>Natasha Song</v>
          </cell>
          <cell r="I862" t="str">
            <v>Not Specified</v>
          </cell>
          <cell r="J862" t="str">
            <v>Smiths Standard Envelopes</v>
          </cell>
          <cell r="K862" t="str">
            <v>Office Supplies</v>
          </cell>
          <cell r="L862" t="str">
            <v>Small Box</v>
          </cell>
          <cell r="M862" t="str">
            <v>Regular Air</v>
          </cell>
          <cell r="N862">
            <v>42502</v>
          </cell>
          <cell r="O862">
            <v>3.52</v>
          </cell>
          <cell r="P862">
            <v>5.68</v>
          </cell>
          <cell r="Q862">
            <v>34</v>
          </cell>
          <cell r="R862">
            <v>193.12</v>
          </cell>
          <cell r="S862">
            <v>0.06</v>
          </cell>
          <cell r="T862">
            <v>11.587199999999999</v>
          </cell>
          <cell r="U862">
            <v>193.06</v>
          </cell>
          <cell r="V862">
            <v>1.39</v>
          </cell>
          <cell r="W862">
            <v>194.45</v>
          </cell>
        </row>
        <row r="863">
          <cell r="A863" t="str">
            <v>6293-1</v>
          </cell>
          <cell r="B863">
            <v>42502</v>
          </cell>
          <cell r="C863" t="str">
            <v>John Lee</v>
          </cell>
          <cell r="D863" t="str">
            <v>180 High Street,Windsor</v>
          </cell>
          <cell r="E863" t="str">
            <v>Melbourne</v>
          </cell>
          <cell r="F863" t="str">
            <v>VIC</v>
          </cell>
          <cell r="G863" t="str">
            <v>Corporate</v>
          </cell>
          <cell r="H863" t="str">
            <v>Connor Betts</v>
          </cell>
          <cell r="I863" t="str">
            <v>Critical</v>
          </cell>
          <cell r="J863" t="str">
            <v>Self-Adhesive Ring Binder Labels</v>
          </cell>
          <cell r="K863" t="str">
            <v>Office Supplies</v>
          </cell>
          <cell r="L863" t="str">
            <v>Small Box</v>
          </cell>
          <cell r="M863" t="str">
            <v>Regular Air</v>
          </cell>
          <cell r="N863">
            <v>42504</v>
          </cell>
          <cell r="O863">
            <v>2.1800000000000002</v>
          </cell>
          <cell r="P863">
            <v>3.52</v>
          </cell>
          <cell r="Q863">
            <v>42</v>
          </cell>
          <cell r="R863">
            <v>147.84</v>
          </cell>
          <cell r="S863">
            <v>0.04</v>
          </cell>
          <cell r="T863">
            <v>5.9136000000000006</v>
          </cell>
          <cell r="U863">
            <v>147.80000000000001</v>
          </cell>
          <cell r="V863">
            <v>6.83</v>
          </cell>
          <cell r="W863">
            <v>154.63000000000002</v>
          </cell>
        </row>
        <row r="864">
          <cell r="A864" t="str">
            <v>6294-1</v>
          </cell>
          <cell r="B864">
            <v>42504</v>
          </cell>
          <cell r="C864" t="str">
            <v>Sonia Sunley</v>
          </cell>
          <cell r="D864" t="str">
            <v>1/50-58 Hunter St,Sydney</v>
          </cell>
          <cell r="E864" t="str">
            <v>Sydney</v>
          </cell>
          <cell r="F864" t="str">
            <v>NSW</v>
          </cell>
          <cell r="G864" t="str">
            <v>Corporate</v>
          </cell>
          <cell r="H864" t="str">
            <v>Preston Senome</v>
          </cell>
          <cell r="I864" t="str">
            <v>Not Specified</v>
          </cell>
          <cell r="J864" t="str">
            <v>Artisan 487 Labels</v>
          </cell>
          <cell r="K864" t="str">
            <v>Office Supplies</v>
          </cell>
          <cell r="L864" t="str">
            <v>Small Box</v>
          </cell>
          <cell r="M864" t="str">
            <v>Regular Air</v>
          </cell>
          <cell r="N864">
            <v>42506</v>
          </cell>
          <cell r="O864">
            <v>2.29</v>
          </cell>
          <cell r="P864">
            <v>3.69</v>
          </cell>
          <cell r="Q864">
            <v>47</v>
          </cell>
          <cell r="R864">
            <v>173.43</v>
          </cell>
          <cell r="S864">
            <v>0.05</v>
          </cell>
          <cell r="T864">
            <v>8.6715</v>
          </cell>
          <cell r="U864">
            <v>173.38</v>
          </cell>
          <cell r="V864">
            <v>0.5</v>
          </cell>
          <cell r="W864">
            <v>173.88</v>
          </cell>
        </row>
        <row r="865">
          <cell r="A865" t="str">
            <v>6295-1</v>
          </cell>
          <cell r="B865">
            <v>42504</v>
          </cell>
          <cell r="C865" t="str">
            <v>George Ashbrook</v>
          </cell>
          <cell r="D865" t="str">
            <v>506 Swan Street,Richmond</v>
          </cell>
          <cell r="E865" t="str">
            <v>Melbourne</v>
          </cell>
          <cell r="F865" t="str">
            <v>VIC</v>
          </cell>
          <cell r="G865" t="str">
            <v>Small Business</v>
          </cell>
          <cell r="H865" t="str">
            <v>Connor Betts</v>
          </cell>
          <cell r="I865" t="str">
            <v>Not Specified</v>
          </cell>
          <cell r="J865" t="str">
            <v>Economy Binders</v>
          </cell>
          <cell r="K865" t="str">
            <v>Office Supplies</v>
          </cell>
          <cell r="L865" t="str">
            <v>Small Box</v>
          </cell>
          <cell r="M865" t="str">
            <v>Regular Air</v>
          </cell>
          <cell r="N865">
            <v>42506</v>
          </cell>
          <cell r="O865">
            <v>1.33</v>
          </cell>
          <cell r="P865">
            <v>2.08</v>
          </cell>
          <cell r="Q865">
            <v>43</v>
          </cell>
          <cell r="R865">
            <v>89.44</v>
          </cell>
          <cell r="S865">
            <v>0.05</v>
          </cell>
          <cell r="T865">
            <v>4.4720000000000004</v>
          </cell>
          <cell r="U865">
            <v>89.39</v>
          </cell>
          <cell r="V865">
            <v>1.49</v>
          </cell>
          <cell r="W865">
            <v>90.88</v>
          </cell>
        </row>
        <row r="866">
          <cell r="A866" t="str">
            <v>6296-1</v>
          </cell>
          <cell r="B866">
            <v>42508</v>
          </cell>
          <cell r="C866" t="str">
            <v>Frank Price</v>
          </cell>
          <cell r="D866" t="str">
            <v>224A Gertrude St,Fitzroy</v>
          </cell>
          <cell r="E866" t="str">
            <v>Melbourne</v>
          </cell>
          <cell r="F866" t="str">
            <v>VIC</v>
          </cell>
          <cell r="G866" t="str">
            <v>Corporate</v>
          </cell>
          <cell r="H866" t="str">
            <v>Connor Betts</v>
          </cell>
          <cell r="I866" t="str">
            <v>Not Specified</v>
          </cell>
          <cell r="J866" t="str">
            <v>Multi-Use Personal File Cart and Caster Set, Three Stacking Bins</v>
          </cell>
          <cell r="K866" t="str">
            <v>Office Supplies</v>
          </cell>
          <cell r="L866" t="str">
            <v>Small Box</v>
          </cell>
          <cell r="M866" t="str">
            <v>Regular Air</v>
          </cell>
          <cell r="N866">
            <v>42510</v>
          </cell>
          <cell r="O866">
            <v>14.95</v>
          </cell>
          <cell r="P866">
            <v>34.76</v>
          </cell>
          <cell r="Q866">
            <v>8</v>
          </cell>
          <cell r="R866">
            <v>278.08</v>
          </cell>
          <cell r="S866">
            <v>0</v>
          </cell>
          <cell r="T866">
            <v>0</v>
          </cell>
          <cell r="U866">
            <v>278.08</v>
          </cell>
          <cell r="V866">
            <v>8.2200000000000006</v>
          </cell>
          <cell r="W866">
            <v>286.3</v>
          </cell>
        </row>
        <row r="867">
          <cell r="A867" t="str">
            <v>6298-1</v>
          </cell>
          <cell r="B867">
            <v>42509</v>
          </cell>
          <cell r="C867" t="str">
            <v>Rose OBrian</v>
          </cell>
          <cell r="D867" t="str">
            <v>157 Norton St,Leichhardt</v>
          </cell>
          <cell r="E867" t="str">
            <v>Sydney</v>
          </cell>
          <cell r="F867" t="str">
            <v>NSW</v>
          </cell>
          <cell r="G867" t="str">
            <v>Home Office</v>
          </cell>
          <cell r="H867" t="str">
            <v>Stevie Bacata</v>
          </cell>
          <cell r="I867" t="str">
            <v>Medium</v>
          </cell>
          <cell r="J867" t="str">
            <v>Pizazz Colored Pencils</v>
          </cell>
          <cell r="K867" t="str">
            <v>Office Supplies</v>
          </cell>
          <cell r="L867" t="str">
            <v>Wrap Bag</v>
          </cell>
          <cell r="M867" t="str">
            <v>Regular Air</v>
          </cell>
          <cell r="N867">
            <v>42510</v>
          </cell>
          <cell r="O867">
            <v>1.76</v>
          </cell>
          <cell r="P867">
            <v>2.94</v>
          </cell>
          <cell r="Q867">
            <v>31</v>
          </cell>
          <cell r="R867">
            <v>91.14</v>
          </cell>
          <cell r="S867">
            <v>0.04</v>
          </cell>
          <cell r="T867">
            <v>3.6456</v>
          </cell>
          <cell r="U867">
            <v>91.1</v>
          </cell>
          <cell r="V867">
            <v>0.81</v>
          </cell>
          <cell r="W867">
            <v>91.91</v>
          </cell>
        </row>
        <row r="868">
          <cell r="A868" t="str">
            <v>6300-1</v>
          </cell>
          <cell r="B868">
            <v>42511</v>
          </cell>
          <cell r="C868" t="str">
            <v>Dana Kaydos</v>
          </cell>
          <cell r="D868" t="str">
            <v>152 Bunnerong Road,Eastgardens</v>
          </cell>
          <cell r="E868" t="str">
            <v>Sydney</v>
          </cell>
          <cell r="F868" t="str">
            <v>NSW</v>
          </cell>
          <cell r="G868" t="str">
            <v>Corporate</v>
          </cell>
          <cell r="H868" t="str">
            <v>Tina Carlton</v>
          </cell>
          <cell r="I868" t="str">
            <v>Critical</v>
          </cell>
          <cell r="J868" t="str">
            <v>Aluminum Document Frame</v>
          </cell>
          <cell r="K868" t="str">
            <v>Furniture</v>
          </cell>
          <cell r="L868" t="str">
            <v>Small Pack</v>
          </cell>
          <cell r="M868" t="str">
            <v>Regular Air</v>
          </cell>
          <cell r="N868">
            <v>42512</v>
          </cell>
          <cell r="O868">
            <v>5.5</v>
          </cell>
          <cell r="P868">
            <v>12.22</v>
          </cell>
          <cell r="Q868">
            <v>10</v>
          </cell>
          <cell r="R868">
            <v>122.2</v>
          </cell>
          <cell r="S868">
            <v>0.01</v>
          </cell>
          <cell r="T868">
            <v>1.222</v>
          </cell>
          <cell r="U868">
            <v>122.19</v>
          </cell>
          <cell r="V868">
            <v>2.85</v>
          </cell>
          <cell r="W868">
            <v>125.03999999999999</v>
          </cell>
        </row>
        <row r="869">
          <cell r="A869" t="str">
            <v>6301-1</v>
          </cell>
          <cell r="B869">
            <v>42511</v>
          </cell>
          <cell r="C869" t="str">
            <v>Eric Barreto</v>
          </cell>
          <cell r="D869" t="str">
            <v>359 Crown Street,Surry Hills</v>
          </cell>
          <cell r="E869" t="str">
            <v>Sydney</v>
          </cell>
          <cell r="F869" t="str">
            <v>NSW</v>
          </cell>
          <cell r="G869" t="str">
            <v>Small Business</v>
          </cell>
          <cell r="H869" t="str">
            <v>Phoebe Gour</v>
          </cell>
          <cell r="I869" t="str">
            <v>Critical</v>
          </cell>
          <cell r="J869" t="str">
            <v>Ames Color-File Green Diamond Border X-ray Mailers</v>
          </cell>
          <cell r="K869" t="str">
            <v>Office Supplies</v>
          </cell>
          <cell r="L869" t="str">
            <v>Small Box</v>
          </cell>
          <cell r="M869" t="str">
            <v>Regular Air</v>
          </cell>
          <cell r="N869">
            <v>42511</v>
          </cell>
          <cell r="O869">
            <v>52.07</v>
          </cell>
          <cell r="P869">
            <v>83.98</v>
          </cell>
          <cell r="Q869">
            <v>46</v>
          </cell>
          <cell r="R869">
            <v>3863.0800000000004</v>
          </cell>
          <cell r="S869">
            <v>0.06</v>
          </cell>
          <cell r="T869">
            <v>231.78480000000002</v>
          </cell>
          <cell r="U869">
            <v>3863.0200000000004</v>
          </cell>
          <cell r="V869">
            <v>5.01</v>
          </cell>
          <cell r="W869">
            <v>3868.0300000000007</v>
          </cell>
        </row>
        <row r="870">
          <cell r="A870" t="str">
            <v>6302-1</v>
          </cell>
          <cell r="B870">
            <v>42511</v>
          </cell>
          <cell r="C870" t="str">
            <v>John Lucas</v>
          </cell>
          <cell r="D870" t="str">
            <v>188 Pitt Street,Sydney</v>
          </cell>
          <cell r="E870" t="str">
            <v>Sydney</v>
          </cell>
          <cell r="F870" t="str">
            <v>NSW</v>
          </cell>
          <cell r="G870" t="str">
            <v>Corporate</v>
          </cell>
          <cell r="H870" t="str">
            <v>Tina Carlton</v>
          </cell>
          <cell r="I870" t="str">
            <v>Critical</v>
          </cell>
          <cell r="J870" t="str">
            <v>Multi-Use Personal File Cart and Caster Set, Three Stacking Bins</v>
          </cell>
          <cell r="K870" t="str">
            <v>Office Supplies</v>
          </cell>
          <cell r="L870" t="str">
            <v>Small Box</v>
          </cell>
          <cell r="M870" t="str">
            <v>Regular Air</v>
          </cell>
          <cell r="N870">
            <v>42512</v>
          </cell>
          <cell r="O870">
            <v>14.95</v>
          </cell>
          <cell r="P870">
            <v>34.76</v>
          </cell>
          <cell r="Q870">
            <v>47</v>
          </cell>
          <cell r="R870">
            <v>1633.7199999999998</v>
          </cell>
          <cell r="S870">
            <v>0.09</v>
          </cell>
          <cell r="T870">
            <v>147.03479999999999</v>
          </cell>
          <cell r="U870">
            <v>1633.6299999999999</v>
          </cell>
          <cell r="V870">
            <v>8.2200000000000006</v>
          </cell>
          <cell r="W870">
            <v>1641.85</v>
          </cell>
        </row>
        <row r="871">
          <cell r="A871" t="str">
            <v>6303-1</v>
          </cell>
          <cell r="B871">
            <v>42512</v>
          </cell>
          <cell r="C871" t="str">
            <v>Thais Sissman</v>
          </cell>
          <cell r="D871" t="str">
            <v>53-55 Liverpool St,Sydney</v>
          </cell>
          <cell r="E871" t="str">
            <v>Sydney</v>
          </cell>
          <cell r="F871" t="str">
            <v>NSW</v>
          </cell>
          <cell r="G871" t="str">
            <v>Corporate</v>
          </cell>
          <cell r="H871" t="str">
            <v>Tina Carlton</v>
          </cell>
          <cell r="I871" t="str">
            <v>Medium</v>
          </cell>
          <cell r="J871" t="str">
            <v>Beekin 6 Outlet Metallic Surge Strip</v>
          </cell>
          <cell r="K871" t="str">
            <v>Office Supplies</v>
          </cell>
          <cell r="L871" t="str">
            <v>Small Box</v>
          </cell>
          <cell r="M871" t="str">
            <v>Regular Air</v>
          </cell>
          <cell r="N871">
            <v>42514</v>
          </cell>
          <cell r="O871">
            <v>4.46</v>
          </cell>
          <cell r="P871">
            <v>10.89</v>
          </cell>
          <cell r="Q871">
            <v>1</v>
          </cell>
          <cell r="R871">
            <v>10.89</v>
          </cell>
          <cell r="S871">
            <v>0</v>
          </cell>
          <cell r="T871">
            <v>0</v>
          </cell>
          <cell r="U871">
            <v>10.89</v>
          </cell>
          <cell r="V871">
            <v>4.5</v>
          </cell>
          <cell r="W871">
            <v>15.39</v>
          </cell>
        </row>
        <row r="872">
          <cell r="A872" t="str">
            <v>6304-1</v>
          </cell>
          <cell r="B872">
            <v>42512</v>
          </cell>
          <cell r="C872" t="str">
            <v>Eva Jacobs</v>
          </cell>
          <cell r="D872" t="str">
            <v>Westfield 1 Anderson St,Chatswood</v>
          </cell>
          <cell r="E872" t="str">
            <v>Sydney</v>
          </cell>
          <cell r="F872" t="str">
            <v>NSW</v>
          </cell>
          <cell r="G872" t="str">
            <v>Home Office</v>
          </cell>
          <cell r="H872" t="str">
            <v>Nicholas Fernandes</v>
          </cell>
          <cell r="I872" t="str">
            <v>Not Specified</v>
          </cell>
          <cell r="J872" t="str">
            <v>Smiths General Use 3-Ring Binders</v>
          </cell>
          <cell r="K872" t="str">
            <v>Office Supplies</v>
          </cell>
          <cell r="L872" t="str">
            <v>Small Box</v>
          </cell>
          <cell r="M872" t="str">
            <v>Regular Air</v>
          </cell>
          <cell r="N872">
            <v>42513</v>
          </cell>
          <cell r="O872">
            <v>1.18</v>
          </cell>
          <cell r="P872">
            <v>1.88</v>
          </cell>
          <cell r="Q872">
            <v>22</v>
          </cell>
          <cell r="R872">
            <v>41.36</v>
          </cell>
          <cell r="S872">
            <v>0.09</v>
          </cell>
          <cell r="T872">
            <v>3.7223999999999999</v>
          </cell>
          <cell r="U872">
            <v>41.269999999999996</v>
          </cell>
          <cell r="V872">
            <v>1.49</v>
          </cell>
          <cell r="W872">
            <v>42.76</v>
          </cell>
        </row>
        <row r="873">
          <cell r="A873" t="str">
            <v>6306-1</v>
          </cell>
          <cell r="B873">
            <v>42513</v>
          </cell>
          <cell r="C873" t="str">
            <v>Daniel Lacy</v>
          </cell>
          <cell r="D873" t="str">
            <v>85-113 Dunning Ave,Roseberry</v>
          </cell>
          <cell r="E873" t="str">
            <v>Sydney</v>
          </cell>
          <cell r="F873" t="str">
            <v>NSW</v>
          </cell>
          <cell r="G873" t="str">
            <v>Small Business</v>
          </cell>
          <cell r="H873" t="str">
            <v>Mihael Khan</v>
          </cell>
          <cell r="I873" t="str">
            <v>High</v>
          </cell>
          <cell r="J873" t="str">
            <v>DrawIt Pizazz Watercolor Pencils, 10-Color Set with Brush</v>
          </cell>
          <cell r="K873" t="str">
            <v>Office Supplies</v>
          </cell>
          <cell r="L873" t="str">
            <v>Wrap Bag</v>
          </cell>
          <cell r="M873" t="str">
            <v>Express Air</v>
          </cell>
          <cell r="N873">
            <v>42514</v>
          </cell>
          <cell r="O873">
            <v>2.39</v>
          </cell>
          <cell r="P873">
            <v>4.26</v>
          </cell>
          <cell r="Q873">
            <v>5</v>
          </cell>
          <cell r="R873">
            <v>21.299999999999997</v>
          </cell>
          <cell r="S873">
            <v>0.01</v>
          </cell>
          <cell r="T873">
            <v>0.21299999999999997</v>
          </cell>
          <cell r="U873">
            <v>21.289999999999996</v>
          </cell>
          <cell r="V873">
            <v>1.2</v>
          </cell>
          <cell r="W873">
            <v>22.489999999999995</v>
          </cell>
        </row>
        <row r="874">
          <cell r="A874" t="str">
            <v>6307-1</v>
          </cell>
          <cell r="B874">
            <v>42516</v>
          </cell>
          <cell r="C874" t="str">
            <v>Jim Karlsson</v>
          </cell>
          <cell r="D874" t="str">
            <v>1-2/299 Sussex St,Sydney</v>
          </cell>
          <cell r="E874" t="str">
            <v>Sydney</v>
          </cell>
          <cell r="F874" t="str">
            <v>NSW</v>
          </cell>
          <cell r="G874" t="str">
            <v>Small Business</v>
          </cell>
          <cell r="H874" t="str">
            <v>Aanya Zhang</v>
          </cell>
          <cell r="I874" t="str">
            <v>Medium</v>
          </cell>
          <cell r="J874" t="str">
            <v>Airmail Envelopes</v>
          </cell>
          <cell r="K874" t="str">
            <v>Office Supplies</v>
          </cell>
          <cell r="L874" t="str">
            <v>Small Box</v>
          </cell>
          <cell r="M874" t="str">
            <v>Regular Air</v>
          </cell>
          <cell r="N874">
            <v>42517</v>
          </cell>
          <cell r="O874">
            <v>52.04</v>
          </cell>
          <cell r="P874">
            <v>83.93</v>
          </cell>
          <cell r="Q874">
            <v>5</v>
          </cell>
          <cell r="R874">
            <v>419.65000000000003</v>
          </cell>
          <cell r="S874">
            <v>0.04</v>
          </cell>
          <cell r="T874">
            <v>16.786000000000001</v>
          </cell>
          <cell r="U874">
            <v>419.61</v>
          </cell>
          <cell r="V874">
            <v>19.989999999999998</v>
          </cell>
          <cell r="W874">
            <v>439.6</v>
          </cell>
        </row>
        <row r="875">
          <cell r="A875" t="str">
            <v>6309-1</v>
          </cell>
          <cell r="B875">
            <v>42517</v>
          </cell>
          <cell r="C875" t="str">
            <v>Lela Donovan</v>
          </cell>
          <cell r="D875" t="str">
            <v>255 Devonshire St,Surry Hills</v>
          </cell>
          <cell r="E875" t="str">
            <v>Sydney</v>
          </cell>
          <cell r="F875" t="str">
            <v>NSW</v>
          </cell>
          <cell r="G875" t="str">
            <v>Corporate</v>
          </cell>
          <cell r="H875" t="str">
            <v>Aanya Zhang</v>
          </cell>
          <cell r="I875" t="str">
            <v>Not Specified</v>
          </cell>
          <cell r="J875" t="str">
            <v>Artisan Printable Repositionable Plastic Tabs</v>
          </cell>
          <cell r="K875" t="str">
            <v>Office Supplies</v>
          </cell>
          <cell r="L875" t="str">
            <v>Small Box</v>
          </cell>
          <cell r="M875" t="str">
            <v>Regular Air</v>
          </cell>
          <cell r="N875">
            <v>42517</v>
          </cell>
          <cell r="O875">
            <v>5.33</v>
          </cell>
          <cell r="P875">
            <v>8.6</v>
          </cell>
          <cell r="Q875">
            <v>1</v>
          </cell>
          <cell r="R875">
            <v>8.6</v>
          </cell>
          <cell r="S875">
            <v>0.06</v>
          </cell>
          <cell r="T875">
            <v>0.51600000000000001</v>
          </cell>
          <cell r="U875">
            <v>8.5399999999999991</v>
          </cell>
          <cell r="V875">
            <v>6.19</v>
          </cell>
          <cell r="W875">
            <v>14.73</v>
          </cell>
        </row>
        <row r="876">
          <cell r="A876" t="str">
            <v>6311-1</v>
          </cell>
          <cell r="B876">
            <v>42519</v>
          </cell>
          <cell r="C876" t="str">
            <v>Peter Buhler</v>
          </cell>
          <cell r="D876" t="str">
            <v>2-4 College Street, Darlinghurst</v>
          </cell>
          <cell r="E876" t="str">
            <v>Sydney</v>
          </cell>
          <cell r="F876" t="str">
            <v>NSW</v>
          </cell>
          <cell r="G876" t="str">
            <v>Consumer</v>
          </cell>
          <cell r="H876" t="str">
            <v>Nicholas Fernandes</v>
          </cell>
          <cell r="I876" t="str">
            <v>Medium</v>
          </cell>
          <cell r="J876" t="str">
            <v>Multi-Use Personal File Cart and Caster Set, Three Stacking Bins</v>
          </cell>
          <cell r="K876" t="str">
            <v>Office Supplies</v>
          </cell>
          <cell r="L876" t="str">
            <v>Small Box</v>
          </cell>
          <cell r="M876" t="str">
            <v>Regular Air</v>
          </cell>
          <cell r="N876">
            <v>42520</v>
          </cell>
          <cell r="O876">
            <v>14.95</v>
          </cell>
          <cell r="P876">
            <v>34.76</v>
          </cell>
          <cell r="Q876">
            <v>32</v>
          </cell>
          <cell r="R876">
            <v>1112.32</v>
          </cell>
          <cell r="S876">
            <v>0.02</v>
          </cell>
          <cell r="T876">
            <v>22.246399999999998</v>
          </cell>
          <cell r="U876">
            <v>1112.3</v>
          </cell>
          <cell r="V876">
            <v>8.2200000000000006</v>
          </cell>
          <cell r="W876">
            <v>1120.52</v>
          </cell>
        </row>
        <row r="877">
          <cell r="A877" t="str">
            <v>6313-1</v>
          </cell>
          <cell r="B877">
            <v>42520</v>
          </cell>
          <cell r="C877" t="str">
            <v>Emily Grady</v>
          </cell>
          <cell r="D877" t="str">
            <v>359 Crown Street,Surry Hills</v>
          </cell>
          <cell r="E877" t="str">
            <v>Sydney</v>
          </cell>
          <cell r="F877" t="str">
            <v>NSW</v>
          </cell>
          <cell r="G877" t="str">
            <v>Home Office</v>
          </cell>
          <cell r="H877" t="str">
            <v>Phoebe Gour</v>
          </cell>
          <cell r="I877" t="str">
            <v>Medium</v>
          </cell>
          <cell r="J877" t="str">
            <v>TechSavi Internet Navigator Keyboard</v>
          </cell>
          <cell r="K877" t="str">
            <v>Technology</v>
          </cell>
          <cell r="L877" t="str">
            <v>Small Box</v>
          </cell>
          <cell r="M877" t="str">
            <v>Regular Air</v>
          </cell>
          <cell r="N877">
            <v>42520</v>
          </cell>
          <cell r="O877">
            <v>6.2</v>
          </cell>
          <cell r="P877">
            <v>30.98</v>
          </cell>
          <cell r="Q877">
            <v>24</v>
          </cell>
          <cell r="R877">
            <v>743.52</v>
          </cell>
          <cell r="S877">
            <v>0.08</v>
          </cell>
          <cell r="T877">
            <v>59.4816</v>
          </cell>
          <cell r="U877">
            <v>743.43999999999994</v>
          </cell>
          <cell r="V877">
            <v>4</v>
          </cell>
          <cell r="W877">
            <v>747.43999999999994</v>
          </cell>
        </row>
        <row r="878">
          <cell r="A878" t="str">
            <v>6315-1</v>
          </cell>
          <cell r="B878">
            <v>42521</v>
          </cell>
          <cell r="C878" t="str">
            <v>Christy Brittain</v>
          </cell>
          <cell r="D878" t="str">
            <v>Shop 1, 186-190 Church Street,Parramatta;46a Macleay Street,Potts Point</v>
          </cell>
          <cell r="E878" t="str">
            <v>Sydney</v>
          </cell>
          <cell r="F878" t="str">
            <v>NSW</v>
          </cell>
          <cell r="G878" t="str">
            <v>Consumer</v>
          </cell>
          <cell r="H878" t="str">
            <v>Mihael Khan</v>
          </cell>
          <cell r="I878" t="str">
            <v>Low</v>
          </cell>
          <cell r="J878" t="str">
            <v>Office Shears by Apex</v>
          </cell>
          <cell r="K878" t="str">
            <v>Office Supplies</v>
          </cell>
          <cell r="L878" t="str">
            <v>Small Pack</v>
          </cell>
          <cell r="M878" t="str">
            <v>Regular Air</v>
          </cell>
          <cell r="N878">
            <v>42523</v>
          </cell>
          <cell r="O878">
            <v>0.94</v>
          </cell>
          <cell r="P878">
            <v>2.08</v>
          </cell>
          <cell r="Q878">
            <v>49</v>
          </cell>
          <cell r="R878">
            <v>101.92</v>
          </cell>
          <cell r="S878">
            <v>0.08</v>
          </cell>
          <cell r="T878">
            <v>8.1536000000000008</v>
          </cell>
          <cell r="U878">
            <v>101.84</v>
          </cell>
          <cell r="V878">
            <v>2.56</v>
          </cell>
          <cell r="W878">
            <v>104.4</v>
          </cell>
        </row>
        <row r="879">
          <cell r="A879" t="str">
            <v>6316-1</v>
          </cell>
          <cell r="B879">
            <v>42521</v>
          </cell>
          <cell r="C879" t="str">
            <v>Bill Donatelli</v>
          </cell>
          <cell r="D879" t="str">
            <v>359 Crown Street,Surry Hills</v>
          </cell>
          <cell r="E879" t="str">
            <v>Sydney</v>
          </cell>
          <cell r="F879" t="str">
            <v>NSW</v>
          </cell>
          <cell r="G879" t="str">
            <v>Small Business</v>
          </cell>
          <cell r="H879" t="str">
            <v>Phoebe Gour</v>
          </cell>
          <cell r="I879" t="str">
            <v>High</v>
          </cell>
          <cell r="J879" t="str">
            <v>TechSavi Cordless Access Keyboard</v>
          </cell>
          <cell r="K879" t="str">
            <v>Technology</v>
          </cell>
          <cell r="L879" t="str">
            <v>Small Box</v>
          </cell>
          <cell r="M879" t="str">
            <v>Regular Air</v>
          </cell>
          <cell r="N879">
            <v>42524</v>
          </cell>
          <cell r="O879">
            <v>14.7</v>
          </cell>
          <cell r="P879">
            <v>29.99</v>
          </cell>
          <cell r="Q879">
            <v>1</v>
          </cell>
          <cell r="R879">
            <v>29.99</v>
          </cell>
          <cell r="S879">
            <v>0.04</v>
          </cell>
          <cell r="T879">
            <v>1.1996</v>
          </cell>
          <cell r="U879">
            <v>29.95</v>
          </cell>
          <cell r="V879">
            <v>5.5</v>
          </cell>
          <cell r="W879">
            <v>35.450000000000003</v>
          </cell>
        </row>
        <row r="880">
          <cell r="A880" t="str">
            <v>6317-1</v>
          </cell>
          <cell r="B880">
            <v>42523</v>
          </cell>
          <cell r="C880" t="str">
            <v>Jim Kriz</v>
          </cell>
          <cell r="D880" t="str">
            <v>85-113 Dunning Ave,Roseberry</v>
          </cell>
          <cell r="E880" t="str">
            <v>Sydney</v>
          </cell>
          <cell r="F880" t="str">
            <v>NSW</v>
          </cell>
          <cell r="G880" t="str">
            <v>Consumer</v>
          </cell>
          <cell r="H880" t="str">
            <v>Mihael Khan</v>
          </cell>
          <cell r="I880" t="str">
            <v>Critical</v>
          </cell>
          <cell r="J880" t="str">
            <v>Smiths Bulk Pack Metal Binder Clips</v>
          </cell>
          <cell r="K880" t="str">
            <v>Office Supplies</v>
          </cell>
          <cell r="L880" t="str">
            <v>Wrap Bag</v>
          </cell>
          <cell r="M880" t="str">
            <v>Regular Air</v>
          </cell>
          <cell r="N880">
            <v>42525</v>
          </cell>
          <cell r="O880">
            <v>3.95</v>
          </cell>
          <cell r="P880">
            <v>6.08</v>
          </cell>
          <cell r="Q880">
            <v>50</v>
          </cell>
          <cell r="R880">
            <v>304</v>
          </cell>
          <cell r="S880">
            <v>0.09</v>
          </cell>
          <cell r="T880">
            <v>27.36</v>
          </cell>
          <cell r="U880">
            <v>303.91000000000003</v>
          </cell>
          <cell r="V880">
            <v>1.82</v>
          </cell>
          <cell r="W880">
            <v>305.73</v>
          </cell>
        </row>
        <row r="881">
          <cell r="A881" t="str">
            <v>6319-1</v>
          </cell>
          <cell r="B881">
            <v>42524</v>
          </cell>
          <cell r="C881" t="str">
            <v>Brad Eason</v>
          </cell>
          <cell r="D881" t="str">
            <v>1737 Botany Rd,Banksmeadow</v>
          </cell>
          <cell r="E881" t="str">
            <v>Sydney</v>
          </cell>
          <cell r="F881" t="str">
            <v>NSW</v>
          </cell>
          <cell r="G881" t="str">
            <v>Small Business</v>
          </cell>
          <cell r="H881" t="str">
            <v>Nicholas Fernandes</v>
          </cell>
          <cell r="I881" t="str">
            <v>Critical</v>
          </cell>
          <cell r="J881" t="str">
            <v>Artisan 481 Labels</v>
          </cell>
          <cell r="K881" t="str">
            <v>Office Supplies</v>
          </cell>
          <cell r="L881" t="str">
            <v>Small Box</v>
          </cell>
          <cell r="M881" t="str">
            <v>Regular Air</v>
          </cell>
          <cell r="N881">
            <v>42525</v>
          </cell>
          <cell r="O881">
            <v>1.94</v>
          </cell>
          <cell r="P881">
            <v>3.08</v>
          </cell>
          <cell r="Q881">
            <v>11</v>
          </cell>
          <cell r="R881">
            <v>33.880000000000003</v>
          </cell>
          <cell r="S881">
            <v>0.03</v>
          </cell>
          <cell r="T881">
            <v>1.0164</v>
          </cell>
          <cell r="U881">
            <v>33.85</v>
          </cell>
          <cell r="V881">
            <v>0.99</v>
          </cell>
          <cell r="W881">
            <v>34.840000000000003</v>
          </cell>
        </row>
        <row r="882">
          <cell r="A882" t="str">
            <v>6320-1</v>
          </cell>
          <cell r="B882">
            <v>42524</v>
          </cell>
          <cell r="C882" t="str">
            <v>Jeremy Farry</v>
          </cell>
          <cell r="D882" t="str">
            <v>181 Enmore Rd,Enmore</v>
          </cell>
          <cell r="E882" t="str">
            <v>Sydney</v>
          </cell>
          <cell r="F882" t="str">
            <v>NSW</v>
          </cell>
          <cell r="G882" t="str">
            <v>Small Business</v>
          </cell>
          <cell r="H882" t="str">
            <v>Radhya Staples</v>
          </cell>
          <cell r="I882" t="str">
            <v>Not Specified</v>
          </cell>
          <cell r="J882" t="str">
            <v>OIC Thumb-Tacks</v>
          </cell>
          <cell r="K882" t="str">
            <v>Office Supplies</v>
          </cell>
          <cell r="L882" t="str">
            <v>Wrap Bag</v>
          </cell>
          <cell r="M882" t="str">
            <v>Regular Air</v>
          </cell>
          <cell r="N882">
            <v>42526</v>
          </cell>
          <cell r="O882">
            <v>0.71</v>
          </cell>
          <cell r="P882">
            <v>1.1399999999999999</v>
          </cell>
          <cell r="Q882">
            <v>3</v>
          </cell>
          <cell r="R882">
            <v>3.42</v>
          </cell>
          <cell r="S882">
            <v>0.1</v>
          </cell>
          <cell r="T882">
            <v>0.34200000000000003</v>
          </cell>
          <cell r="U882">
            <v>3.32</v>
          </cell>
          <cell r="V882">
            <v>0.7</v>
          </cell>
          <cell r="W882">
            <v>4.0199999999999996</v>
          </cell>
        </row>
        <row r="883">
          <cell r="A883" t="str">
            <v>6321-1</v>
          </cell>
          <cell r="B883">
            <v>42532</v>
          </cell>
          <cell r="C883" t="str">
            <v>Chuck Clark</v>
          </cell>
          <cell r="D883" t="str">
            <v>53-55 Liverpool St,Sydney</v>
          </cell>
          <cell r="E883" t="str">
            <v>Sydney</v>
          </cell>
          <cell r="F883" t="str">
            <v>NSW</v>
          </cell>
          <cell r="G883" t="str">
            <v>Corporate</v>
          </cell>
          <cell r="H883" t="str">
            <v>Tina Carlton</v>
          </cell>
          <cell r="I883" t="str">
            <v>Critical</v>
          </cell>
          <cell r="J883" t="str">
            <v>Steady Liquid Accent Tank-Style Highlighters</v>
          </cell>
          <cell r="K883" t="str">
            <v>Office Supplies</v>
          </cell>
          <cell r="L883" t="str">
            <v>Wrap Bag</v>
          </cell>
          <cell r="M883" t="str">
            <v>Regular Air</v>
          </cell>
          <cell r="N883">
            <v>42533</v>
          </cell>
          <cell r="O883">
            <v>1.31</v>
          </cell>
          <cell r="P883">
            <v>2.84</v>
          </cell>
          <cell r="Q883">
            <v>9</v>
          </cell>
          <cell r="R883">
            <v>25.56</v>
          </cell>
          <cell r="S883">
            <v>0.08</v>
          </cell>
          <cell r="T883">
            <v>2.0448</v>
          </cell>
          <cell r="U883">
            <v>25.48</v>
          </cell>
          <cell r="V883">
            <v>0.93</v>
          </cell>
          <cell r="W883">
            <v>26.41</v>
          </cell>
        </row>
        <row r="884">
          <cell r="A884" t="str">
            <v>6322-1</v>
          </cell>
          <cell r="B884">
            <v>42534</v>
          </cell>
          <cell r="C884" t="str">
            <v>Vicky Freymann</v>
          </cell>
          <cell r="D884" t="str">
            <v>501 George St,Sydney</v>
          </cell>
          <cell r="E884" t="str">
            <v>Sydney</v>
          </cell>
          <cell r="F884" t="str">
            <v>NSW</v>
          </cell>
          <cell r="G884" t="str">
            <v>Home Office</v>
          </cell>
          <cell r="H884" t="str">
            <v>Samantha Chairs</v>
          </cell>
          <cell r="I884" t="str">
            <v>Critical</v>
          </cell>
          <cell r="J884" t="str">
            <v>Adesso Programmable 142-Key Keyboard</v>
          </cell>
          <cell r="K884" t="str">
            <v>Technology</v>
          </cell>
          <cell r="L884" t="str">
            <v>Small Box</v>
          </cell>
          <cell r="M884" t="str">
            <v>Regular Air</v>
          </cell>
          <cell r="N884">
            <v>42536</v>
          </cell>
          <cell r="O884">
            <v>32.020000000000003</v>
          </cell>
          <cell r="P884">
            <v>152.47999999999999</v>
          </cell>
          <cell r="Q884">
            <v>12</v>
          </cell>
          <cell r="R884">
            <v>1829.7599999999998</v>
          </cell>
          <cell r="S884">
            <v>0.1</v>
          </cell>
          <cell r="T884">
            <v>182.976</v>
          </cell>
          <cell r="U884">
            <v>1829.6599999999999</v>
          </cell>
          <cell r="V884">
            <v>4</v>
          </cell>
          <cell r="W884">
            <v>1833.6599999999999</v>
          </cell>
        </row>
        <row r="885">
          <cell r="A885" t="str">
            <v>6327-1</v>
          </cell>
          <cell r="B885">
            <v>42535</v>
          </cell>
          <cell r="C885" t="str">
            <v>Christina Anderson</v>
          </cell>
          <cell r="D885" t="str">
            <v>438 Victoria Avenue,Chatswood</v>
          </cell>
          <cell r="E885" t="str">
            <v>Sydney</v>
          </cell>
          <cell r="F885" t="str">
            <v>NSW</v>
          </cell>
          <cell r="G885" t="str">
            <v>Corporate</v>
          </cell>
          <cell r="H885" t="str">
            <v>Natasha Song</v>
          </cell>
          <cell r="I885" t="str">
            <v>Critical</v>
          </cell>
          <cell r="J885" t="str">
            <v>Multimedia Mailers</v>
          </cell>
          <cell r="K885" t="str">
            <v>Office Supplies</v>
          </cell>
          <cell r="L885" t="str">
            <v>Small Box</v>
          </cell>
          <cell r="M885" t="str">
            <v>Express Air</v>
          </cell>
          <cell r="N885">
            <v>42536</v>
          </cell>
          <cell r="O885">
            <v>99.39</v>
          </cell>
          <cell r="P885">
            <v>162.93</v>
          </cell>
          <cell r="Q885">
            <v>36</v>
          </cell>
          <cell r="R885">
            <v>5865.4800000000005</v>
          </cell>
          <cell r="S885">
            <v>0.05</v>
          </cell>
          <cell r="T885">
            <v>293.27400000000006</v>
          </cell>
          <cell r="U885">
            <v>5865.43</v>
          </cell>
          <cell r="V885">
            <v>19.989999999999998</v>
          </cell>
          <cell r="W885">
            <v>5885.42</v>
          </cell>
        </row>
        <row r="886">
          <cell r="A886" t="str">
            <v>6329-1</v>
          </cell>
          <cell r="B886">
            <v>42536</v>
          </cell>
          <cell r="C886" t="str">
            <v>Arthur Prichep</v>
          </cell>
          <cell r="D886" t="str">
            <v>Sydney Fish Market, Bank Street, Sydney</v>
          </cell>
          <cell r="E886" t="str">
            <v>Sydney</v>
          </cell>
          <cell r="F886" t="str">
            <v>NSW</v>
          </cell>
          <cell r="G886" t="str">
            <v>Home Office</v>
          </cell>
          <cell r="H886" t="str">
            <v>Phoebe Gour</v>
          </cell>
          <cell r="I886" t="str">
            <v>Low</v>
          </cell>
          <cell r="J886" t="str">
            <v>Artisan Flip-Chart Easel Binder, Black</v>
          </cell>
          <cell r="K886" t="str">
            <v>Office Supplies</v>
          </cell>
          <cell r="L886" t="str">
            <v>Small Box</v>
          </cell>
          <cell r="M886" t="str">
            <v>Regular Air</v>
          </cell>
          <cell r="N886">
            <v>42538</v>
          </cell>
          <cell r="O886">
            <v>13.88</v>
          </cell>
          <cell r="P886">
            <v>22.38</v>
          </cell>
          <cell r="Q886">
            <v>11</v>
          </cell>
          <cell r="R886">
            <v>246.17999999999998</v>
          </cell>
          <cell r="S886">
            <v>0.01</v>
          </cell>
          <cell r="T886">
            <v>2.4617999999999998</v>
          </cell>
          <cell r="U886">
            <v>246.17</v>
          </cell>
          <cell r="V886">
            <v>15.1</v>
          </cell>
          <cell r="W886">
            <v>261.27</v>
          </cell>
        </row>
        <row r="887">
          <cell r="A887" t="str">
            <v>6330-1</v>
          </cell>
          <cell r="B887">
            <v>42536</v>
          </cell>
          <cell r="C887" t="str">
            <v>Neil Knudson</v>
          </cell>
          <cell r="D887" t="str">
            <v>4A Lyons St,Strathfield</v>
          </cell>
          <cell r="E887" t="str">
            <v>Sydney</v>
          </cell>
          <cell r="F887" t="str">
            <v>NSW</v>
          </cell>
          <cell r="G887" t="str">
            <v>Corporate</v>
          </cell>
          <cell r="H887" t="str">
            <v>Tina Carlton</v>
          </cell>
          <cell r="I887" t="str">
            <v>Not Specified</v>
          </cell>
          <cell r="J887" t="str">
            <v>Steady EarthWrite Recycled Pencils, Medium Soft, #2</v>
          </cell>
          <cell r="K887" t="str">
            <v>Office Supplies</v>
          </cell>
          <cell r="L887" t="str">
            <v>Wrap Bag</v>
          </cell>
          <cell r="M887" t="str">
            <v>Express Air</v>
          </cell>
          <cell r="N887">
            <v>42538</v>
          </cell>
          <cell r="O887">
            <v>0.9</v>
          </cell>
          <cell r="P887">
            <v>2.1</v>
          </cell>
          <cell r="Q887">
            <v>31</v>
          </cell>
          <cell r="R887">
            <v>65.100000000000009</v>
          </cell>
          <cell r="S887">
            <v>0.08</v>
          </cell>
          <cell r="T887">
            <v>5.2080000000000011</v>
          </cell>
          <cell r="U887">
            <v>65.02000000000001</v>
          </cell>
          <cell r="V887">
            <v>0.7</v>
          </cell>
          <cell r="W887">
            <v>65.720000000000013</v>
          </cell>
        </row>
        <row r="888">
          <cell r="A888" t="str">
            <v>6332-1</v>
          </cell>
          <cell r="B888">
            <v>42539</v>
          </cell>
          <cell r="C888" t="str">
            <v>Shaun Weien</v>
          </cell>
          <cell r="D888" t="str">
            <v>310 Wattle St,Ultimo</v>
          </cell>
          <cell r="E888" t="str">
            <v>Sydney</v>
          </cell>
          <cell r="F888" t="str">
            <v>NSW</v>
          </cell>
          <cell r="G888" t="str">
            <v>Home Office</v>
          </cell>
          <cell r="H888" t="str">
            <v>Aanya Zhang</v>
          </cell>
          <cell r="I888" t="str">
            <v>Low</v>
          </cell>
          <cell r="J888" t="str">
            <v>UGen RF Keyboard</v>
          </cell>
          <cell r="K888" t="str">
            <v>Technology</v>
          </cell>
          <cell r="L888" t="str">
            <v>Small Box</v>
          </cell>
          <cell r="M888" t="str">
            <v>Regular Air</v>
          </cell>
          <cell r="N888">
            <v>42541</v>
          </cell>
          <cell r="O888">
            <v>81.59</v>
          </cell>
          <cell r="P888">
            <v>159.99</v>
          </cell>
          <cell r="Q888">
            <v>31</v>
          </cell>
          <cell r="R888">
            <v>4959.6900000000005</v>
          </cell>
          <cell r="S888">
            <v>0.01</v>
          </cell>
          <cell r="T888">
            <v>49.596900000000005</v>
          </cell>
          <cell r="U888">
            <v>4959.68</v>
          </cell>
          <cell r="V888">
            <v>5.5</v>
          </cell>
          <cell r="W888">
            <v>4965.18</v>
          </cell>
        </row>
        <row r="889">
          <cell r="A889" t="str">
            <v>6333-1</v>
          </cell>
          <cell r="B889">
            <v>42540</v>
          </cell>
          <cell r="C889" t="str">
            <v>John Huston</v>
          </cell>
          <cell r="D889" t="str">
            <v>154 Castlereagh St,Sydney</v>
          </cell>
          <cell r="E889" t="str">
            <v>Sydney</v>
          </cell>
          <cell r="F889" t="str">
            <v>NSW</v>
          </cell>
          <cell r="G889" t="str">
            <v>Consumer</v>
          </cell>
          <cell r="H889" t="str">
            <v>Samantha Chairs</v>
          </cell>
          <cell r="I889" t="str">
            <v>Medium</v>
          </cell>
          <cell r="J889" t="str">
            <v>Apex Preferred Stainless Steel Scissors</v>
          </cell>
          <cell r="K889" t="str">
            <v>Office Supplies</v>
          </cell>
          <cell r="L889" t="str">
            <v>Small Pack</v>
          </cell>
          <cell r="M889" t="str">
            <v>Regular Air</v>
          </cell>
          <cell r="N889">
            <v>42541</v>
          </cell>
          <cell r="O889">
            <v>2.5</v>
          </cell>
          <cell r="P889">
            <v>5.68</v>
          </cell>
          <cell r="Q889">
            <v>27</v>
          </cell>
          <cell r="R889">
            <v>153.35999999999999</v>
          </cell>
          <cell r="S889">
            <v>0.03</v>
          </cell>
          <cell r="T889">
            <v>4.6007999999999996</v>
          </cell>
          <cell r="U889">
            <v>153.32999999999998</v>
          </cell>
          <cell r="V889">
            <v>3.6</v>
          </cell>
          <cell r="W889">
            <v>156.92999999999998</v>
          </cell>
        </row>
        <row r="890">
          <cell r="A890" t="str">
            <v>6335-1</v>
          </cell>
          <cell r="B890">
            <v>42541</v>
          </cell>
          <cell r="C890" t="str">
            <v>Clay Ludtke</v>
          </cell>
          <cell r="D890" t="str">
            <v>7 Khartoum Rd,Macquarie Park</v>
          </cell>
          <cell r="E890" t="str">
            <v>Sydney</v>
          </cell>
          <cell r="F890" t="str">
            <v>NSW</v>
          </cell>
          <cell r="G890" t="str">
            <v>Consumer</v>
          </cell>
          <cell r="H890" t="str">
            <v>Preston Senome</v>
          </cell>
          <cell r="I890" t="str">
            <v>High</v>
          </cell>
          <cell r="J890" t="str">
            <v>DrawIt Colored Pencils, 48-Color Set</v>
          </cell>
          <cell r="K890" t="str">
            <v>Office Supplies</v>
          </cell>
          <cell r="L890" t="str">
            <v>Wrap Bag</v>
          </cell>
          <cell r="M890" t="str">
            <v>Regular Air</v>
          </cell>
          <cell r="N890">
            <v>42542</v>
          </cell>
          <cell r="O890">
            <v>21.56</v>
          </cell>
          <cell r="P890">
            <v>36.549999999999997</v>
          </cell>
          <cell r="Q890">
            <v>34</v>
          </cell>
          <cell r="R890">
            <v>1242.6999999999998</v>
          </cell>
          <cell r="S890">
            <v>0.1</v>
          </cell>
          <cell r="T890">
            <v>124.26999999999998</v>
          </cell>
          <cell r="U890">
            <v>1242.5999999999999</v>
          </cell>
          <cell r="V890">
            <v>13.89</v>
          </cell>
          <cell r="W890">
            <v>1256.49</v>
          </cell>
        </row>
        <row r="891">
          <cell r="A891" t="str">
            <v>6339-1</v>
          </cell>
          <cell r="B891">
            <v>42546</v>
          </cell>
          <cell r="C891" t="str">
            <v>Cindy Chapman</v>
          </cell>
          <cell r="D891" t="str">
            <v>53-55 Liverpool St,Sydney</v>
          </cell>
          <cell r="E891" t="str">
            <v>Sydney</v>
          </cell>
          <cell r="F891" t="str">
            <v>NSW</v>
          </cell>
          <cell r="G891" t="str">
            <v>Corporate</v>
          </cell>
          <cell r="H891" t="str">
            <v>Tina Carlton</v>
          </cell>
          <cell r="I891" t="str">
            <v>Not Specified</v>
          </cell>
          <cell r="J891" t="str">
            <v>Wirebound Voice Message Log Book</v>
          </cell>
          <cell r="K891" t="str">
            <v>Office Supplies</v>
          </cell>
          <cell r="L891" t="str">
            <v>Wrap Bag</v>
          </cell>
          <cell r="M891" t="str">
            <v>Regular Air</v>
          </cell>
          <cell r="N891">
            <v>42548</v>
          </cell>
          <cell r="O891">
            <v>2.9</v>
          </cell>
          <cell r="P891">
            <v>4.76</v>
          </cell>
          <cell r="Q891">
            <v>5</v>
          </cell>
          <cell r="R891">
            <v>23.799999999999997</v>
          </cell>
          <cell r="S891">
            <v>0.09</v>
          </cell>
          <cell r="T891">
            <v>2.1419999999999995</v>
          </cell>
          <cell r="U891">
            <v>23.709999999999997</v>
          </cell>
          <cell r="V891">
            <v>0.88</v>
          </cell>
          <cell r="W891">
            <v>24.589999999999996</v>
          </cell>
        </row>
        <row r="892">
          <cell r="A892" t="str">
            <v>6340-1</v>
          </cell>
          <cell r="B892">
            <v>42550</v>
          </cell>
          <cell r="C892" t="str">
            <v>Brian DeCherney</v>
          </cell>
          <cell r="D892" t="str">
            <v>523 King St,Newtown</v>
          </cell>
          <cell r="E892" t="str">
            <v>Sydney</v>
          </cell>
          <cell r="F892" t="str">
            <v>NSW</v>
          </cell>
          <cell r="G892" t="str">
            <v>Corporate</v>
          </cell>
          <cell r="H892" t="str">
            <v>Aanya Zhang</v>
          </cell>
          <cell r="I892" t="str">
            <v>Critical</v>
          </cell>
          <cell r="J892" t="str">
            <v>Artisan 478 Labels</v>
          </cell>
          <cell r="K892" t="str">
            <v>Office Supplies</v>
          </cell>
          <cell r="L892" t="str">
            <v>Small Box</v>
          </cell>
          <cell r="M892" t="str">
            <v>Regular Air</v>
          </cell>
          <cell r="N892">
            <v>42552</v>
          </cell>
          <cell r="O892">
            <v>3.14</v>
          </cell>
          <cell r="P892">
            <v>4.91</v>
          </cell>
          <cell r="Q892">
            <v>28</v>
          </cell>
          <cell r="R892">
            <v>137.48000000000002</v>
          </cell>
          <cell r="S892">
            <v>0.08</v>
          </cell>
          <cell r="T892">
            <v>10.998400000000002</v>
          </cell>
          <cell r="U892">
            <v>137.4</v>
          </cell>
          <cell r="V892">
            <v>0.5</v>
          </cell>
          <cell r="W892">
            <v>137.9</v>
          </cell>
        </row>
        <row r="893">
          <cell r="A893" t="str">
            <v>6342-1</v>
          </cell>
          <cell r="B893">
            <v>42551</v>
          </cell>
          <cell r="C893" t="str">
            <v>Matthew Clasen</v>
          </cell>
          <cell r="D893" t="str">
            <v>Macquarie Centre Cnr Herring Road &amp; Waterloo Road,Macquarie Park</v>
          </cell>
          <cell r="E893" t="str">
            <v>Sydney</v>
          </cell>
          <cell r="F893" t="str">
            <v>NSW</v>
          </cell>
          <cell r="G893" t="str">
            <v>Consumer</v>
          </cell>
          <cell r="H893" t="str">
            <v>Nicholas Fernandes</v>
          </cell>
          <cell r="I893" t="str">
            <v>Low</v>
          </cell>
          <cell r="J893" t="str">
            <v>Artisan Flip-Chart Easel Binder, Black</v>
          </cell>
          <cell r="K893" t="str">
            <v>Office Supplies</v>
          </cell>
          <cell r="L893" t="str">
            <v>Small Box</v>
          </cell>
          <cell r="M893" t="str">
            <v>Regular Air</v>
          </cell>
          <cell r="N893">
            <v>42553</v>
          </cell>
          <cell r="O893">
            <v>13.88</v>
          </cell>
          <cell r="P893">
            <v>22.38</v>
          </cell>
          <cell r="Q893">
            <v>9</v>
          </cell>
          <cell r="R893">
            <v>201.42</v>
          </cell>
          <cell r="S893">
            <v>0.03</v>
          </cell>
          <cell r="T893">
            <v>6.0425999999999993</v>
          </cell>
          <cell r="U893">
            <v>201.39</v>
          </cell>
          <cell r="V893">
            <v>15.1</v>
          </cell>
          <cell r="W893">
            <v>216.48999999999998</v>
          </cell>
        </row>
        <row r="894">
          <cell r="A894" t="str">
            <v>6343-1</v>
          </cell>
          <cell r="B894">
            <v>42551</v>
          </cell>
          <cell r="C894" t="str">
            <v>Lindsay Castell</v>
          </cell>
          <cell r="D894" t="str">
            <v>Qantas Domestic Terminal,Mascot</v>
          </cell>
          <cell r="E894" t="str">
            <v>Sydney</v>
          </cell>
          <cell r="F894" t="str">
            <v>NSW</v>
          </cell>
          <cell r="G894" t="str">
            <v>Corporate</v>
          </cell>
          <cell r="H894" t="str">
            <v>Phoebe Gour</v>
          </cell>
          <cell r="I894" t="str">
            <v>High</v>
          </cell>
          <cell r="J894" t="str">
            <v>Bagged Rubber Bands</v>
          </cell>
          <cell r="K894" t="str">
            <v>Office Supplies</v>
          </cell>
          <cell r="L894" t="str">
            <v>Wrap Bag</v>
          </cell>
          <cell r="M894" t="str">
            <v>Regular Air</v>
          </cell>
          <cell r="N894">
            <v>42552</v>
          </cell>
          <cell r="O894">
            <v>0.24</v>
          </cell>
          <cell r="P894">
            <v>1.26</v>
          </cell>
          <cell r="Q894">
            <v>47</v>
          </cell>
          <cell r="R894">
            <v>59.22</v>
          </cell>
          <cell r="S894">
            <v>0</v>
          </cell>
          <cell r="T894">
            <v>0</v>
          </cell>
          <cell r="U894">
            <v>59.22</v>
          </cell>
          <cell r="V894">
            <v>0.7</v>
          </cell>
          <cell r="W894">
            <v>59.92</v>
          </cell>
        </row>
        <row r="895">
          <cell r="A895" t="str">
            <v>6345-1</v>
          </cell>
          <cell r="B895">
            <v>42553</v>
          </cell>
          <cell r="C895" t="str">
            <v>Susan Pistek</v>
          </cell>
          <cell r="D895" t="str">
            <v>2a/285A Crown St,Surry Hills</v>
          </cell>
          <cell r="E895" t="str">
            <v>Sydney</v>
          </cell>
          <cell r="F895" t="str">
            <v>NSW</v>
          </cell>
          <cell r="G895" t="str">
            <v>Home Office</v>
          </cell>
          <cell r="H895" t="str">
            <v>Phoebe Gour</v>
          </cell>
          <cell r="I895" t="str">
            <v>High</v>
          </cell>
          <cell r="J895" t="str">
            <v>Artisan 474 Labels</v>
          </cell>
          <cell r="K895" t="str">
            <v>Office Supplies</v>
          </cell>
          <cell r="L895" t="str">
            <v>Small Box</v>
          </cell>
          <cell r="M895" t="str">
            <v>Regular Air</v>
          </cell>
          <cell r="N895">
            <v>42555</v>
          </cell>
          <cell r="O895">
            <v>1.84</v>
          </cell>
          <cell r="P895">
            <v>2.88</v>
          </cell>
          <cell r="Q895">
            <v>18</v>
          </cell>
          <cell r="R895">
            <v>51.839999999999996</v>
          </cell>
          <cell r="S895">
            <v>0.03</v>
          </cell>
          <cell r="T895">
            <v>1.5551999999999999</v>
          </cell>
          <cell r="U895">
            <v>51.809999999999995</v>
          </cell>
          <cell r="V895">
            <v>0.99</v>
          </cell>
          <cell r="W895">
            <v>52.8</v>
          </cell>
        </row>
        <row r="896">
          <cell r="A896" t="str">
            <v>6346-1</v>
          </cell>
          <cell r="B896">
            <v>42553</v>
          </cell>
          <cell r="C896" t="str">
            <v>Astrea Jones</v>
          </cell>
          <cell r="D896" t="str">
            <v>485 Crown St,Surry Hills</v>
          </cell>
          <cell r="E896" t="str">
            <v>Sydney</v>
          </cell>
          <cell r="F896" t="str">
            <v>NSW</v>
          </cell>
          <cell r="G896" t="str">
            <v>Corporate</v>
          </cell>
          <cell r="H896" t="str">
            <v>Leighton Forrest</v>
          </cell>
          <cell r="I896" t="str">
            <v>Critical</v>
          </cell>
          <cell r="J896" t="str">
            <v>Smiths Metal Binder Clips</v>
          </cell>
          <cell r="K896" t="str">
            <v>Office Supplies</v>
          </cell>
          <cell r="L896" t="str">
            <v>Wrap Bag</v>
          </cell>
          <cell r="M896" t="str">
            <v>Regular Air</v>
          </cell>
          <cell r="N896">
            <v>42555</v>
          </cell>
          <cell r="O896">
            <v>1.6</v>
          </cell>
          <cell r="P896">
            <v>2.62</v>
          </cell>
          <cell r="Q896">
            <v>16</v>
          </cell>
          <cell r="R896">
            <v>41.92</v>
          </cell>
          <cell r="S896">
            <v>0.09</v>
          </cell>
          <cell r="T896">
            <v>3.7728000000000002</v>
          </cell>
          <cell r="U896">
            <v>41.83</v>
          </cell>
          <cell r="V896">
            <v>0.8</v>
          </cell>
          <cell r="W896">
            <v>42.629999999999995</v>
          </cell>
        </row>
        <row r="897">
          <cell r="A897" t="str">
            <v>6348-1</v>
          </cell>
          <cell r="B897">
            <v>42554</v>
          </cell>
          <cell r="C897" t="str">
            <v>Philip Fox</v>
          </cell>
          <cell r="D897" t="str">
            <v>73 York St,Sydney</v>
          </cell>
          <cell r="E897" t="str">
            <v>Sydney</v>
          </cell>
          <cell r="F897" t="str">
            <v>NSW</v>
          </cell>
          <cell r="G897" t="str">
            <v>Home Office</v>
          </cell>
          <cell r="H897" t="str">
            <v>Tina Carlton</v>
          </cell>
          <cell r="I897" t="str">
            <v>Medium</v>
          </cell>
          <cell r="J897" t="str">
            <v>Assorted Color Push Pins</v>
          </cell>
          <cell r="K897" t="str">
            <v>Office Supplies</v>
          </cell>
          <cell r="L897" t="str">
            <v>Wrap Bag</v>
          </cell>
          <cell r="M897" t="str">
            <v>Regular Air</v>
          </cell>
          <cell r="N897">
            <v>42556</v>
          </cell>
          <cell r="O897">
            <v>0.87</v>
          </cell>
          <cell r="P897">
            <v>1.81</v>
          </cell>
          <cell r="Q897">
            <v>50</v>
          </cell>
          <cell r="R897">
            <v>90.5</v>
          </cell>
          <cell r="S897">
            <v>0.08</v>
          </cell>
          <cell r="T897">
            <v>7.24</v>
          </cell>
          <cell r="U897">
            <v>90.42</v>
          </cell>
          <cell r="V897">
            <v>0.75</v>
          </cell>
          <cell r="W897">
            <v>91.17</v>
          </cell>
        </row>
        <row r="898">
          <cell r="A898" t="str">
            <v>6349-1</v>
          </cell>
          <cell r="B898">
            <v>42556</v>
          </cell>
          <cell r="C898" t="str">
            <v>Denise Monton</v>
          </cell>
          <cell r="D898" t="str">
            <v>2/797 Botany Rd,Rosebery</v>
          </cell>
          <cell r="E898" t="str">
            <v>Sydney</v>
          </cell>
          <cell r="F898" t="str">
            <v>NSW</v>
          </cell>
          <cell r="G898" t="str">
            <v>Home Office</v>
          </cell>
          <cell r="H898" t="str">
            <v>Samantha Chairs</v>
          </cell>
          <cell r="I898" t="str">
            <v>Not Specified</v>
          </cell>
          <cell r="J898" t="str">
            <v>Artisan Poly Binder Pockets</v>
          </cell>
          <cell r="K898" t="str">
            <v>Office Supplies</v>
          </cell>
          <cell r="L898" t="str">
            <v>Small Box</v>
          </cell>
          <cell r="M898" t="str">
            <v>Express Air</v>
          </cell>
          <cell r="N898">
            <v>42558</v>
          </cell>
          <cell r="O898">
            <v>2.2599999999999998</v>
          </cell>
          <cell r="P898">
            <v>3.58</v>
          </cell>
          <cell r="Q898">
            <v>36</v>
          </cell>
          <cell r="R898">
            <v>128.88</v>
          </cell>
          <cell r="S898">
            <v>0.04</v>
          </cell>
          <cell r="T898">
            <v>5.1551999999999998</v>
          </cell>
          <cell r="U898">
            <v>128.84</v>
          </cell>
          <cell r="V898">
            <v>5.47</v>
          </cell>
          <cell r="W898">
            <v>134.31</v>
          </cell>
        </row>
        <row r="899">
          <cell r="A899" t="str">
            <v>6351-1</v>
          </cell>
          <cell r="B899">
            <v>42558</v>
          </cell>
          <cell r="C899" t="str">
            <v>Thea Hendricks</v>
          </cell>
          <cell r="D899" t="str">
            <v>412 Brunswick St,Fitzroy</v>
          </cell>
          <cell r="E899" t="str">
            <v>Melbourne</v>
          </cell>
          <cell r="F899" t="str">
            <v>VIC</v>
          </cell>
          <cell r="G899" t="str">
            <v>Home Office</v>
          </cell>
          <cell r="H899" t="str">
            <v>Connor Betts</v>
          </cell>
          <cell r="I899" t="str">
            <v>High</v>
          </cell>
          <cell r="J899" t="str">
            <v>Pizazz Dustless Chalk Sticks</v>
          </cell>
          <cell r="K899" t="str">
            <v>Office Supplies</v>
          </cell>
          <cell r="L899" t="str">
            <v>Wrap Bag</v>
          </cell>
          <cell r="M899" t="str">
            <v>Regular Air</v>
          </cell>
          <cell r="N899">
            <v>42559</v>
          </cell>
          <cell r="O899">
            <v>1.0900000000000001</v>
          </cell>
          <cell r="P899">
            <v>1.68</v>
          </cell>
          <cell r="Q899">
            <v>50</v>
          </cell>
          <cell r="R899">
            <v>84</v>
          </cell>
          <cell r="S899">
            <v>0.09</v>
          </cell>
          <cell r="T899">
            <v>7.56</v>
          </cell>
          <cell r="U899">
            <v>83.91</v>
          </cell>
          <cell r="V899">
            <v>1</v>
          </cell>
          <cell r="W899">
            <v>84.91</v>
          </cell>
        </row>
        <row r="900">
          <cell r="A900" t="str">
            <v>6352-1</v>
          </cell>
          <cell r="B900">
            <v>42562</v>
          </cell>
          <cell r="C900" t="str">
            <v>Katherine Murray</v>
          </cell>
          <cell r="D900" t="str">
            <v>18 Whistler St,Sydney</v>
          </cell>
          <cell r="E900" t="str">
            <v>Sydney</v>
          </cell>
          <cell r="F900" t="str">
            <v>NSW</v>
          </cell>
          <cell r="G900" t="str">
            <v>Home Office</v>
          </cell>
          <cell r="H900" t="str">
            <v>Nicholas Fernandes</v>
          </cell>
          <cell r="I900" t="str">
            <v>Medium</v>
          </cell>
          <cell r="J900" t="str">
            <v>Wirebound Message Book, 4 per Page</v>
          </cell>
          <cell r="K900" t="str">
            <v>Office Supplies</v>
          </cell>
          <cell r="L900" t="str">
            <v>Wrap Bag</v>
          </cell>
          <cell r="M900" t="str">
            <v>Regular Air</v>
          </cell>
          <cell r="N900">
            <v>42563</v>
          </cell>
          <cell r="O900">
            <v>3.48</v>
          </cell>
          <cell r="P900">
            <v>5.43</v>
          </cell>
          <cell r="Q900">
            <v>2</v>
          </cell>
          <cell r="R900">
            <v>10.86</v>
          </cell>
          <cell r="S900">
            <v>0.03</v>
          </cell>
          <cell r="T900">
            <v>0.32579999999999998</v>
          </cell>
          <cell r="U900">
            <v>10.83</v>
          </cell>
          <cell r="V900">
            <v>0.95</v>
          </cell>
          <cell r="W900">
            <v>11.78</v>
          </cell>
        </row>
        <row r="901">
          <cell r="A901" t="str">
            <v>6353-1</v>
          </cell>
          <cell r="B901">
            <v>42563</v>
          </cell>
          <cell r="C901" t="str">
            <v>Debra Catini</v>
          </cell>
          <cell r="D901" t="str">
            <v>506 Swan Street,Richmond</v>
          </cell>
          <cell r="E901" t="str">
            <v>Melbourne</v>
          </cell>
          <cell r="F901" t="str">
            <v>VIC</v>
          </cell>
          <cell r="G901" t="str">
            <v>Small Business</v>
          </cell>
          <cell r="H901" t="str">
            <v>Connor Betts</v>
          </cell>
          <cell r="I901" t="str">
            <v>Medium</v>
          </cell>
          <cell r="J901" t="str">
            <v>Artisan Hanging File Binders</v>
          </cell>
          <cell r="K901" t="str">
            <v>Office Supplies</v>
          </cell>
          <cell r="L901" t="str">
            <v>Small Box</v>
          </cell>
          <cell r="M901" t="str">
            <v>Regular Air</v>
          </cell>
          <cell r="N901">
            <v>42564</v>
          </cell>
          <cell r="O901">
            <v>3.65</v>
          </cell>
          <cell r="P901">
            <v>5.98</v>
          </cell>
          <cell r="Q901">
            <v>22</v>
          </cell>
          <cell r="R901">
            <v>131.56</v>
          </cell>
          <cell r="S901">
            <v>7.0000000000000007E-2</v>
          </cell>
          <cell r="T901">
            <v>9.2092000000000009</v>
          </cell>
          <cell r="U901">
            <v>131.49</v>
          </cell>
          <cell r="V901">
            <v>1.49</v>
          </cell>
          <cell r="W901">
            <v>132.98000000000002</v>
          </cell>
        </row>
        <row r="902">
          <cell r="A902" t="str">
            <v>6354-1</v>
          </cell>
          <cell r="B902">
            <v>42567</v>
          </cell>
          <cell r="C902" t="str">
            <v>Maribeth Dona</v>
          </cell>
          <cell r="D902" t="str">
            <v>8 Rankins Lane ,Melbourne</v>
          </cell>
          <cell r="E902" t="str">
            <v>Melbourne</v>
          </cell>
          <cell r="F902" t="str">
            <v>VIC</v>
          </cell>
          <cell r="G902" t="str">
            <v>Home Office</v>
          </cell>
          <cell r="H902" t="str">
            <v>Connor Betts</v>
          </cell>
          <cell r="I902" t="str">
            <v>High</v>
          </cell>
          <cell r="J902" t="str">
            <v>Adesso Programmable 142-Key Keyboard</v>
          </cell>
          <cell r="K902" t="str">
            <v>Technology</v>
          </cell>
          <cell r="L902" t="str">
            <v>Small Box</v>
          </cell>
          <cell r="M902" t="str">
            <v>Regular Air</v>
          </cell>
          <cell r="N902">
            <v>42569</v>
          </cell>
          <cell r="O902">
            <v>32.020000000000003</v>
          </cell>
          <cell r="P902">
            <v>152.47999999999999</v>
          </cell>
          <cell r="Q902">
            <v>2</v>
          </cell>
          <cell r="R902">
            <v>304.95999999999998</v>
          </cell>
          <cell r="S902">
            <v>0.03</v>
          </cell>
          <cell r="T902">
            <v>9.1487999999999996</v>
          </cell>
          <cell r="U902">
            <v>304.93</v>
          </cell>
          <cell r="V902">
            <v>4</v>
          </cell>
          <cell r="W902">
            <v>308.93</v>
          </cell>
        </row>
        <row r="903">
          <cell r="A903" t="str">
            <v>6355-1</v>
          </cell>
          <cell r="B903">
            <v>42568</v>
          </cell>
          <cell r="C903" t="str">
            <v>Kean Thornton</v>
          </cell>
          <cell r="D903" t="str">
            <v>Westfield Sydney,Sydney</v>
          </cell>
          <cell r="E903" t="str">
            <v>Sydney</v>
          </cell>
          <cell r="F903" t="str">
            <v>NSW</v>
          </cell>
          <cell r="G903" t="str">
            <v>Corporate</v>
          </cell>
          <cell r="H903" t="str">
            <v>Natasha Song</v>
          </cell>
          <cell r="I903" t="str">
            <v>Not Specified</v>
          </cell>
          <cell r="J903" t="str">
            <v>Steady Pocket Accent Highlighters</v>
          </cell>
          <cell r="K903" t="str">
            <v>Office Supplies</v>
          </cell>
          <cell r="L903" t="str">
            <v>Wrap Bag</v>
          </cell>
          <cell r="M903" t="str">
            <v>Regular Air</v>
          </cell>
          <cell r="N903">
            <v>42569</v>
          </cell>
          <cell r="O903">
            <v>0.93</v>
          </cell>
          <cell r="P903">
            <v>1.6</v>
          </cell>
          <cell r="Q903">
            <v>39</v>
          </cell>
          <cell r="R903">
            <v>62.400000000000006</v>
          </cell>
          <cell r="S903">
            <v>0.1</v>
          </cell>
          <cell r="T903">
            <v>6.2400000000000011</v>
          </cell>
          <cell r="U903">
            <v>62.300000000000004</v>
          </cell>
          <cell r="V903">
            <v>1.29</v>
          </cell>
          <cell r="W903">
            <v>63.59</v>
          </cell>
        </row>
        <row r="904">
          <cell r="A904" t="str">
            <v>6356-1</v>
          </cell>
          <cell r="B904">
            <v>42578</v>
          </cell>
          <cell r="C904" t="str">
            <v>Michelle Huthwaite</v>
          </cell>
          <cell r="D904" t="str">
            <v>155 Oxford Street,Darlinghurst</v>
          </cell>
          <cell r="E904" t="str">
            <v>Sydney</v>
          </cell>
          <cell r="F904" t="str">
            <v>NSW</v>
          </cell>
          <cell r="G904" t="str">
            <v>Home Office</v>
          </cell>
          <cell r="H904" t="str">
            <v>Samantha Chairs</v>
          </cell>
          <cell r="I904" t="str">
            <v>Critical</v>
          </cell>
          <cell r="J904" t="str">
            <v>HFX 610 Color Digital Copier / Printer</v>
          </cell>
          <cell r="K904" t="str">
            <v>Technology</v>
          </cell>
          <cell r="L904" t="str">
            <v>Large Box</v>
          </cell>
          <cell r="M904" t="str">
            <v>Regular Air</v>
          </cell>
          <cell r="N904">
            <v>42580</v>
          </cell>
          <cell r="O904">
            <v>269.99</v>
          </cell>
          <cell r="P904">
            <v>449.99</v>
          </cell>
          <cell r="Q904">
            <v>3</v>
          </cell>
          <cell r="R904">
            <v>1349.97</v>
          </cell>
          <cell r="S904">
            <v>0.06</v>
          </cell>
          <cell r="T904">
            <v>80.998199999999997</v>
          </cell>
          <cell r="U904">
            <v>1349.91</v>
          </cell>
          <cell r="V904">
            <v>24.49</v>
          </cell>
          <cell r="W904">
            <v>1374.4</v>
          </cell>
        </row>
        <row r="905">
          <cell r="A905" t="str">
            <v>6358-1</v>
          </cell>
          <cell r="B905">
            <v>42579</v>
          </cell>
          <cell r="C905" t="str">
            <v>Nicole Brennan</v>
          </cell>
          <cell r="D905" t="str">
            <v>310 Wattle St,Ultimo</v>
          </cell>
          <cell r="E905" t="str">
            <v>Sydney</v>
          </cell>
          <cell r="F905" t="str">
            <v>NSW</v>
          </cell>
          <cell r="G905" t="str">
            <v>Home Office</v>
          </cell>
          <cell r="H905" t="str">
            <v>Aanya Zhang</v>
          </cell>
          <cell r="I905" t="str">
            <v>Medium</v>
          </cell>
          <cell r="J905" t="str">
            <v>Artisan Flip-Chart Easel Binder, Black</v>
          </cell>
          <cell r="K905" t="str">
            <v>Office Supplies</v>
          </cell>
          <cell r="L905" t="str">
            <v>Small Box</v>
          </cell>
          <cell r="M905" t="str">
            <v>Regular Air</v>
          </cell>
          <cell r="N905">
            <v>42581</v>
          </cell>
          <cell r="O905">
            <v>13.88</v>
          </cell>
          <cell r="P905">
            <v>22.38</v>
          </cell>
          <cell r="Q905">
            <v>18</v>
          </cell>
          <cell r="R905">
            <v>402.84</v>
          </cell>
          <cell r="S905">
            <v>0.05</v>
          </cell>
          <cell r="T905">
            <v>20.141999999999999</v>
          </cell>
          <cell r="U905">
            <v>402.78999999999996</v>
          </cell>
          <cell r="V905">
            <v>15.1</v>
          </cell>
          <cell r="W905">
            <v>417.89</v>
          </cell>
        </row>
        <row r="906">
          <cell r="A906" t="str">
            <v>6359-1</v>
          </cell>
          <cell r="B906">
            <v>42584</v>
          </cell>
          <cell r="C906" t="str">
            <v>Dean Percer</v>
          </cell>
          <cell r="D906" t="str">
            <v>222 Barkly St,St Kilda</v>
          </cell>
          <cell r="E906" t="str">
            <v>Melbourne</v>
          </cell>
          <cell r="F906" t="str">
            <v>VIC</v>
          </cell>
          <cell r="G906" t="str">
            <v>Home Office</v>
          </cell>
          <cell r="H906" t="str">
            <v>Yvette Biti</v>
          </cell>
          <cell r="I906" t="str">
            <v>Not Specified</v>
          </cell>
          <cell r="J906" t="str">
            <v>Deluxe Rollaway Locking File with Drawer</v>
          </cell>
          <cell r="K906" t="str">
            <v>Office Supplies</v>
          </cell>
          <cell r="L906" t="str">
            <v>Small Box</v>
          </cell>
          <cell r="M906" t="str">
            <v>Regular Air</v>
          </cell>
          <cell r="N906">
            <v>42586</v>
          </cell>
          <cell r="O906">
            <v>178.83</v>
          </cell>
          <cell r="P906">
            <v>415.88</v>
          </cell>
          <cell r="Q906">
            <v>4</v>
          </cell>
          <cell r="R906">
            <v>1663.52</v>
          </cell>
          <cell r="S906">
            <v>0.04</v>
          </cell>
          <cell r="T906">
            <v>66.540800000000004</v>
          </cell>
          <cell r="U906">
            <v>1663.48</v>
          </cell>
          <cell r="V906">
            <v>11.37</v>
          </cell>
          <cell r="W906">
            <v>1674.85</v>
          </cell>
        </row>
        <row r="907">
          <cell r="A907" t="str">
            <v>6361-1</v>
          </cell>
          <cell r="B907">
            <v>42585</v>
          </cell>
          <cell r="C907" t="str">
            <v>Michael Stewart</v>
          </cell>
          <cell r="D907" t="str">
            <v>523 King St,Newtown</v>
          </cell>
          <cell r="E907" t="str">
            <v>Sydney</v>
          </cell>
          <cell r="F907" t="str">
            <v>NSW</v>
          </cell>
          <cell r="G907" t="str">
            <v>Small Business</v>
          </cell>
          <cell r="H907" t="str">
            <v>Aanya Zhang</v>
          </cell>
          <cell r="I907" t="str">
            <v>Not Specified</v>
          </cell>
          <cell r="J907" t="str">
            <v>Smiths SlimLine Pencil Sharpener</v>
          </cell>
          <cell r="K907" t="str">
            <v>Office Supplies</v>
          </cell>
          <cell r="L907" t="str">
            <v>Small Pack</v>
          </cell>
          <cell r="M907" t="str">
            <v>Regular Air</v>
          </cell>
          <cell r="N907">
            <v>42586</v>
          </cell>
          <cell r="O907">
            <v>4.79</v>
          </cell>
          <cell r="P907">
            <v>11.97</v>
          </cell>
          <cell r="Q907">
            <v>49</v>
          </cell>
          <cell r="R907">
            <v>586.53000000000009</v>
          </cell>
          <cell r="S907">
            <v>0.09</v>
          </cell>
          <cell r="T907">
            <v>52.787700000000008</v>
          </cell>
          <cell r="U907">
            <v>586.44000000000005</v>
          </cell>
          <cell r="V907">
            <v>5.81</v>
          </cell>
          <cell r="W907">
            <v>592.25</v>
          </cell>
        </row>
        <row r="908">
          <cell r="A908" t="str">
            <v>6362-1</v>
          </cell>
          <cell r="B908">
            <v>42586</v>
          </cell>
          <cell r="C908" t="str">
            <v>Bruce Stewart</v>
          </cell>
          <cell r="D908" t="str">
            <v>Westfield Sydney,Sydney</v>
          </cell>
          <cell r="E908" t="str">
            <v>Sydney</v>
          </cell>
          <cell r="F908" t="str">
            <v>NSW</v>
          </cell>
          <cell r="G908" t="str">
            <v>Corporate</v>
          </cell>
          <cell r="H908" t="str">
            <v>Natasha Song</v>
          </cell>
          <cell r="I908" t="str">
            <v>High</v>
          </cell>
          <cell r="J908" t="str">
            <v>UGen Ultra Cordless Optical Suite</v>
          </cell>
          <cell r="K908" t="str">
            <v>Technology</v>
          </cell>
          <cell r="L908" t="str">
            <v>Small Box</v>
          </cell>
          <cell r="M908" t="str">
            <v>Regular Air</v>
          </cell>
          <cell r="N908">
            <v>42588</v>
          </cell>
          <cell r="O908">
            <v>54.52</v>
          </cell>
          <cell r="P908">
            <v>100.97</v>
          </cell>
          <cell r="Q908">
            <v>41</v>
          </cell>
          <cell r="R908">
            <v>4139.7699999999995</v>
          </cell>
          <cell r="S908">
            <v>0.03</v>
          </cell>
          <cell r="T908">
            <v>124.19309999999999</v>
          </cell>
          <cell r="U908">
            <v>4139.74</v>
          </cell>
          <cell r="V908">
            <v>7.18</v>
          </cell>
          <cell r="W908">
            <v>4146.92</v>
          </cell>
        </row>
        <row r="909">
          <cell r="A909" t="str">
            <v>6364-1</v>
          </cell>
          <cell r="B909">
            <v>42587</v>
          </cell>
          <cell r="C909" t="str">
            <v>Beth Thompson</v>
          </cell>
          <cell r="D909" t="str">
            <v>85-113 Dunning Ave,Roseberry</v>
          </cell>
          <cell r="E909" t="str">
            <v>Sydney</v>
          </cell>
          <cell r="F909" t="str">
            <v>NSW</v>
          </cell>
          <cell r="G909" t="str">
            <v>Corporate</v>
          </cell>
          <cell r="H909" t="str">
            <v>Mihael Khan</v>
          </cell>
          <cell r="I909" t="str">
            <v>High</v>
          </cell>
          <cell r="J909" t="str">
            <v>Pizazz Drawing Pencil Set</v>
          </cell>
          <cell r="K909" t="str">
            <v>Office Supplies</v>
          </cell>
          <cell r="L909" t="str">
            <v>Wrap Bag</v>
          </cell>
          <cell r="M909" t="str">
            <v>Regular Air</v>
          </cell>
          <cell r="N909">
            <v>42588</v>
          </cell>
          <cell r="O909">
            <v>1.17</v>
          </cell>
          <cell r="P909">
            <v>2.78</v>
          </cell>
          <cell r="Q909">
            <v>6</v>
          </cell>
          <cell r="R909">
            <v>16.68</v>
          </cell>
          <cell r="S909">
            <v>0.01</v>
          </cell>
          <cell r="T909">
            <v>0.1668</v>
          </cell>
          <cell r="U909">
            <v>16.669999999999998</v>
          </cell>
          <cell r="V909">
            <v>1.2</v>
          </cell>
          <cell r="W909">
            <v>17.869999999999997</v>
          </cell>
        </row>
        <row r="910">
          <cell r="A910" t="str">
            <v>6365-1</v>
          </cell>
          <cell r="B910">
            <v>42589</v>
          </cell>
          <cell r="C910" t="str">
            <v>Maureen Gastineau</v>
          </cell>
          <cell r="D910" t="str">
            <v>10 O'Connell St,Sydney</v>
          </cell>
          <cell r="E910" t="str">
            <v>Sydney</v>
          </cell>
          <cell r="F910" t="str">
            <v>NSW</v>
          </cell>
          <cell r="G910" t="str">
            <v>Consumer</v>
          </cell>
          <cell r="H910" t="str">
            <v>Aanya Zhang</v>
          </cell>
          <cell r="I910" t="str">
            <v>Not Specified</v>
          </cell>
          <cell r="J910" t="str">
            <v>Airmail Envelopes</v>
          </cell>
          <cell r="K910" t="str">
            <v>Office Supplies</v>
          </cell>
          <cell r="L910" t="str">
            <v>Small Box</v>
          </cell>
          <cell r="M910" t="str">
            <v>Regular Air</v>
          </cell>
          <cell r="N910">
            <v>42590</v>
          </cell>
          <cell r="O910">
            <v>52.04</v>
          </cell>
          <cell r="P910">
            <v>83.93</v>
          </cell>
          <cell r="Q910">
            <v>37</v>
          </cell>
          <cell r="R910">
            <v>3105.4100000000003</v>
          </cell>
          <cell r="S910">
            <v>0.03</v>
          </cell>
          <cell r="T910">
            <v>93.162300000000002</v>
          </cell>
          <cell r="U910">
            <v>3105.38</v>
          </cell>
          <cell r="V910">
            <v>19.989999999999998</v>
          </cell>
          <cell r="W910">
            <v>3125.37</v>
          </cell>
        </row>
        <row r="911">
          <cell r="A911" t="str">
            <v>6367-1</v>
          </cell>
          <cell r="B911">
            <v>42590</v>
          </cell>
          <cell r="C911" t="str">
            <v>Michelle Arnett</v>
          </cell>
          <cell r="D911" t="str">
            <v>1-2/299 Sussex St,Sydney</v>
          </cell>
          <cell r="E911" t="str">
            <v>Sydney</v>
          </cell>
          <cell r="F911" t="str">
            <v>NSW</v>
          </cell>
          <cell r="G911" t="str">
            <v>Home Office</v>
          </cell>
          <cell r="H911" t="str">
            <v>Aanya Zhang</v>
          </cell>
          <cell r="I911" t="str">
            <v>High</v>
          </cell>
          <cell r="J911" t="str">
            <v>Artisan Binder Labels</v>
          </cell>
          <cell r="K911" t="str">
            <v>Office Supplies</v>
          </cell>
          <cell r="L911" t="str">
            <v>Small Box</v>
          </cell>
          <cell r="M911" t="str">
            <v>Regular Air</v>
          </cell>
          <cell r="N911">
            <v>42591</v>
          </cell>
          <cell r="O911">
            <v>2.4500000000000002</v>
          </cell>
          <cell r="P911">
            <v>3.89</v>
          </cell>
          <cell r="Q911">
            <v>18</v>
          </cell>
          <cell r="R911">
            <v>70.02</v>
          </cell>
          <cell r="S911">
            <v>0.04</v>
          </cell>
          <cell r="T911">
            <v>2.8007999999999997</v>
          </cell>
          <cell r="U911">
            <v>69.97999999999999</v>
          </cell>
          <cell r="V911">
            <v>7.01</v>
          </cell>
          <cell r="W911">
            <v>76.989999999999995</v>
          </cell>
        </row>
        <row r="912">
          <cell r="A912" t="str">
            <v>6369-1</v>
          </cell>
          <cell r="B912">
            <v>42593</v>
          </cell>
          <cell r="C912" t="str">
            <v>Dennis Bolton</v>
          </cell>
          <cell r="D912" t="str">
            <v>8 Quay Street,Haymarket</v>
          </cell>
          <cell r="E912" t="str">
            <v>Sydney</v>
          </cell>
          <cell r="F912" t="str">
            <v>NSW</v>
          </cell>
          <cell r="G912" t="str">
            <v>Consumer</v>
          </cell>
          <cell r="H912" t="str">
            <v>Leighton Forrest</v>
          </cell>
          <cell r="I912" t="str">
            <v>High</v>
          </cell>
          <cell r="J912" t="str">
            <v>Artisan 487 Labels</v>
          </cell>
          <cell r="K912" t="str">
            <v>Office Supplies</v>
          </cell>
          <cell r="L912" t="str">
            <v>Small Box</v>
          </cell>
          <cell r="M912" t="str">
            <v>Regular Air</v>
          </cell>
          <cell r="N912">
            <v>42595</v>
          </cell>
          <cell r="O912">
            <v>2.29</v>
          </cell>
          <cell r="P912">
            <v>3.69</v>
          </cell>
          <cell r="Q912">
            <v>13</v>
          </cell>
          <cell r="R912">
            <v>47.97</v>
          </cell>
          <cell r="S912">
            <v>0.04</v>
          </cell>
          <cell r="T912">
            <v>1.9188000000000001</v>
          </cell>
          <cell r="U912">
            <v>47.93</v>
          </cell>
          <cell r="V912">
            <v>0.5</v>
          </cell>
          <cell r="W912">
            <v>48.43</v>
          </cell>
        </row>
        <row r="913">
          <cell r="A913" t="str">
            <v>6370-1</v>
          </cell>
          <cell r="B913">
            <v>42593</v>
          </cell>
          <cell r="C913" t="str">
            <v>Sung Shariari</v>
          </cell>
          <cell r="D913" t="str">
            <v>6/15 Cross Street,Double Bay</v>
          </cell>
          <cell r="E913" t="str">
            <v>Sydney</v>
          </cell>
          <cell r="F913" t="str">
            <v>NSW</v>
          </cell>
          <cell r="G913" t="str">
            <v>Corporate</v>
          </cell>
          <cell r="H913" t="str">
            <v>Leighton Forrest</v>
          </cell>
          <cell r="I913" t="str">
            <v>Medium</v>
          </cell>
          <cell r="J913" t="str">
            <v>Bagged Rubber Bands</v>
          </cell>
          <cell r="K913" t="str">
            <v>Office Supplies</v>
          </cell>
          <cell r="L913" t="str">
            <v>Wrap Bag</v>
          </cell>
          <cell r="M913" t="str">
            <v>Regular Air</v>
          </cell>
          <cell r="N913">
            <v>42595</v>
          </cell>
          <cell r="O913">
            <v>0.24</v>
          </cell>
          <cell r="P913">
            <v>1.26</v>
          </cell>
          <cell r="Q913">
            <v>34</v>
          </cell>
          <cell r="R913">
            <v>42.84</v>
          </cell>
          <cell r="S913">
            <v>0</v>
          </cell>
          <cell r="T913">
            <v>0</v>
          </cell>
          <cell r="U913">
            <v>42.84</v>
          </cell>
          <cell r="V913">
            <v>0.7</v>
          </cell>
          <cell r="W913">
            <v>43.540000000000006</v>
          </cell>
        </row>
        <row r="914">
          <cell r="A914" t="str">
            <v>6371-1</v>
          </cell>
          <cell r="B914">
            <v>42597</v>
          </cell>
          <cell r="C914" t="str">
            <v>Dave Hallsten</v>
          </cell>
          <cell r="D914" t="str">
            <v>1 John St,Waterloo</v>
          </cell>
          <cell r="E914" t="str">
            <v>Sydney</v>
          </cell>
          <cell r="F914" t="str">
            <v>NSW</v>
          </cell>
          <cell r="G914" t="str">
            <v>Corporate</v>
          </cell>
          <cell r="H914" t="str">
            <v>Charlie Bui</v>
          </cell>
          <cell r="I914" t="str">
            <v>Low</v>
          </cell>
          <cell r="J914" t="str">
            <v>Artisan Binder Labels</v>
          </cell>
          <cell r="K914" t="str">
            <v>Office Supplies</v>
          </cell>
          <cell r="L914" t="str">
            <v>Small Box</v>
          </cell>
          <cell r="M914" t="str">
            <v>Express Air</v>
          </cell>
          <cell r="N914">
            <v>42602</v>
          </cell>
          <cell r="O914">
            <v>2.4500000000000002</v>
          </cell>
          <cell r="P914">
            <v>3.89</v>
          </cell>
          <cell r="Q914">
            <v>30</v>
          </cell>
          <cell r="R914">
            <v>116.7</v>
          </cell>
          <cell r="S914">
            <v>0.09</v>
          </cell>
          <cell r="T914">
            <v>10.503</v>
          </cell>
          <cell r="U914">
            <v>116.61</v>
          </cell>
          <cell r="V914">
            <v>7.01</v>
          </cell>
          <cell r="W914">
            <v>123.62</v>
          </cell>
        </row>
        <row r="915">
          <cell r="A915" t="str">
            <v>6373-1</v>
          </cell>
          <cell r="B915">
            <v>42599</v>
          </cell>
          <cell r="C915" t="str">
            <v>Pete Armstrong</v>
          </cell>
          <cell r="D915" t="str">
            <v>506 Swan Street,Richmond</v>
          </cell>
          <cell r="E915" t="str">
            <v>Melbourne</v>
          </cell>
          <cell r="F915" t="str">
            <v>VIC</v>
          </cell>
          <cell r="G915" t="str">
            <v>Consumer</v>
          </cell>
          <cell r="H915" t="str">
            <v>Connor Betts</v>
          </cell>
          <cell r="I915" t="str">
            <v>High</v>
          </cell>
          <cell r="J915" t="str">
            <v>Wirebound Voice Message Log Book</v>
          </cell>
          <cell r="K915" t="str">
            <v>Office Supplies</v>
          </cell>
          <cell r="L915" t="str">
            <v>Wrap Bag</v>
          </cell>
          <cell r="M915" t="str">
            <v>Regular Air</v>
          </cell>
          <cell r="N915">
            <v>42600</v>
          </cell>
          <cell r="O915">
            <v>2.9</v>
          </cell>
          <cell r="P915">
            <v>4.76</v>
          </cell>
          <cell r="Q915">
            <v>1</v>
          </cell>
          <cell r="R915">
            <v>4.76</v>
          </cell>
          <cell r="S915">
            <v>0.02</v>
          </cell>
          <cell r="T915">
            <v>9.5199999999999993E-2</v>
          </cell>
          <cell r="U915">
            <v>4.74</v>
          </cell>
          <cell r="V915">
            <v>0.88</v>
          </cell>
          <cell r="W915">
            <v>5.62</v>
          </cell>
        </row>
        <row r="916">
          <cell r="A916" t="str">
            <v>6374-1</v>
          </cell>
          <cell r="B916">
            <v>42600</v>
          </cell>
          <cell r="C916" t="str">
            <v>Emily Grady</v>
          </cell>
          <cell r="D916" t="str">
            <v>359 Crown Street,Surry Hills</v>
          </cell>
          <cell r="E916" t="str">
            <v>Sydney</v>
          </cell>
          <cell r="F916" t="str">
            <v>NSW</v>
          </cell>
          <cell r="G916" t="str">
            <v>Home Office</v>
          </cell>
          <cell r="H916" t="str">
            <v>Phoebe Gour</v>
          </cell>
          <cell r="I916" t="str">
            <v>High</v>
          </cell>
          <cell r="J916" t="str">
            <v>Angle-D Binders with Locking Rings, Label Holders</v>
          </cell>
          <cell r="K916" t="str">
            <v>Office Supplies</v>
          </cell>
          <cell r="L916" t="str">
            <v>Small Box</v>
          </cell>
          <cell r="M916" t="str">
            <v>Express Air</v>
          </cell>
          <cell r="N916">
            <v>42602</v>
          </cell>
          <cell r="O916">
            <v>4.53</v>
          </cell>
          <cell r="P916">
            <v>7.3</v>
          </cell>
          <cell r="Q916">
            <v>41</v>
          </cell>
          <cell r="R916">
            <v>299.3</v>
          </cell>
          <cell r="S916">
            <v>0.05</v>
          </cell>
          <cell r="T916">
            <v>14.965000000000002</v>
          </cell>
          <cell r="U916">
            <v>299.25</v>
          </cell>
          <cell r="V916">
            <v>7.72</v>
          </cell>
          <cell r="W916">
            <v>306.97000000000003</v>
          </cell>
        </row>
        <row r="917">
          <cell r="A917" t="str">
            <v>6376-1</v>
          </cell>
          <cell r="B917">
            <v>42600</v>
          </cell>
          <cell r="C917" t="str">
            <v>Vivek Grady</v>
          </cell>
          <cell r="D917" t="str">
            <v>99 Lygon Street,East Brunswick</v>
          </cell>
          <cell r="E917" t="str">
            <v>Melbourne</v>
          </cell>
          <cell r="F917" t="str">
            <v>VIC</v>
          </cell>
          <cell r="G917" t="str">
            <v>Home Office</v>
          </cell>
          <cell r="H917" t="str">
            <v>Connor Betts</v>
          </cell>
          <cell r="I917" t="str">
            <v>Low</v>
          </cell>
          <cell r="J917" t="str">
            <v>Colored Envelopes</v>
          </cell>
          <cell r="K917" t="str">
            <v>Office Supplies</v>
          </cell>
          <cell r="L917" t="str">
            <v>Small Box</v>
          </cell>
          <cell r="M917" t="str">
            <v>Regular Air</v>
          </cell>
          <cell r="N917">
            <v>42604</v>
          </cell>
          <cell r="O917">
            <v>2.25</v>
          </cell>
          <cell r="P917">
            <v>3.69</v>
          </cell>
          <cell r="Q917">
            <v>16</v>
          </cell>
          <cell r="R917">
            <v>59.04</v>
          </cell>
          <cell r="S917">
            <v>0.02</v>
          </cell>
          <cell r="T917">
            <v>1.1808000000000001</v>
          </cell>
          <cell r="U917">
            <v>59.019999999999996</v>
          </cell>
          <cell r="V917">
            <v>2.5</v>
          </cell>
          <cell r="W917">
            <v>61.519999999999996</v>
          </cell>
        </row>
        <row r="918">
          <cell r="A918" t="str">
            <v>6377-1</v>
          </cell>
          <cell r="B918">
            <v>42602</v>
          </cell>
          <cell r="C918" t="str">
            <v>Ed Ludwig</v>
          </cell>
          <cell r="D918" t="str">
            <v>221 Barkly St,St Kilda</v>
          </cell>
          <cell r="E918" t="str">
            <v>Melbourne</v>
          </cell>
          <cell r="F918" t="str">
            <v>VIC</v>
          </cell>
          <cell r="G918" t="str">
            <v>Consumer</v>
          </cell>
          <cell r="H918" t="str">
            <v>Yvette Biti</v>
          </cell>
          <cell r="I918" t="str">
            <v>Low</v>
          </cell>
          <cell r="J918" t="str">
            <v>Smiths Bulldog Clip</v>
          </cell>
          <cell r="K918" t="str">
            <v>Office Supplies</v>
          </cell>
          <cell r="L918" t="str">
            <v>Wrap Bag</v>
          </cell>
          <cell r="M918" t="str">
            <v>Regular Air</v>
          </cell>
          <cell r="N918">
            <v>42607</v>
          </cell>
          <cell r="O918">
            <v>2.31</v>
          </cell>
          <cell r="P918">
            <v>3.78</v>
          </cell>
          <cell r="Q918">
            <v>28</v>
          </cell>
          <cell r="R918">
            <v>105.83999999999999</v>
          </cell>
          <cell r="S918">
            <v>0.06</v>
          </cell>
          <cell r="T918">
            <v>6.3503999999999987</v>
          </cell>
          <cell r="U918">
            <v>105.77999999999999</v>
          </cell>
          <cell r="V918">
            <v>0.71</v>
          </cell>
          <cell r="W918">
            <v>106.48999999999998</v>
          </cell>
        </row>
        <row r="919">
          <cell r="A919" t="str">
            <v>6379-1</v>
          </cell>
          <cell r="B919">
            <v>42605</v>
          </cell>
          <cell r="C919" t="str">
            <v>Maria Zettner</v>
          </cell>
          <cell r="D919" t="str">
            <v>531 King St,Newtown</v>
          </cell>
          <cell r="E919" t="str">
            <v>Sydney</v>
          </cell>
          <cell r="F919" t="str">
            <v>NSW</v>
          </cell>
          <cell r="G919" t="str">
            <v>Corporate</v>
          </cell>
          <cell r="H919" t="str">
            <v>Mihael Khan</v>
          </cell>
          <cell r="I919" t="str">
            <v>Not Specified</v>
          </cell>
          <cell r="J919" t="str">
            <v>PastelOcean Color Pencil Set</v>
          </cell>
          <cell r="K919" t="str">
            <v>Office Supplies</v>
          </cell>
          <cell r="L919" t="str">
            <v>Wrap Bag</v>
          </cell>
          <cell r="M919" t="str">
            <v>Regular Air</v>
          </cell>
          <cell r="N919">
            <v>42607</v>
          </cell>
          <cell r="O919">
            <v>11.11</v>
          </cell>
          <cell r="P919">
            <v>19.84</v>
          </cell>
          <cell r="Q919">
            <v>22</v>
          </cell>
          <cell r="R919">
            <v>436.48</v>
          </cell>
          <cell r="S919">
            <v>0.06</v>
          </cell>
          <cell r="T919">
            <v>26.188800000000001</v>
          </cell>
          <cell r="U919">
            <v>436.42</v>
          </cell>
          <cell r="V919">
            <v>4.0999999999999996</v>
          </cell>
          <cell r="W919">
            <v>440.52000000000004</v>
          </cell>
        </row>
        <row r="920">
          <cell r="A920" t="str">
            <v>6380-1</v>
          </cell>
          <cell r="B920">
            <v>42606</v>
          </cell>
          <cell r="C920" t="str">
            <v>Lindsay Shagiari</v>
          </cell>
          <cell r="D920" t="str">
            <v>5/250 Old Northern Road ,Castle Hill</v>
          </cell>
          <cell r="E920" t="str">
            <v>Sydney</v>
          </cell>
          <cell r="F920" t="str">
            <v>NSW</v>
          </cell>
          <cell r="G920" t="str">
            <v>Home Office</v>
          </cell>
          <cell r="H920" t="str">
            <v>Nicholas Fernandes</v>
          </cell>
          <cell r="I920" t="str">
            <v>Low</v>
          </cell>
          <cell r="J920" t="str">
            <v>600 Series Non-Flip</v>
          </cell>
          <cell r="K920" t="str">
            <v>Technology</v>
          </cell>
          <cell r="L920" t="str">
            <v>Small Box</v>
          </cell>
          <cell r="M920" t="str">
            <v>Regular Air</v>
          </cell>
          <cell r="N920">
            <v>42606</v>
          </cell>
          <cell r="O920">
            <v>19.78</v>
          </cell>
          <cell r="P920">
            <v>45.99</v>
          </cell>
          <cell r="Q920">
            <v>46</v>
          </cell>
          <cell r="R920">
            <v>2115.54</v>
          </cell>
          <cell r="S920">
            <v>0.1</v>
          </cell>
          <cell r="T920">
            <v>211.554</v>
          </cell>
          <cell r="U920">
            <v>2115.44</v>
          </cell>
          <cell r="V920">
            <v>4.99</v>
          </cell>
          <cell r="W920">
            <v>2120.4299999999998</v>
          </cell>
        </row>
        <row r="921">
          <cell r="A921" t="str">
            <v>6382-1</v>
          </cell>
          <cell r="B921">
            <v>42606</v>
          </cell>
          <cell r="C921" t="str">
            <v>Henry Goldwyn</v>
          </cell>
          <cell r="D921" t="str">
            <v>541 Church St,Richmond</v>
          </cell>
          <cell r="E921" t="str">
            <v>Melbourne</v>
          </cell>
          <cell r="F921" t="str">
            <v>VIC</v>
          </cell>
          <cell r="G921" t="str">
            <v>Small Business</v>
          </cell>
          <cell r="H921" t="str">
            <v>Yvette Biti</v>
          </cell>
          <cell r="I921" t="str">
            <v>Not Specified</v>
          </cell>
          <cell r="J921" t="str">
            <v>Artisan 479 Labels</v>
          </cell>
          <cell r="K921" t="str">
            <v>Office Supplies</v>
          </cell>
          <cell r="L921" t="str">
            <v>Small Box</v>
          </cell>
          <cell r="M921" t="str">
            <v>Regular Air</v>
          </cell>
          <cell r="N921">
            <v>42609</v>
          </cell>
          <cell r="O921">
            <v>1.59</v>
          </cell>
          <cell r="P921">
            <v>2.61</v>
          </cell>
          <cell r="Q921">
            <v>34</v>
          </cell>
          <cell r="R921">
            <v>88.74</v>
          </cell>
          <cell r="S921">
            <v>0</v>
          </cell>
          <cell r="T921">
            <v>0</v>
          </cell>
          <cell r="U921">
            <v>88.74</v>
          </cell>
          <cell r="V921">
            <v>0.5</v>
          </cell>
          <cell r="W921">
            <v>89.24</v>
          </cell>
        </row>
        <row r="922">
          <cell r="A922" t="str">
            <v>6387-1</v>
          </cell>
          <cell r="B922">
            <v>42606</v>
          </cell>
          <cell r="C922" t="str">
            <v>Quincy Jones</v>
          </cell>
          <cell r="D922" t="str">
            <v>Shop 3/144 Waterloo Road,Greenacre</v>
          </cell>
          <cell r="E922" t="str">
            <v>Sydney</v>
          </cell>
          <cell r="F922" t="str">
            <v>NSW</v>
          </cell>
          <cell r="G922" t="str">
            <v>Small Business</v>
          </cell>
          <cell r="H922" t="str">
            <v>Samantha Chairs</v>
          </cell>
          <cell r="I922" t="str">
            <v>Medium</v>
          </cell>
          <cell r="J922" t="str">
            <v>Pizazz Drawing Pencil Set</v>
          </cell>
          <cell r="K922" t="str">
            <v>Office Supplies</v>
          </cell>
          <cell r="L922" t="str">
            <v>Wrap Bag</v>
          </cell>
          <cell r="M922" t="str">
            <v>Regular Air</v>
          </cell>
          <cell r="N922">
            <v>42606</v>
          </cell>
          <cell r="O922">
            <v>1.53</v>
          </cell>
          <cell r="P922">
            <v>2.78</v>
          </cell>
          <cell r="Q922">
            <v>23</v>
          </cell>
          <cell r="R922">
            <v>63.94</v>
          </cell>
          <cell r="S922">
            <v>0.01</v>
          </cell>
          <cell r="T922">
            <v>0.63939999999999997</v>
          </cell>
          <cell r="U922">
            <v>63.93</v>
          </cell>
          <cell r="V922">
            <v>1.34</v>
          </cell>
          <cell r="W922">
            <v>65.27</v>
          </cell>
        </row>
        <row r="923">
          <cell r="A923" t="str">
            <v>6389-1</v>
          </cell>
          <cell r="B923">
            <v>42606</v>
          </cell>
          <cell r="C923" t="str">
            <v>Kelly Williams</v>
          </cell>
          <cell r="D923" t="str">
            <v>499-501 Lygon Street,Carlton North</v>
          </cell>
          <cell r="E923" t="str">
            <v>Melbourne</v>
          </cell>
          <cell r="F923" t="str">
            <v>VIC</v>
          </cell>
          <cell r="G923" t="str">
            <v>Corporate</v>
          </cell>
          <cell r="H923" t="str">
            <v>Yvette Biti</v>
          </cell>
          <cell r="I923" t="str">
            <v>Medium</v>
          </cell>
          <cell r="J923" t="str">
            <v>TypeRight  Top-Opening Peel &amp; Seel Envelopes, Plain White</v>
          </cell>
          <cell r="K923" t="str">
            <v>Office Supplies</v>
          </cell>
          <cell r="L923" t="str">
            <v>Small Box</v>
          </cell>
          <cell r="M923" t="str">
            <v>Regular Air</v>
          </cell>
          <cell r="N923">
            <v>42607</v>
          </cell>
          <cell r="O923">
            <v>16.850000000000001</v>
          </cell>
          <cell r="P923">
            <v>27.18</v>
          </cell>
          <cell r="Q923">
            <v>50</v>
          </cell>
          <cell r="R923">
            <v>1359</v>
          </cell>
          <cell r="S923">
            <v>0.02</v>
          </cell>
          <cell r="T923">
            <v>27.18</v>
          </cell>
          <cell r="U923">
            <v>1358.98</v>
          </cell>
          <cell r="V923">
            <v>8.23</v>
          </cell>
          <cell r="W923">
            <v>1367.21</v>
          </cell>
        </row>
        <row r="924">
          <cell r="A924" t="str">
            <v>6390-1</v>
          </cell>
          <cell r="B924">
            <v>42613</v>
          </cell>
          <cell r="C924" t="str">
            <v>Clay Ludtke</v>
          </cell>
          <cell r="D924" t="str">
            <v>7 Khartoum Rd,Macquarie Park</v>
          </cell>
          <cell r="E924" t="str">
            <v>Sydney</v>
          </cell>
          <cell r="F924" t="str">
            <v>NSW</v>
          </cell>
          <cell r="G924" t="str">
            <v>Consumer</v>
          </cell>
          <cell r="H924" t="str">
            <v>Preston Senome</v>
          </cell>
          <cell r="I924" t="str">
            <v>Critical</v>
          </cell>
          <cell r="J924" t="str">
            <v>Alto Memo Cubes</v>
          </cell>
          <cell r="K924" t="str">
            <v>Office Supplies</v>
          </cell>
          <cell r="L924" t="str">
            <v>Wrap Bag</v>
          </cell>
          <cell r="M924" t="str">
            <v>Regular Air</v>
          </cell>
          <cell r="N924">
            <v>42615</v>
          </cell>
          <cell r="O924">
            <v>3.32</v>
          </cell>
          <cell r="P924">
            <v>5.18</v>
          </cell>
          <cell r="Q924">
            <v>32</v>
          </cell>
          <cell r="R924">
            <v>165.76</v>
          </cell>
          <cell r="S924">
            <v>0.06</v>
          </cell>
          <cell r="T924">
            <v>9.9455999999999989</v>
          </cell>
          <cell r="U924">
            <v>165.7</v>
          </cell>
          <cell r="V924">
            <v>2.04</v>
          </cell>
          <cell r="W924">
            <v>167.73999999999998</v>
          </cell>
        </row>
        <row r="925">
          <cell r="A925" t="str">
            <v>6391-1</v>
          </cell>
          <cell r="B925">
            <v>42616</v>
          </cell>
          <cell r="C925" t="str">
            <v>Cynthia Voltz</v>
          </cell>
          <cell r="D925" t="str">
            <v>Westfield Miranda, 600 Kingsway,Miranda</v>
          </cell>
          <cell r="E925" t="str">
            <v>Sydney</v>
          </cell>
          <cell r="F925" t="str">
            <v>NSW</v>
          </cell>
          <cell r="G925" t="str">
            <v>Corporate</v>
          </cell>
          <cell r="H925" t="str">
            <v>Preston Senome</v>
          </cell>
          <cell r="I925" t="str">
            <v>Not Specified</v>
          </cell>
          <cell r="J925" t="str">
            <v>TechSavi Access Keyboard</v>
          </cell>
          <cell r="K925" t="str">
            <v>Technology</v>
          </cell>
          <cell r="L925" t="str">
            <v>Small Box</v>
          </cell>
          <cell r="M925" t="str">
            <v>Regular Air</v>
          </cell>
          <cell r="N925">
            <v>42618</v>
          </cell>
          <cell r="O925">
            <v>10.07</v>
          </cell>
          <cell r="P925">
            <v>15.98</v>
          </cell>
          <cell r="Q925">
            <v>30</v>
          </cell>
          <cell r="R925">
            <v>479.40000000000003</v>
          </cell>
          <cell r="S925">
            <v>0.08</v>
          </cell>
          <cell r="T925">
            <v>38.352000000000004</v>
          </cell>
          <cell r="U925">
            <v>479.32000000000005</v>
          </cell>
          <cell r="V925">
            <v>4</v>
          </cell>
          <cell r="W925">
            <v>483.32000000000005</v>
          </cell>
        </row>
        <row r="926">
          <cell r="A926" t="str">
            <v>6392-1</v>
          </cell>
          <cell r="B926">
            <v>42618</v>
          </cell>
          <cell r="C926" t="str">
            <v>Kristina Nunn</v>
          </cell>
          <cell r="D926" t="str">
            <v>22 Civic Rd,Auburn</v>
          </cell>
          <cell r="E926" t="str">
            <v>Sydney</v>
          </cell>
          <cell r="F926" t="str">
            <v>NSW</v>
          </cell>
          <cell r="G926" t="str">
            <v>Consumer</v>
          </cell>
          <cell r="H926" t="str">
            <v>Mihael Khan</v>
          </cell>
          <cell r="I926" t="str">
            <v>Medium</v>
          </cell>
          <cell r="J926" t="str">
            <v>Smiths Bulldog Clip</v>
          </cell>
          <cell r="K926" t="str">
            <v>Office Supplies</v>
          </cell>
          <cell r="L926" t="str">
            <v>Wrap Bag</v>
          </cell>
          <cell r="M926" t="str">
            <v>Regular Air</v>
          </cell>
          <cell r="N926">
            <v>42620</v>
          </cell>
          <cell r="O926">
            <v>2.31</v>
          </cell>
          <cell r="P926">
            <v>3.78</v>
          </cell>
          <cell r="Q926">
            <v>38</v>
          </cell>
          <cell r="R926">
            <v>143.63999999999999</v>
          </cell>
          <cell r="S926">
            <v>0.03</v>
          </cell>
          <cell r="T926">
            <v>4.3091999999999997</v>
          </cell>
          <cell r="U926">
            <v>143.60999999999999</v>
          </cell>
          <cell r="V926">
            <v>0.71</v>
          </cell>
          <cell r="W926">
            <v>144.32</v>
          </cell>
        </row>
        <row r="927">
          <cell r="A927" t="str">
            <v>6393-1</v>
          </cell>
          <cell r="B927">
            <v>42619</v>
          </cell>
          <cell r="C927" t="str">
            <v>Darrin Van Huff</v>
          </cell>
          <cell r="D927" t="str">
            <v>53-55 Liverpool St,Sydney</v>
          </cell>
          <cell r="E927" t="str">
            <v>Sydney</v>
          </cell>
          <cell r="F927" t="str">
            <v>NSW</v>
          </cell>
          <cell r="G927" t="str">
            <v>Home Office</v>
          </cell>
          <cell r="H927" t="str">
            <v>Tina Carlton</v>
          </cell>
          <cell r="I927" t="str">
            <v>Medium</v>
          </cell>
          <cell r="J927" t="str">
            <v>300 Series Non-Flip</v>
          </cell>
          <cell r="K927" t="str">
            <v>Technology</v>
          </cell>
          <cell r="L927" t="str">
            <v>Small Box</v>
          </cell>
          <cell r="M927" t="str">
            <v>Express Air</v>
          </cell>
          <cell r="N927">
            <v>42621</v>
          </cell>
          <cell r="O927">
            <v>62.4</v>
          </cell>
          <cell r="P927">
            <v>155.99</v>
          </cell>
          <cell r="Q927">
            <v>22</v>
          </cell>
          <cell r="R927">
            <v>3431.78</v>
          </cell>
          <cell r="S927">
            <v>0.02</v>
          </cell>
          <cell r="T927">
            <v>68.635600000000011</v>
          </cell>
          <cell r="U927">
            <v>3431.76</v>
          </cell>
          <cell r="V927">
            <v>8.08</v>
          </cell>
          <cell r="W927">
            <v>3439.84</v>
          </cell>
        </row>
        <row r="928">
          <cell r="A928" t="str">
            <v>6394-1</v>
          </cell>
          <cell r="B928">
            <v>42619</v>
          </cell>
          <cell r="C928" t="str">
            <v>Raymond Fair</v>
          </cell>
          <cell r="D928" t="str">
            <v>188 Pitt Street,Sydney</v>
          </cell>
          <cell r="E928" t="str">
            <v>Sydney</v>
          </cell>
          <cell r="F928" t="str">
            <v>NSW</v>
          </cell>
          <cell r="G928" t="str">
            <v>Small Business</v>
          </cell>
          <cell r="H928" t="str">
            <v>Tina Carlton</v>
          </cell>
          <cell r="I928" t="str">
            <v>High</v>
          </cell>
          <cell r="J928" t="str">
            <v>Artisan Hi-Liter GlideStik Fluorescent Highlighter, Yellow Ink</v>
          </cell>
          <cell r="K928" t="str">
            <v>Office Supplies</v>
          </cell>
          <cell r="L928" t="str">
            <v>Wrap Bag</v>
          </cell>
          <cell r="M928" t="str">
            <v>Regular Air</v>
          </cell>
          <cell r="N928">
            <v>42621</v>
          </cell>
          <cell r="O928">
            <v>1.92</v>
          </cell>
          <cell r="P928">
            <v>3.26</v>
          </cell>
          <cell r="Q928">
            <v>38</v>
          </cell>
          <cell r="R928">
            <v>123.88</v>
          </cell>
          <cell r="S928">
            <v>0.02</v>
          </cell>
          <cell r="T928">
            <v>2.4775999999999998</v>
          </cell>
          <cell r="U928">
            <v>123.86</v>
          </cell>
          <cell r="V928">
            <v>1.86</v>
          </cell>
          <cell r="W928">
            <v>125.72</v>
          </cell>
        </row>
        <row r="929">
          <cell r="A929" t="str">
            <v>6396-1</v>
          </cell>
          <cell r="B929">
            <v>42626</v>
          </cell>
          <cell r="C929" t="str">
            <v>Christina Vanderzanden</v>
          </cell>
          <cell r="D929" t="str">
            <v>188 Pitt Street,Sydney</v>
          </cell>
          <cell r="E929" t="str">
            <v>Sydney</v>
          </cell>
          <cell r="F929" t="str">
            <v>NSW</v>
          </cell>
          <cell r="G929" t="str">
            <v>Small Business</v>
          </cell>
          <cell r="H929" t="str">
            <v>Tina Carlton</v>
          </cell>
          <cell r="I929" t="str">
            <v>Low</v>
          </cell>
          <cell r="J929" t="str">
            <v>Smiths File Caddy</v>
          </cell>
          <cell r="K929" t="str">
            <v>Office Supplies</v>
          </cell>
          <cell r="L929" t="str">
            <v>Small Box</v>
          </cell>
          <cell r="M929" t="str">
            <v>Express Air</v>
          </cell>
          <cell r="N929">
            <v>42633</v>
          </cell>
          <cell r="O929">
            <v>4.03</v>
          </cell>
          <cell r="P929">
            <v>9.3800000000000008</v>
          </cell>
          <cell r="Q929">
            <v>46</v>
          </cell>
          <cell r="R929">
            <v>431.48</v>
          </cell>
          <cell r="S929">
            <v>0.09</v>
          </cell>
          <cell r="T929">
            <v>38.833199999999998</v>
          </cell>
          <cell r="U929">
            <v>431.39000000000004</v>
          </cell>
          <cell r="V929">
            <v>7.28</v>
          </cell>
          <cell r="W929">
            <v>438.67</v>
          </cell>
        </row>
        <row r="930">
          <cell r="A930" t="str">
            <v>6397-1</v>
          </cell>
          <cell r="B930">
            <v>42627</v>
          </cell>
          <cell r="C930" t="str">
            <v>Nathan Gelder</v>
          </cell>
          <cell r="D930" t="str">
            <v>221 Barkly St,St Kilda</v>
          </cell>
          <cell r="E930" t="str">
            <v>Melbourne</v>
          </cell>
          <cell r="F930" t="str">
            <v>VIC</v>
          </cell>
          <cell r="G930" t="str">
            <v>Home Office</v>
          </cell>
          <cell r="H930" t="str">
            <v>Yvette Biti</v>
          </cell>
          <cell r="I930" t="str">
            <v>High</v>
          </cell>
          <cell r="J930" t="str">
            <v>Pizazz Colored Pencils</v>
          </cell>
          <cell r="K930" t="str">
            <v>Office Supplies</v>
          </cell>
          <cell r="L930" t="str">
            <v>Wrap Bag</v>
          </cell>
          <cell r="M930" t="str">
            <v>Regular Air</v>
          </cell>
          <cell r="N930">
            <v>42629</v>
          </cell>
          <cell r="O930">
            <v>1.76</v>
          </cell>
          <cell r="P930">
            <v>2.94</v>
          </cell>
          <cell r="Q930">
            <v>26</v>
          </cell>
          <cell r="R930">
            <v>76.44</v>
          </cell>
          <cell r="S930">
            <v>0.03</v>
          </cell>
          <cell r="T930">
            <v>2.2931999999999997</v>
          </cell>
          <cell r="U930">
            <v>76.41</v>
          </cell>
          <cell r="V930">
            <v>0.81</v>
          </cell>
          <cell r="W930">
            <v>77.22</v>
          </cell>
        </row>
        <row r="931">
          <cell r="A931" t="str">
            <v>6399-1</v>
          </cell>
          <cell r="B931">
            <v>42628</v>
          </cell>
          <cell r="C931" t="str">
            <v>Brooke Gillingham</v>
          </cell>
          <cell r="D931" t="str">
            <v>21 Wentworth St,Parramatta</v>
          </cell>
          <cell r="E931" t="str">
            <v>Sydney</v>
          </cell>
          <cell r="F931" t="str">
            <v>NSW</v>
          </cell>
          <cell r="G931" t="str">
            <v>Small Business</v>
          </cell>
          <cell r="H931" t="str">
            <v>Aanya Zhang</v>
          </cell>
          <cell r="I931" t="str">
            <v>High</v>
          </cell>
          <cell r="J931" t="str">
            <v>Emerson LQ-870 Dot Matrix Printer</v>
          </cell>
          <cell r="K931" t="str">
            <v>Technology</v>
          </cell>
          <cell r="L931" t="str">
            <v>Jumbo Drum</v>
          </cell>
          <cell r="M931" t="str">
            <v>Delivery Truck</v>
          </cell>
          <cell r="N931">
            <v>42629</v>
          </cell>
          <cell r="O931">
            <v>219.61</v>
          </cell>
          <cell r="P931">
            <v>535.64</v>
          </cell>
          <cell r="Q931">
            <v>44</v>
          </cell>
          <cell r="R931">
            <v>23568.16</v>
          </cell>
          <cell r="S931">
            <v>0.03</v>
          </cell>
          <cell r="T931">
            <v>707.04480000000001</v>
          </cell>
          <cell r="U931">
            <v>23568.13</v>
          </cell>
          <cell r="V931">
            <v>14.7</v>
          </cell>
          <cell r="W931">
            <v>23582.83</v>
          </cell>
        </row>
        <row r="932">
          <cell r="A932" t="str">
            <v>6401-1</v>
          </cell>
          <cell r="B932">
            <v>42630</v>
          </cell>
          <cell r="C932" t="str">
            <v>Giulietta Baptist</v>
          </cell>
          <cell r="D932" t="str">
            <v>Hoyts Entertainment Quarter 122 Lang Road,Moore Park</v>
          </cell>
          <cell r="E932" t="str">
            <v>Sydney</v>
          </cell>
          <cell r="F932" t="str">
            <v>NSW</v>
          </cell>
          <cell r="G932" t="str">
            <v>Home Office</v>
          </cell>
          <cell r="H932" t="str">
            <v>Tina Carlton</v>
          </cell>
          <cell r="I932" t="str">
            <v>Low</v>
          </cell>
          <cell r="J932" t="str">
            <v>Beekin 105-Key Black Keyboard</v>
          </cell>
          <cell r="K932" t="str">
            <v>Technology</v>
          </cell>
          <cell r="L932" t="str">
            <v>Small Box</v>
          </cell>
          <cell r="M932" t="str">
            <v>Regular Air</v>
          </cell>
          <cell r="N932">
            <v>42632</v>
          </cell>
          <cell r="O932">
            <v>6.39</v>
          </cell>
          <cell r="P932">
            <v>19.98</v>
          </cell>
          <cell r="Q932">
            <v>44</v>
          </cell>
          <cell r="R932">
            <v>879.12</v>
          </cell>
          <cell r="S932">
            <v>0.03</v>
          </cell>
          <cell r="T932">
            <v>26.3736</v>
          </cell>
          <cell r="U932">
            <v>879.09</v>
          </cell>
          <cell r="V932">
            <v>4</v>
          </cell>
          <cell r="W932">
            <v>883.09</v>
          </cell>
        </row>
        <row r="933">
          <cell r="A933" t="str">
            <v>6402-1</v>
          </cell>
          <cell r="B933">
            <v>42631</v>
          </cell>
          <cell r="C933" t="str">
            <v>John Castell</v>
          </cell>
          <cell r="D933" t="str">
            <v>38/133-145 Castlereagh St,Sydney</v>
          </cell>
          <cell r="E933" t="str">
            <v>Sydney</v>
          </cell>
          <cell r="F933" t="str">
            <v>NSW</v>
          </cell>
          <cell r="G933" t="str">
            <v>Consumer</v>
          </cell>
          <cell r="H933" t="str">
            <v>Natasha Song</v>
          </cell>
          <cell r="I933" t="str">
            <v>Low</v>
          </cell>
          <cell r="J933" t="str">
            <v>Artisan 478 Labels</v>
          </cell>
          <cell r="K933" t="str">
            <v>Office Supplies</v>
          </cell>
          <cell r="L933" t="str">
            <v>Small Box</v>
          </cell>
          <cell r="M933" t="str">
            <v>Regular Air</v>
          </cell>
          <cell r="N933">
            <v>42631</v>
          </cell>
          <cell r="O933">
            <v>3.14</v>
          </cell>
          <cell r="P933">
            <v>4.91</v>
          </cell>
          <cell r="Q933">
            <v>13</v>
          </cell>
          <cell r="R933">
            <v>63.83</v>
          </cell>
          <cell r="S933">
            <v>0.01</v>
          </cell>
          <cell r="T933">
            <v>0.63829999999999998</v>
          </cell>
          <cell r="U933">
            <v>63.82</v>
          </cell>
          <cell r="V933">
            <v>0.5</v>
          </cell>
          <cell r="W933">
            <v>64.319999999999993</v>
          </cell>
        </row>
        <row r="934">
          <cell r="A934" t="str">
            <v>6407-1</v>
          </cell>
          <cell r="B934">
            <v>42633</v>
          </cell>
          <cell r="C934" t="str">
            <v>Ashley Jarboe</v>
          </cell>
          <cell r="D934" t="str">
            <v>180 High Street,Windsor</v>
          </cell>
          <cell r="E934" t="str">
            <v>Melbourne</v>
          </cell>
          <cell r="F934" t="str">
            <v>VIC</v>
          </cell>
          <cell r="G934" t="str">
            <v>Small Business</v>
          </cell>
          <cell r="H934" t="str">
            <v>Connor Betts</v>
          </cell>
          <cell r="I934" t="str">
            <v>Low</v>
          </cell>
          <cell r="J934" t="str">
            <v>Smiths SlimLine Pencil Sharpener</v>
          </cell>
          <cell r="K934" t="str">
            <v>Office Supplies</v>
          </cell>
          <cell r="L934" t="str">
            <v>Small Pack</v>
          </cell>
          <cell r="M934" t="str">
            <v>Regular Air</v>
          </cell>
          <cell r="N934">
            <v>42633</v>
          </cell>
          <cell r="O934">
            <v>4.79</v>
          </cell>
          <cell r="P934">
            <v>11.97</v>
          </cell>
          <cell r="Q934">
            <v>38</v>
          </cell>
          <cell r="R934">
            <v>454.86</v>
          </cell>
          <cell r="S934">
            <v>0.02</v>
          </cell>
          <cell r="T934">
            <v>9.0972000000000008</v>
          </cell>
          <cell r="U934">
            <v>454.84000000000003</v>
          </cell>
          <cell r="V934">
            <v>5.81</v>
          </cell>
          <cell r="W934">
            <v>460.65000000000003</v>
          </cell>
        </row>
        <row r="935">
          <cell r="A935" t="str">
            <v>6409-1</v>
          </cell>
          <cell r="B935">
            <v>42633</v>
          </cell>
          <cell r="C935" t="str">
            <v>Matthew Clasen</v>
          </cell>
          <cell r="D935" t="str">
            <v>Macquarie Centre Cnr Herring Road &amp; Waterloo Road,Macquarie Park</v>
          </cell>
          <cell r="E935" t="str">
            <v>Sydney</v>
          </cell>
          <cell r="F935" t="str">
            <v>NSW</v>
          </cell>
          <cell r="G935" t="str">
            <v>Consumer</v>
          </cell>
          <cell r="H935" t="str">
            <v>Nicholas Fernandes</v>
          </cell>
          <cell r="I935" t="str">
            <v>Low</v>
          </cell>
          <cell r="J935" t="str">
            <v>Wirebound Message Book, 4 per Page</v>
          </cell>
          <cell r="K935" t="str">
            <v>Office Supplies</v>
          </cell>
          <cell r="L935" t="str">
            <v>Wrap Bag</v>
          </cell>
          <cell r="M935" t="str">
            <v>Regular Air</v>
          </cell>
          <cell r="N935">
            <v>42633</v>
          </cell>
          <cell r="O935">
            <v>3.48</v>
          </cell>
          <cell r="P935">
            <v>5.43</v>
          </cell>
          <cell r="Q935">
            <v>12</v>
          </cell>
          <cell r="R935">
            <v>65.16</v>
          </cell>
          <cell r="S935">
            <v>0.01</v>
          </cell>
          <cell r="T935">
            <v>0.65159999999999996</v>
          </cell>
          <cell r="U935">
            <v>65.149999999999991</v>
          </cell>
          <cell r="V935">
            <v>0.95</v>
          </cell>
          <cell r="W935">
            <v>66.099999999999994</v>
          </cell>
        </row>
        <row r="936">
          <cell r="A936" t="str">
            <v>6411-1</v>
          </cell>
          <cell r="B936">
            <v>42634</v>
          </cell>
          <cell r="C936" t="str">
            <v>Dan Campbell</v>
          </cell>
          <cell r="D936" t="str">
            <v>1/173-179 Bronte Rd,Waverley</v>
          </cell>
          <cell r="E936" t="str">
            <v>Sydney</v>
          </cell>
          <cell r="F936" t="str">
            <v>NSW</v>
          </cell>
          <cell r="G936" t="str">
            <v>Corporate</v>
          </cell>
          <cell r="H936" t="str">
            <v>Leighton Forrest</v>
          </cell>
          <cell r="I936" t="str">
            <v>Medium</v>
          </cell>
          <cell r="J936" t="str">
            <v>Artisan Binder Labels</v>
          </cell>
          <cell r="K936" t="str">
            <v>Office Supplies</v>
          </cell>
          <cell r="L936" t="str">
            <v>Small Box</v>
          </cell>
          <cell r="M936" t="str">
            <v>Regular Air</v>
          </cell>
          <cell r="N936">
            <v>42634</v>
          </cell>
          <cell r="O936">
            <v>2.4500000000000002</v>
          </cell>
          <cell r="P936">
            <v>3.89</v>
          </cell>
          <cell r="Q936">
            <v>50</v>
          </cell>
          <cell r="R936">
            <v>194.5</v>
          </cell>
          <cell r="S936">
            <v>0.08</v>
          </cell>
          <cell r="T936">
            <v>15.56</v>
          </cell>
          <cell r="U936">
            <v>194.42</v>
          </cell>
          <cell r="V936">
            <v>7.01</v>
          </cell>
          <cell r="W936">
            <v>201.42999999999998</v>
          </cell>
        </row>
        <row r="937">
          <cell r="A937" t="str">
            <v>6413-1</v>
          </cell>
          <cell r="B937">
            <v>42635</v>
          </cell>
          <cell r="C937" t="str">
            <v>Richard Bierner</v>
          </cell>
          <cell r="D937" t="str">
            <v>180 High Street,Windsor</v>
          </cell>
          <cell r="E937" t="str">
            <v>Melbourne</v>
          </cell>
          <cell r="F937" t="str">
            <v>VIC</v>
          </cell>
          <cell r="G937" t="str">
            <v>Small Business</v>
          </cell>
          <cell r="H937" t="str">
            <v>Connor Betts</v>
          </cell>
          <cell r="I937" t="str">
            <v>Medium</v>
          </cell>
          <cell r="J937" t="str">
            <v>EcoTones Memo Sheets</v>
          </cell>
          <cell r="K937" t="str">
            <v>Office Supplies</v>
          </cell>
          <cell r="L937" t="str">
            <v>Wrap Bag</v>
          </cell>
          <cell r="M937" t="str">
            <v>Regular Air</v>
          </cell>
          <cell r="N937">
            <v>42636</v>
          </cell>
          <cell r="O937">
            <v>2.52</v>
          </cell>
          <cell r="P937">
            <v>4</v>
          </cell>
          <cell r="Q937">
            <v>22</v>
          </cell>
          <cell r="R937">
            <v>88</v>
          </cell>
          <cell r="S937">
            <v>0.09</v>
          </cell>
          <cell r="T937">
            <v>7.92</v>
          </cell>
          <cell r="U937">
            <v>87.91</v>
          </cell>
          <cell r="V937">
            <v>1.3</v>
          </cell>
          <cell r="W937">
            <v>89.21</v>
          </cell>
        </row>
        <row r="938">
          <cell r="A938" t="str">
            <v>6414-1</v>
          </cell>
          <cell r="B938">
            <v>42636</v>
          </cell>
          <cell r="C938" t="str">
            <v>Christine Phan</v>
          </cell>
          <cell r="D938" t="str">
            <v>10 O'Connell St,Sydney</v>
          </cell>
          <cell r="E938" t="str">
            <v>Sydney</v>
          </cell>
          <cell r="F938" t="str">
            <v>NSW</v>
          </cell>
          <cell r="G938" t="str">
            <v>Small Business</v>
          </cell>
          <cell r="H938" t="str">
            <v>Aanya Zhang</v>
          </cell>
          <cell r="I938" t="str">
            <v>Medium</v>
          </cell>
          <cell r="J938" t="str">
            <v>3Max Organizer Strips</v>
          </cell>
          <cell r="K938" t="str">
            <v>Office Supplies</v>
          </cell>
          <cell r="L938" t="str">
            <v>Small Box</v>
          </cell>
          <cell r="M938" t="str">
            <v>Regular Air</v>
          </cell>
          <cell r="N938">
            <v>42639</v>
          </cell>
          <cell r="O938">
            <v>3.4</v>
          </cell>
          <cell r="P938">
            <v>5.4</v>
          </cell>
          <cell r="Q938">
            <v>38</v>
          </cell>
          <cell r="R938">
            <v>205.20000000000002</v>
          </cell>
          <cell r="S938">
            <v>0.03</v>
          </cell>
          <cell r="T938">
            <v>6.1560000000000006</v>
          </cell>
          <cell r="U938">
            <v>205.17000000000002</v>
          </cell>
          <cell r="V938">
            <v>7.78</v>
          </cell>
          <cell r="W938">
            <v>212.95000000000002</v>
          </cell>
        </row>
        <row r="939">
          <cell r="A939" t="str">
            <v>6415-1</v>
          </cell>
          <cell r="B939">
            <v>42638</v>
          </cell>
          <cell r="C939" t="str">
            <v>Valerie Dominguez</v>
          </cell>
          <cell r="D939" t="str">
            <v>152 Bunnerong Road,Eastgardens</v>
          </cell>
          <cell r="E939" t="str">
            <v>Sydney</v>
          </cell>
          <cell r="F939" t="str">
            <v>NSW</v>
          </cell>
          <cell r="G939" t="str">
            <v>Corporate</v>
          </cell>
          <cell r="H939" t="str">
            <v>Tina Carlton</v>
          </cell>
          <cell r="I939" t="str">
            <v>Critical</v>
          </cell>
          <cell r="J939" t="str">
            <v>Beekin 6 Outlet Metallic Surge Strip</v>
          </cell>
          <cell r="K939" t="str">
            <v>Office Supplies</v>
          </cell>
          <cell r="L939" t="str">
            <v>Small Box</v>
          </cell>
          <cell r="M939" t="str">
            <v>Regular Air</v>
          </cell>
          <cell r="N939">
            <v>42639</v>
          </cell>
          <cell r="O939">
            <v>4.46</v>
          </cell>
          <cell r="P939">
            <v>10.89</v>
          </cell>
          <cell r="Q939">
            <v>19</v>
          </cell>
          <cell r="R939">
            <v>206.91000000000003</v>
          </cell>
          <cell r="S939">
            <v>7.0000000000000007E-2</v>
          </cell>
          <cell r="T939">
            <v>14.483700000000002</v>
          </cell>
          <cell r="U939">
            <v>206.84000000000003</v>
          </cell>
          <cell r="V939">
            <v>4.5</v>
          </cell>
          <cell r="W939">
            <v>211.34000000000003</v>
          </cell>
        </row>
        <row r="940">
          <cell r="A940" t="str">
            <v>6418-1</v>
          </cell>
          <cell r="B940">
            <v>42639</v>
          </cell>
          <cell r="C940" t="str">
            <v>Mike Kennedy</v>
          </cell>
          <cell r="D940" t="str">
            <v>99 Lygon Street,East Brunswick</v>
          </cell>
          <cell r="E940" t="str">
            <v>Melbourne</v>
          </cell>
          <cell r="F940" t="str">
            <v>VIC</v>
          </cell>
          <cell r="G940" t="str">
            <v>Corporate</v>
          </cell>
          <cell r="H940" t="str">
            <v>Connor Betts</v>
          </cell>
          <cell r="I940" t="str">
            <v>Low</v>
          </cell>
          <cell r="J940" t="str">
            <v>Smiths Colored Bar Computer Paper</v>
          </cell>
          <cell r="K940" t="str">
            <v>Office Supplies</v>
          </cell>
          <cell r="L940" t="str">
            <v>Small Box</v>
          </cell>
          <cell r="M940" t="str">
            <v>Regular Air</v>
          </cell>
          <cell r="N940">
            <v>42648</v>
          </cell>
          <cell r="O940">
            <v>21.97</v>
          </cell>
          <cell r="P940">
            <v>35.44</v>
          </cell>
          <cell r="Q940">
            <v>44</v>
          </cell>
          <cell r="R940">
            <v>1559.36</v>
          </cell>
          <cell r="S940">
            <v>0.01</v>
          </cell>
          <cell r="T940">
            <v>15.593599999999999</v>
          </cell>
          <cell r="U940">
            <v>1559.35</v>
          </cell>
          <cell r="V940">
            <v>4.92</v>
          </cell>
          <cell r="W940">
            <v>1564.27</v>
          </cell>
        </row>
        <row r="941">
          <cell r="A941" t="str">
            <v>6422-1</v>
          </cell>
          <cell r="B941">
            <v>42641</v>
          </cell>
          <cell r="C941" t="str">
            <v>Troy Staebel</v>
          </cell>
          <cell r="D941" t="str">
            <v>1-2/299 Sussex St,Sydney</v>
          </cell>
          <cell r="E941" t="str">
            <v>Sydney</v>
          </cell>
          <cell r="F941" t="str">
            <v>NSW</v>
          </cell>
          <cell r="G941" t="str">
            <v>Small Business</v>
          </cell>
          <cell r="H941" t="str">
            <v>Aanya Zhang</v>
          </cell>
          <cell r="I941" t="str">
            <v>High</v>
          </cell>
          <cell r="J941" t="str">
            <v>Smiths Colored Interoffice Envelopes</v>
          </cell>
          <cell r="K941" t="str">
            <v>Office Supplies</v>
          </cell>
          <cell r="L941" t="str">
            <v>Small Box</v>
          </cell>
          <cell r="M941" t="str">
            <v>Regular Air</v>
          </cell>
          <cell r="N941">
            <v>42643</v>
          </cell>
          <cell r="O941">
            <v>19.829999999999998</v>
          </cell>
          <cell r="P941">
            <v>30.98</v>
          </cell>
          <cell r="Q941">
            <v>30</v>
          </cell>
          <cell r="R941">
            <v>929.4</v>
          </cell>
          <cell r="S941">
            <v>0.03</v>
          </cell>
          <cell r="T941">
            <v>27.881999999999998</v>
          </cell>
          <cell r="U941">
            <v>929.37</v>
          </cell>
          <cell r="V941">
            <v>19.510000000000002</v>
          </cell>
          <cell r="W941">
            <v>948.88</v>
          </cell>
        </row>
        <row r="942">
          <cell r="A942" t="str">
            <v>6423-1</v>
          </cell>
          <cell r="B942">
            <v>42643</v>
          </cell>
          <cell r="C942" t="str">
            <v>Laura Armstrong</v>
          </cell>
          <cell r="D942" t="str">
            <v>240-242 Johnston Street,Fitzroy</v>
          </cell>
          <cell r="E942" t="str">
            <v>Melbourne</v>
          </cell>
          <cell r="F942" t="str">
            <v>VIC</v>
          </cell>
          <cell r="G942" t="str">
            <v>Small Business</v>
          </cell>
          <cell r="H942" t="str">
            <v>Connor Betts</v>
          </cell>
          <cell r="I942" t="str">
            <v>High</v>
          </cell>
          <cell r="J942" t="str">
            <v>Alto Parchment Paper, Assorted Colors</v>
          </cell>
          <cell r="K942" t="str">
            <v>Office Supplies</v>
          </cell>
          <cell r="L942" t="str">
            <v>Small Box</v>
          </cell>
          <cell r="M942" t="str">
            <v>Regular Air</v>
          </cell>
          <cell r="N942">
            <v>42645</v>
          </cell>
          <cell r="O942">
            <v>4.59</v>
          </cell>
          <cell r="P942">
            <v>7.28</v>
          </cell>
          <cell r="Q942">
            <v>50</v>
          </cell>
          <cell r="R942">
            <v>364</v>
          </cell>
          <cell r="S942">
            <v>0.01</v>
          </cell>
          <cell r="T942">
            <v>3.64</v>
          </cell>
          <cell r="U942">
            <v>363.99</v>
          </cell>
          <cell r="V942">
            <v>11.15</v>
          </cell>
          <cell r="W942">
            <v>375.14</v>
          </cell>
        </row>
        <row r="943">
          <cell r="A943" t="str">
            <v>6425-1</v>
          </cell>
          <cell r="B943">
            <v>42644</v>
          </cell>
          <cell r="C943" t="str">
            <v>Phillip Flathmann</v>
          </cell>
          <cell r="D943" t="str">
            <v>Macquarie Centre Cnr Herring Road &amp; Waterloo Road,Macquarie Park</v>
          </cell>
          <cell r="E943" t="str">
            <v>Sydney</v>
          </cell>
          <cell r="F943" t="str">
            <v>NSW</v>
          </cell>
          <cell r="G943" t="str">
            <v>Small Business</v>
          </cell>
          <cell r="H943" t="str">
            <v>Nicholas Fernandes</v>
          </cell>
          <cell r="I943" t="str">
            <v>Medium</v>
          </cell>
          <cell r="J943" t="str">
            <v>Smiths Colored Interoffice Envelopes</v>
          </cell>
          <cell r="K943" t="str">
            <v>Office Supplies</v>
          </cell>
          <cell r="L943" t="str">
            <v>Small Box</v>
          </cell>
          <cell r="M943" t="str">
            <v>Regular Air</v>
          </cell>
          <cell r="N943">
            <v>42645</v>
          </cell>
          <cell r="O943">
            <v>19.829999999999998</v>
          </cell>
          <cell r="P943">
            <v>30.98</v>
          </cell>
          <cell r="Q943">
            <v>37</v>
          </cell>
          <cell r="R943">
            <v>1146.26</v>
          </cell>
          <cell r="S943">
            <v>0.01</v>
          </cell>
          <cell r="T943">
            <v>11.4626</v>
          </cell>
          <cell r="U943">
            <v>1146.25</v>
          </cell>
          <cell r="V943">
            <v>19.510000000000002</v>
          </cell>
          <cell r="W943">
            <v>1165.76</v>
          </cell>
        </row>
        <row r="944">
          <cell r="A944" t="str">
            <v>6426-1</v>
          </cell>
          <cell r="B944">
            <v>42644</v>
          </cell>
          <cell r="C944" t="str">
            <v>David Flashing</v>
          </cell>
          <cell r="D944" t="str">
            <v>Westfield 1 Anderson St,Chatswood</v>
          </cell>
          <cell r="E944" t="str">
            <v>Sydney</v>
          </cell>
          <cell r="F944" t="str">
            <v>NSW</v>
          </cell>
          <cell r="G944" t="str">
            <v>Home Office</v>
          </cell>
          <cell r="H944" t="str">
            <v>Nicholas Fernandes</v>
          </cell>
          <cell r="I944" t="str">
            <v>Medium</v>
          </cell>
          <cell r="J944" t="str">
            <v>Steady Colorific Colored Pencils, 12/Box</v>
          </cell>
          <cell r="K944" t="str">
            <v>Office Supplies</v>
          </cell>
          <cell r="L944" t="str">
            <v>Wrap Bag</v>
          </cell>
          <cell r="M944" t="str">
            <v>Regular Air</v>
          </cell>
          <cell r="N944">
            <v>42645</v>
          </cell>
          <cell r="O944">
            <v>1.3</v>
          </cell>
          <cell r="P944">
            <v>2.88</v>
          </cell>
          <cell r="Q944">
            <v>46</v>
          </cell>
          <cell r="R944">
            <v>132.47999999999999</v>
          </cell>
          <cell r="S944">
            <v>0.05</v>
          </cell>
          <cell r="T944">
            <v>6.6239999999999997</v>
          </cell>
          <cell r="U944">
            <v>132.42999999999998</v>
          </cell>
          <cell r="V944">
            <v>1.01</v>
          </cell>
          <cell r="W944">
            <v>133.43999999999997</v>
          </cell>
        </row>
        <row r="945">
          <cell r="A945" t="str">
            <v>6427-1</v>
          </cell>
          <cell r="B945">
            <v>42649</v>
          </cell>
          <cell r="C945" t="str">
            <v>Katherine Ducich</v>
          </cell>
          <cell r="D945" t="str">
            <v>61A Bay Road,Wollstonecraft</v>
          </cell>
          <cell r="E945" t="str">
            <v>Sydney</v>
          </cell>
          <cell r="F945" t="str">
            <v>NSW</v>
          </cell>
          <cell r="G945" t="str">
            <v>Corporate</v>
          </cell>
          <cell r="H945" t="str">
            <v>Samantha Chairs</v>
          </cell>
          <cell r="I945" t="str">
            <v>High</v>
          </cell>
          <cell r="J945" t="str">
            <v>Smiths Standard Envelopes</v>
          </cell>
          <cell r="K945" t="str">
            <v>Office Supplies</v>
          </cell>
          <cell r="L945" t="str">
            <v>Small Box</v>
          </cell>
          <cell r="M945" t="str">
            <v>Regular Air</v>
          </cell>
          <cell r="N945">
            <v>42651</v>
          </cell>
          <cell r="O945">
            <v>3.52</v>
          </cell>
          <cell r="P945">
            <v>5.68</v>
          </cell>
          <cell r="Q945">
            <v>23</v>
          </cell>
          <cell r="R945">
            <v>130.63999999999999</v>
          </cell>
          <cell r="S945">
            <v>0.02</v>
          </cell>
          <cell r="T945">
            <v>2.6127999999999996</v>
          </cell>
          <cell r="U945">
            <v>130.61999999999998</v>
          </cell>
          <cell r="V945">
            <v>1.39</v>
          </cell>
          <cell r="W945">
            <v>132.00999999999996</v>
          </cell>
        </row>
        <row r="946">
          <cell r="A946" t="str">
            <v>6429-1</v>
          </cell>
          <cell r="B946">
            <v>42651</v>
          </cell>
          <cell r="C946" t="str">
            <v>Sylvia Foulston</v>
          </cell>
          <cell r="D946" t="str">
            <v>152 Bunnerong Road,Eastgardens</v>
          </cell>
          <cell r="E946" t="str">
            <v>Sydney</v>
          </cell>
          <cell r="F946" t="str">
            <v>NSW</v>
          </cell>
          <cell r="G946" t="str">
            <v>Corporate</v>
          </cell>
          <cell r="H946" t="str">
            <v>Tina Carlton</v>
          </cell>
          <cell r="I946" t="str">
            <v>High</v>
          </cell>
          <cell r="J946" t="str">
            <v>Brown Kraft Recycled Envelopes</v>
          </cell>
          <cell r="K946" t="str">
            <v>Office Supplies</v>
          </cell>
          <cell r="L946" t="str">
            <v>Small Box</v>
          </cell>
          <cell r="M946" t="str">
            <v>Regular Air</v>
          </cell>
          <cell r="N946">
            <v>42651</v>
          </cell>
          <cell r="O946">
            <v>11.04</v>
          </cell>
          <cell r="P946">
            <v>16.98</v>
          </cell>
          <cell r="Q946">
            <v>43</v>
          </cell>
          <cell r="R946">
            <v>730.14</v>
          </cell>
          <cell r="S946">
            <v>0.09</v>
          </cell>
          <cell r="T946">
            <v>65.712599999999995</v>
          </cell>
          <cell r="U946">
            <v>730.05</v>
          </cell>
          <cell r="V946">
            <v>12.39</v>
          </cell>
          <cell r="W946">
            <v>742.43999999999994</v>
          </cell>
        </row>
        <row r="947">
          <cell r="A947" t="str">
            <v>6430-1</v>
          </cell>
          <cell r="B947">
            <v>42654</v>
          </cell>
          <cell r="C947" t="str">
            <v>Tony Sayre</v>
          </cell>
          <cell r="D947" t="str">
            <v>499-501 Lygon Street,Carlton North</v>
          </cell>
          <cell r="E947" t="str">
            <v>Melbourne</v>
          </cell>
          <cell r="F947" t="str">
            <v>VIC</v>
          </cell>
          <cell r="G947" t="str">
            <v>Small Business</v>
          </cell>
          <cell r="H947" t="str">
            <v>Yvette Biti</v>
          </cell>
          <cell r="I947" t="str">
            <v>Low</v>
          </cell>
          <cell r="J947" t="str">
            <v>Smiths Bulldog Clip</v>
          </cell>
          <cell r="K947" t="str">
            <v>Office Supplies</v>
          </cell>
          <cell r="L947" t="str">
            <v>Wrap Bag</v>
          </cell>
          <cell r="M947" t="str">
            <v>Regular Air</v>
          </cell>
          <cell r="N947">
            <v>42658</v>
          </cell>
          <cell r="O947">
            <v>2.31</v>
          </cell>
          <cell r="P947">
            <v>3.78</v>
          </cell>
          <cell r="Q947">
            <v>22</v>
          </cell>
          <cell r="R947">
            <v>83.16</v>
          </cell>
          <cell r="S947">
            <v>0.1</v>
          </cell>
          <cell r="T947">
            <v>8.3160000000000007</v>
          </cell>
          <cell r="U947">
            <v>83.06</v>
          </cell>
          <cell r="V947">
            <v>0.71</v>
          </cell>
          <cell r="W947">
            <v>83.77</v>
          </cell>
        </row>
        <row r="948">
          <cell r="A948" t="str">
            <v>6432-1</v>
          </cell>
          <cell r="B948">
            <v>42655</v>
          </cell>
          <cell r="C948" t="str">
            <v>Thea Hendricks</v>
          </cell>
          <cell r="D948" t="str">
            <v>412 Brunswick St,Fitzroy</v>
          </cell>
          <cell r="E948" t="str">
            <v>Melbourne</v>
          </cell>
          <cell r="F948" t="str">
            <v>VIC</v>
          </cell>
          <cell r="G948" t="str">
            <v>Home Office</v>
          </cell>
          <cell r="H948" t="str">
            <v>Connor Betts</v>
          </cell>
          <cell r="I948" t="str">
            <v>Not Specified</v>
          </cell>
          <cell r="J948" t="str">
            <v>TypeRight Side-Opening Peel &amp; Seel Expanding Envelopes</v>
          </cell>
          <cell r="K948" t="str">
            <v>Office Supplies</v>
          </cell>
          <cell r="L948" t="str">
            <v>Small Box</v>
          </cell>
          <cell r="M948" t="str">
            <v>Regular Air</v>
          </cell>
          <cell r="N948">
            <v>42657</v>
          </cell>
          <cell r="O948">
            <v>54.29</v>
          </cell>
          <cell r="P948">
            <v>90.48</v>
          </cell>
          <cell r="Q948">
            <v>25</v>
          </cell>
          <cell r="R948">
            <v>2262</v>
          </cell>
          <cell r="S948">
            <v>0.02</v>
          </cell>
          <cell r="T948">
            <v>45.24</v>
          </cell>
          <cell r="U948">
            <v>2261.98</v>
          </cell>
          <cell r="V948">
            <v>19.989999999999998</v>
          </cell>
          <cell r="W948">
            <v>2281.9699999999998</v>
          </cell>
        </row>
        <row r="949">
          <cell r="A949" t="str">
            <v>6433-1</v>
          </cell>
          <cell r="B949">
            <v>42656</v>
          </cell>
          <cell r="C949" t="str">
            <v>Naresj Patel</v>
          </cell>
          <cell r="D949" t="str">
            <v>106 Ebley Street,Bondi Junction</v>
          </cell>
          <cell r="E949" t="str">
            <v>Sydney</v>
          </cell>
          <cell r="F949" t="str">
            <v>NSW</v>
          </cell>
          <cell r="G949" t="str">
            <v>Corporate</v>
          </cell>
          <cell r="H949" t="str">
            <v>Leighton Forrest</v>
          </cell>
          <cell r="I949" t="str">
            <v>Low</v>
          </cell>
          <cell r="J949" t="str">
            <v>TypeRight  Top-Opening Peel &amp; Seel Envelopes, Plain White</v>
          </cell>
          <cell r="K949" t="str">
            <v>Office Supplies</v>
          </cell>
          <cell r="L949" t="str">
            <v>Small Box</v>
          </cell>
          <cell r="M949" t="str">
            <v>Regular Air</v>
          </cell>
          <cell r="N949">
            <v>42661</v>
          </cell>
          <cell r="O949">
            <v>16.850000000000001</v>
          </cell>
          <cell r="P949">
            <v>27.18</v>
          </cell>
          <cell r="Q949">
            <v>38</v>
          </cell>
          <cell r="R949">
            <v>1032.8399999999999</v>
          </cell>
          <cell r="S949">
            <v>0.01</v>
          </cell>
          <cell r="T949">
            <v>10.3284</v>
          </cell>
          <cell r="U949">
            <v>1032.83</v>
          </cell>
          <cell r="V949">
            <v>8.23</v>
          </cell>
          <cell r="W949">
            <v>1041.06</v>
          </cell>
        </row>
        <row r="950">
          <cell r="A950" t="str">
            <v>6434-1</v>
          </cell>
          <cell r="B950">
            <v>42657</v>
          </cell>
          <cell r="C950" t="str">
            <v>Cynthia Arntzen</v>
          </cell>
          <cell r="D950" t="str">
            <v>Hoyts Entertainment Quarter 122 Lang Road,Moore Park</v>
          </cell>
          <cell r="E950" t="str">
            <v>Sydney</v>
          </cell>
          <cell r="F950" t="str">
            <v>NSW</v>
          </cell>
          <cell r="G950" t="str">
            <v>Small Business</v>
          </cell>
          <cell r="H950" t="str">
            <v>Tina Carlton</v>
          </cell>
          <cell r="I950" t="str">
            <v>Medium</v>
          </cell>
          <cell r="J950" t="str">
            <v>Beekin 105-Key Black Keyboard</v>
          </cell>
          <cell r="K950" t="str">
            <v>Technology</v>
          </cell>
          <cell r="L950" t="str">
            <v>Small Box</v>
          </cell>
          <cell r="M950" t="str">
            <v>Regular Air</v>
          </cell>
          <cell r="N950">
            <v>42660</v>
          </cell>
          <cell r="O950">
            <v>6.39</v>
          </cell>
          <cell r="P950">
            <v>19.98</v>
          </cell>
          <cell r="Q950">
            <v>9</v>
          </cell>
          <cell r="R950">
            <v>179.82</v>
          </cell>
          <cell r="S950">
            <v>0.06</v>
          </cell>
          <cell r="T950">
            <v>10.789199999999999</v>
          </cell>
          <cell r="U950">
            <v>179.76</v>
          </cell>
          <cell r="V950">
            <v>4</v>
          </cell>
          <cell r="W950">
            <v>183.76</v>
          </cell>
        </row>
        <row r="951">
          <cell r="A951" t="str">
            <v>6436-1</v>
          </cell>
          <cell r="B951">
            <v>42658</v>
          </cell>
          <cell r="C951" t="str">
            <v>Barry Franz</v>
          </cell>
          <cell r="D951" t="str">
            <v>499-501 Lygon Street,Carlton North</v>
          </cell>
          <cell r="E951" t="str">
            <v>Melbourne</v>
          </cell>
          <cell r="F951" t="str">
            <v>VIC</v>
          </cell>
          <cell r="G951" t="str">
            <v>Corporate</v>
          </cell>
          <cell r="H951" t="str">
            <v>Yvette Biti</v>
          </cell>
          <cell r="I951" t="str">
            <v>Not Specified</v>
          </cell>
          <cell r="J951" t="str">
            <v>3Max Polarizing Task Lamp with Clamp Arm, Light Gray</v>
          </cell>
          <cell r="K951" t="str">
            <v>Furniture</v>
          </cell>
          <cell r="L951" t="str">
            <v>Large Box</v>
          </cell>
          <cell r="M951" t="str">
            <v>Regular Air</v>
          </cell>
          <cell r="N951">
            <v>42658</v>
          </cell>
          <cell r="O951">
            <v>56.16</v>
          </cell>
          <cell r="P951">
            <v>136.97999999999999</v>
          </cell>
          <cell r="Q951">
            <v>27</v>
          </cell>
          <cell r="R951">
            <v>3698.4599999999996</v>
          </cell>
          <cell r="S951">
            <v>0.09</v>
          </cell>
          <cell r="T951">
            <v>332.86139999999995</v>
          </cell>
          <cell r="U951">
            <v>3698.3699999999994</v>
          </cell>
          <cell r="V951">
            <v>24.49</v>
          </cell>
          <cell r="W951">
            <v>3722.8599999999992</v>
          </cell>
        </row>
        <row r="952">
          <cell r="A952" t="str">
            <v>6438-1</v>
          </cell>
          <cell r="B952">
            <v>42659</v>
          </cell>
          <cell r="C952" t="str">
            <v>Odella Nelson</v>
          </cell>
          <cell r="D952" t="str">
            <v>523 King St,Newtown</v>
          </cell>
          <cell r="E952" t="str">
            <v>Sydney</v>
          </cell>
          <cell r="F952" t="str">
            <v>NSW</v>
          </cell>
          <cell r="G952" t="str">
            <v>Small Business</v>
          </cell>
          <cell r="H952" t="str">
            <v>Aanya Zhang</v>
          </cell>
          <cell r="I952" t="str">
            <v>Medium</v>
          </cell>
          <cell r="J952" t="str">
            <v>12 Colored Short Pencils</v>
          </cell>
          <cell r="K952" t="str">
            <v>Office Supplies</v>
          </cell>
          <cell r="L952" t="str">
            <v>Wrap Bag</v>
          </cell>
          <cell r="M952" t="str">
            <v>Regular Air</v>
          </cell>
          <cell r="N952">
            <v>42661</v>
          </cell>
          <cell r="O952">
            <v>1.0900000000000001</v>
          </cell>
          <cell r="P952">
            <v>2.6</v>
          </cell>
          <cell r="Q952">
            <v>12</v>
          </cell>
          <cell r="R952">
            <v>31.200000000000003</v>
          </cell>
          <cell r="S952">
            <v>0.05</v>
          </cell>
          <cell r="T952">
            <v>1.5600000000000003</v>
          </cell>
          <cell r="U952">
            <v>31.150000000000002</v>
          </cell>
          <cell r="V952">
            <v>2.4</v>
          </cell>
          <cell r="W952">
            <v>33.550000000000004</v>
          </cell>
        </row>
        <row r="953">
          <cell r="A953" t="str">
            <v>6440-1</v>
          </cell>
          <cell r="B953">
            <v>42661</v>
          </cell>
          <cell r="C953" t="str">
            <v>Doug Jacobs</v>
          </cell>
          <cell r="D953" t="str">
            <v>1/160 Anzac Parade,Kensington</v>
          </cell>
          <cell r="E953" t="str">
            <v>Sydney</v>
          </cell>
          <cell r="F953" t="str">
            <v>NSW</v>
          </cell>
          <cell r="G953" t="str">
            <v>Home Office</v>
          </cell>
          <cell r="H953" t="str">
            <v>Natasha Song</v>
          </cell>
          <cell r="I953" t="str">
            <v>Medium</v>
          </cell>
          <cell r="J953" t="str">
            <v>3Max Polarizing Task Lamp with Clamp Arm, Light Gray</v>
          </cell>
          <cell r="K953" t="str">
            <v>Furniture</v>
          </cell>
          <cell r="L953" t="str">
            <v>Large Box</v>
          </cell>
          <cell r="M953" t="str">
            <v>Regular Air</v>
          </cell>
          <cell r="N953">
            <v>42664</v>
          </cell>
          <cell r="O953">
            <v>56.16</v>
          </cell>
          <cell r="P953">
            <v>136.97999999999999</v>
          </cell>
          <cell r="Q953">
            <v>21</v>
          </cell>
          <cell r="R953">
            <v>2876.58</v>
          </cell>
          <cell r="S953">
            <v>0.05</v>
          </cell>
          <cell r="T953">
            <v>143.82900000000001</v>
          </cell>
          <cell r="U953">
            <v>2876.5299999999997</v>
          </cell>
          <cell r="V953">
            <v>24.49</v>
          </cell>
          <cell r="W953">
            <v>2901.0199999999995</v>
          </cell>
        </row>
        <row r="954">
          <cell r="A954" t="str">
            <v>6442-1</v>
          </cell>
          <cell r="B954">
            <v>42662</v>
          </cell>
          <cell r="C954" t="str">
            <v>Chuck Clark</v>
          </cell>
          <cell r="D954" t="str">
            <v>53-55 Liverpool St,Sydney</v>
          </cell>
          <cell r="E954" t="str">
            <v>Sydney</v>
          </cell>
          <cell r="F954" t="str">
            <v>NSW</v>
          </cell>
          <cell r="G954" t="str">
            <v>Corporate</v>
          </cell>
          <cell r="H954" t="str">
            <v>Tina Carlton</v>
          </cell>
          <cell r="I954" t="str">
            <v>Critical</v>
          </cell>
          <cell r="J954" t="str">
            <v>Apex Straight Scissors</v>
          </cell>
          <cell r="K954" t="str">
            <v>Office Supplies</v>
          </cell>
          <cell r="L954" t="str">
            <v>Small Pack</v>
          </cell>
          <cell r="M954" t="str">
            <v>Regular Air</v>
          </cell>
          <cell r="N954">
            <v>42664</v>
          </cell>
          <cell r="O954">
            <v>5.19</v>
          </cell>
          <cell r="P954">
            <v>12.98</v>
          </cell>
          <cell r="Q954">
            <v>49</v>
          </cell>
          <cell r="R954">
            <v>636.02</v>
          </cell>
          <cell r="S954">
            <v>0.09</v>
          </cell>
          <cell r="T954">
            <v>57.241799999999998</v>
          </cell>
          <cell r="U954">
            <v>635.92999999999995</v>
          </cell>
          <cell r="V954">
            <v>3.14</v>
          </cell>
          <cell r="W954">
            <v>639.06999999999994</v>
          </cell>
        </row>
        <row r="955">
          <cell r="A955" t="str">
            <v>6443-1</v>
          </cell>
          <cell r="B955">
            <v>42663</v>
          </cell>
          <cell r="C955" t="str">
            <v>Edward Nazzal</v>
          </cell>
          <cell r="D955" t="str">
            <v>2a/285A Crown St,Surry Hills</v>
          </cell>
          <cell r="E955" t="str">
            <v>Sydney</v>
          </cell>
          <cell r="F955" t="str">
            <v>NSW</v>
          </cell>
          <cell r="G955" t="str">
            <v>Home Office</v>
          </cell>
          <cell r="H955" t="str">
            <v>Phoebe Gour</v>
          </cell>
          <cell r="I955" t="str">
            <v>Not Specified</v>
          </cell>
          <cell r="J955" t="str">
            <v>Artisan Poly Binder Pockets</v>
          </cell>
          <cell r="K955" t="str">
            <v>Office Supplies</v>
          </cell>
          <cell r="L955" t="str">
            <v>Small Box</v>
          </cell>
          <cell r="M955" t="str">
            <v>Regular Air</v>
          </cell>
          <cell r="N955">
            <v>42663</v>
          </cell>
          <cell r="O955">
            <v>2.2599999999999998</v>
          </cell>
          <cell r="P955">
            <v>3.58</v>
          </cell>
          <cell r="Q955">
            <v>34</v>
          </cell>
          <cell r="R955">
            <v>121.72</v>
          </cell>
          <cell r="S955">
            <v>7.0000000000000007E-2</v>
          </cell>
          <cell r="T955">
            <v>8.5204000000000004</v>
          </cell>
          <cell r="U955">
            <v>121.65</v>
          </cell>
          <cell r="V955">
            <v>5.47</v>
          </cell>
          <cell r="W955">
            <v>127.12</v>
          </cell>
        </row>
        <row r="956">
          <cell r="A956" t="str">
            <v>6445-1</v>
          </cell>
          <cell r="B956">
            <v>42665</v>
          </cell>
          <cell r="C956" t="str">
            <v>Todd Boyes</v>
          </cell>
          <cell r="D956" t="str">
            <v>Westfield Miranda, 600 Kingsway,Miranda</v>
          </cell>
          <cell r="E956" t="str">
            <v>Sydney</v>
          </cell>
          <cell r="F956" t="str">
            <v>NSW</v>
          </cell>
          <cell r="G956" t="str">
            <v>Small Business</v>
          </cell>
          <cell r="H956" t="str">
            <v>Preston Senome</v>
          </cell>
          <cell r="I956" t="str">
            <v>Not Specified</v>
          </cell>
          <cell r="J956" t="str">
            <v>Artisan 479 Labels</v>
          </cell>
          <cell r="K956" t="str">
            <v>Office Supplies</v>
          </cell>
          <cell r="L956" t="str">
            <v>Small Box</v>
          </cell>
          <cell r="M956" t="str">
            <v>Regular Air</v>
          </cell>
          <cell r="N956">
            <v>42667</v>
          </cell>
          <cell r="O956">
            <v>1.59</v>
          </cell>
          <cell r="P956">
            <v>2.61</v>
          </cell>
          <cell r="Q956">
            <v>44</v>
          </cell>
          <cell r="R956">
            <v>114.83999999999999</v>
          </cell>
          <cell r="S956">
            <v>7.0000000000000007E-2</v>
          </cell>
          <cell r="T956">
            <v>8.0388000000000002</v>
          </cell>
          <cell r="U956">
            <v>114.77</v>
          </cell>
          <cell r="V956">
            <v>0.5</v>
          </cell>
          <cell r="W956">
            <v>115.27</v>
          </cell>
        </row>
        <row r="957">
          <cell r="A957" t="str">
            <v>6447-1</v>
          </cell>
          <cell r="B957">
            <v>42666</v>
          </cell>
          <cell r="C957" t="str">
            <v>Nicole Brennan</v>
          </cell>
          <cell r="D957" t="str">
            <v>310 Wattle St,Ultimo</v>
          </cell>
          <cell r="E957" t="str">
            <v>Sydney</v>
          </cell>
          <cell r="F957" t="str">
            <v>NSW</v>
          </cell>
          <cell r="G957" t="str">
            <v>Consumer</v>
          </cell>
          <cell r="H957" t="str">
            <v>Aanya Zhang</v>
          </cell>
          <cell r="I957" t="str">
            <v>Critical</v>
          </cell>
          <cell r="J957" t="str">
            <v>1726 Digital Answering Machine</v>
          </cell>
          <cell r="K957" t="str">
            <v>Technology</v>
          </cell>
          <cell r="L957" t="str">
            <v>Medium Box</v>
          </cell>
          <cell r="M957" t="str">
            <v>Regular Air</v>
          </cell>
          <cell r="N957">
            <v>42668</v>
          </cell>
          <cell r="O957">
            <v>8.82</v>
          </cell>
          <cell r="P957">
            <v>20.99</v>
          </cell>
          <cell r="Q957">
            <v>17</v>
          </cell>
          <cell r="R957">
            <v>356.83</v>
          </cell>
          <cell r="S957">
            <v>0</v>
          </cell>
          <cell r="T957">
            <v>0</v>
          </cell>
          <cell r="U957">
            <v>356.83</v>
          </cell>
          <cell r="V957">
            <v>4.8099999999999996</v>
          </cell>
          <cell r="W957">
            <v>361.64</v>
          </cell>
        </row>
        <row r="958">
          <cell r="A958" t="str">
            <v>6449-1</v>
          </cell>
          <cell r="B958">
            <v>42666</v>
          </cell>
          <cell r="C958" t="str">
            <v>Sean ODonnell</v>
          </cell>
          <cell r="D958" t="str">
            <v>541 Church St ,Richmond</v>
          </cell>
          <cell r="E958" t="str">
            <v>Melbourne</v>
          </cell>
          <cell r="F958" t="str">
            <v>VIC</v>
          </cell>
          <cell r="G958" t="str">
            <v>Corporate</v>
          </cell>
          <cell r="H958" t="str">
            <v>Yvette Biti</v>
          </cell>
          <cell r="I958" t="str">
            <v>Low</v>
          </cell>
          <cell r="J958" t="str">
            <v>3Max Polarizing Task Lamp with Clamp Arm, Light Gray</v>
          </cell>
          <cell r="K958" t="str">
            <v>Furniture</v>
          </cell>
          <cell r="L958" t="str">
            <v>Large Box</v>
          </cell>
          <cell r="M958" t="str">
            <v>Regular Air</v>
          </cell>
          <cell r="N958">
            <v>42673</v>
          </cell>
          <cell r="O958">
            <v>56.16</v>
          </cell>
          <cell r="P958">
            <v>136.97999999999999</v>
          </cell>
          <cell r="Q958">
            <v>3</v>
          </cell>
          <cell r="R958">
            <v>410.93999999999994</v>
          </cell>
          <cell r="S958">
            <v>0.1</v>
          </cell>
          <cell r="T958">
            <v>41.093999999999994</v>
          </cell>
          <cell r="U958">
            <v>410.83999999999992</v>
          </cell>
          <cell r="V958">
            <v>24.49</v>
          </cell>
          <cell r="W958">
            <v>435.32999999999993</v>
          </cell>
        </row>
        <row r="959">
          <cell r="A959" t="str">
            <v>6451-1</v>
          </cell>
          <cell r="B959">
            <v>42666</v>
          </cell>
          <cell r="C959" t="str">
            <v>Patrick Bzostek</v>
          </cell>
          <cell r="D959" t="str">
            <v>1/50-58 Hunter St,Sydney</v>
          </cell>
          <cell r="E959" t="str">
            <v>Sydney</v>
          </cell>
          <cell r="F959" t="str">
            <v>NSW</v>
          </cell>
          <cell r="G959" t="str">
            <v>Consumer</v>
          </cell>
          <cell r="H959" t="str">
            <v>Preston Senome</v>
          </cell>
          <cell r="I959" t="str">
            <v>Medium</v>
          </cell>
          <cell r="J959" t="str">
            <v>Artisan Durable Binders</v>
          </cell>
          <cell r="K959" t="str">
            <v>Office Supplies</v>
          </cell>
          <cell r="L959" t="str">
            <v>Small Box</v>
          </cell>
          <cell r="M959" t="str">
            <v>Regular Air</v>
          </cell>
          <cell r="N959">
            <v>42668</v>
          </cell>
          <cell r="O959">
            <v>1.84</v>
          </cell>
          <cell r="P959">
            <v>2.88</v>
          </cell>
          <cell r="Q959">
            <v>32</v>
          </cell>
          <cell r="R959">
            <v>92.16</v>
          </cell>
          <cell r="S959">
            <v>0.01</v>
          </cell>
          <cell r="T959">
            <v>0.92159999999999997</v>
          </cell>
          <cell r="U959">
            <v>92.149999999999991</v>
          </cell>
          <cell r="V959">
            <v>1.49</v>
          </cell>
          <cell r="W959">
            <v>93.639999999999986</v>
          </cell>
        </row>
        <row r="960">
          <cell r="A960" t="str">
            <v>6453-1</v>
          </cell>
          <cell r="B960">
            <v>42668</v>
          </cell>
          <cell r="C960" t="str">
            <v>Tanja Norvell</v>
          </cell>
          <cell r="D960" t="str">
            <v>541 Church St,Richmond</v>
          </cell>
          <cell r="E960" t="str">
            <v>Melbourne</v>
          </cell>
          <cell r="F960" t="str">
            <v>VIC</v>
          </cell>
          <cell r="G960" t="str">
            <v>Corporate</v>
          </cell>
          <cell r="H960" t="str">
            <v>Yvette Biti</v>
          </cell>
          <cell r="I960" t="str">
            <v>Critical</v>
          </cell>
          <cell r="J960" t="str">
            <v>Artisan 479 Labels</v>
          </cell>
          <cell r="K960" t="str">
            <v>Office Supplies</v>
          </cell>
          <cell r="L960" t="str">
            <v>Small Box</v>
          </cell>
          <cell r="M960" t="str">
            <v>Express Air</v>
          </cell>
          <cell r="N960">
            <v>42670</v>
          </cell>
          <cell r="O960">
            <v>1.59</v>
          </cell>
          <cell r="P960">
            <v>2.61</v>
          </cell>
          <cell r="Q960">
            <v>25</v>
          </cell>
          <cell r="R960">
            <v>65.25</v>
          </cell>
          <cell r="S960">
            <v>0.04</v>
          </cell>
          <cell r="T960">
            <v>2.61</v>
          </cell>
          <cell r="U960">
            <v>65.209999999999994</v>
          </cell>
          <cell r="V960">
            <v>0.5</v>
          </cell>
          <cell r="W960">
            <v>65.709999999999994</v>
          </cell>
        </row>
        <row r="961">
          <cell r="A961" t="str">
            <v>6455-1</v>
          </cell>
          <cell r="B961">
            <v>42668</v>
          </cell>
          <cell r="C961" t="str">
            <v>Caroline Jumper</v>
          </cell>
          <cell r="D961" t="str">
            <v>145 Ramsay St,Haberfield</v>
          </cell>
          <cell r="E961" t="str">
            <v>Sydney</v>
          </cell>
          <cell r="F961" t="str">
            <v>NSW</v>
          </cell>
          <cell r="G961" t="str">
            <v>Corporate</v>
          </cell>
          <cell r="H961" t="str">
            <v>Phoebe Gour</v>
          </cell>
          <cell r="I961" t="str">
            <v>High</v>
          </cell>
          <cell r="J961" t="str">
            <v>Steady EarthWrite Recycled Pencils, Medium Soft, #2</v>
          </cell>
          <cell r="K961" t="str">
            <v>Office Supplies</v>
          </cell>
          <cell r="L961" t="str">
            <v>Wrap Bag</v>
          </cell>
          <cell r="M961" t="str">
            <v>Regular Air</v>
          </cell>
          <cell r="N961">
            <v>42670</v>
          </cell>
          <cell r="O961">
            <v>0.9</v>
          </cell>
          <cell r="P961">
            <v>2.1</v>
          </cell>
          <cell r="Q961">
            <v>33</v>
          </cell>
          <cell r="R961">
            <v>69.3</v>
          </cell>
          <cell r="S961">
            <v>0.05</v>
          </cell>
          <cell r="T961">
            <v>3.4649999999999999</v>
          </cell>
          <cell r="U961">
            <v>69.25</v>
          </cell>
          <cell r="V961">
            <v>0.7</v>
          </cell>
          <cell r="W961">
            <v>69.95</v>
          </cell>
        </row>
        <row r="962">
          <cell r="A962" t="str">
            <v>6460-1</v>
          </cell>
          <cell r="B962">
            <v>42671</v>
          </cell>
          <cell r="C962" t="str">
            <v>Joni Sundaresam</v>
          </cell>
          <cell r="D962" t="str">
            <v>8 Rankins Lane ,Melbourne</v>
          </cell>
          <cell r="E962" t="str">
            <v>Melbourne</v>
          </cell>
          <cell r="F962" t="str">
            <v>VIC</v>
          </cell>
          <cell r="G962" t="str">
            <v>Home Office</v>
          </cell>
          <cell r="H962" t="str">
            <v>Connor Betts</v>
          </cell>
          <cell r="I962" t="str">
            <v>Low</v>
          </cell>
          <cell r="J962" t="str">
            <v>Beekin 6 Outlet Metallic Surge Strip</v>
          </cell>
          <cell r="K962" t="str">
            <v>Office Supplies</v>
          </cell>
          <cell r="L962" t="str">
            <v>Small Box</v>
          </cell>
          <cell r="M962" t="str">
            <v>Express Air</v>
          </cell>
          <cell r="N962">
            <v>42680</v>
          </cell>
          <cell r="O962">
            <v>4.46</v>
          </cell>
          <cell r="P962">
            <v>10.89</v>
          </cell>
          <cell r="Q962">
            <v>30</v>
          </cell>
          <cell r="R962">
            <v>326.70000000000005</v>
          </cell>
          <cell r="S962">
            <v>0.08</v>
          </cell>
          <cell r="T962">
            <v>26.136000000000003</v>
          </cell>
          <cell r="U962">
            <v>326.62000000000006</v>
          </cell>
          <cell r="V962">
            <v>4.5</v>
          </cell>
          <cell r="W962">
            <v>331.12000000000006</v>
          </cell>
        </row>
        <row r="963">
          <cell r="A963" t="str">
            <v>6461-1</v>
          </cell>
          <cell r="B963">
            <v>42671</v>
          </cell>
          <cell r="C963" t="str">
            <v>Logan Haushalter</v>
          </cell>
          <cell r="D963" t="str">
            <v>222 Barkly St,St Kilda</v>
          </cell>
          <cell r="E963" t="str">
            <v>Melbourne</v>
          </cell>
          <cell r="F963" t="str">
            <v>VIC</v>
          </cell>
          <cell r="G963" t="str">
            <v>Corporate</v>
          </cell>
          <cell r="H963" t="str">
            <v>Yvette Biti</v>
          </cell>
          <cell r="I963" t="str">
            <v>Critical</v>
          </cell>
          <cell r="J963" t="str">
            <v>Self-Adhesive Removable Labels</v>
          </cell>
          <cell r="K963" t="str">
            <v>Office Supplies</v>
          </cell>
          <cell r="L963" t="str">
            <v>Small Box</v>
          </cell>
          <cell r="M963" t="str">
            <v>Regular Air</v>
          </cell>
          <cell r="N963">
            <v>42673</v>
          </cell>
          <cell r="O963">
            <v>1.98</v>
          </cell>
          <cell r="P963">
            <v>3.15</v>
          </cell>
          <cell r="Q963">
            <v>24</v>
          </cell>
          <cell r="R963">
            <v>75.599999999999994</v>
          </cell>
          <cell r="S963">
            <v>0.02</v>
          </cell>
          <cell r="T963">
            <v>1.512</v>
          </cell>
          <cell r="U963">
            <v>75.58</v>
          </cell>
          <cell r="V963">
            <v>0.49</v>
          </cell>
          <cell r="W963">
            <v>76.069999999999993</v>
          </cell>
        </row>
        <row r="964">
          <cell r="A964" t="str">
            <v>6463-1</v>
          </cell>
          <cell r="B964">
            <v>42672</v>
          </cell>
          <cell r="C964" t="str">
            <v>Pierre Wener</v>
          </cell>
          <cell r="D964" t="str">
            <v>531 King St,Newtown</v>
          </cell>
          <cell r="E964" t="str">
            <v>Sydney</v>
          </cell>
          <cell r="F964" t="str">
            <v>NSW</v>
          </cell>
          <cell r="G964" t="str">
            <v>Home Office</v>
          </cell>
          <cell r="H964" t="str">
            <v>Mihael Khan</v>
          </cell>
          <cell r="I964" t="str">
            <v>Critical</v>
          </cell>
          <cell r="J964" t="str">
            <v>Beekin 105-Key Black Keyboard</v>
          </cell>
          <cell r="K964" t="str">
            <v>Technology</v>
          </cell>
          <cell r="L964" t="str">
            <v>Small Box</v>
          </cell>
          <cell r="M964" t="str">
            <v>Regular Air</v>
          </cell>
          <cell r="N964">
            <v>42673</v>
          </cell>
          <cell r="O964">
            <v>6.39</v>
          </cell>
          <cell r="P964">
            <v>19.98</v>
          </cell>
          <cell r="Q964">
            <v>9</v>
          </cell>
          <cell r="R964">
            <v>179.82</v>
          </cell>
          <cell r="S964">
            <v>0.09</v>
          </cell>
          <cell r="T964">
            <v>16.183799999999998</v>
          </cell>
          <cell r="U964">
            <v>179.73</v>
          </cell>
          <cell r="V964">
            <v>4</v>
          </cell>
          <cell r="W964">
            <v>183.73</v>
          </cell>
        </row>
        <row r="965">
          <cell r="A965" t="str">
            <v>6465-1</v>
          </cell>
          <cell r="B965">
            <v>42674</v>
          </cell>
          <cell r="C965" t="str">
            <v>Rick Wilson</v>
          </cell>
          <cell r="D965" t="str">
            <v>81 MacLeay St,Potts Point</v>
          </cell>
          <cell r="E965" t="str">
            <v>Sydney</v>
          </cell>
          <cell r="F965" t="str">
            <v>NSW</v>
          </cell>
          <cell r="G965" t="str">
            <v>Corporate</v>
          </cell>
          <cell r="H965" t="str">
            <v>Samantha Chairs</v>
          </cell>
          <cell r="I965" t="str">
            <v>Medium</v>
          </cell>
          <cell r="J965" t="str">
            <v>210 Trimline Phone, White</v>
          </cell>
          <cell r="K965" t="str">
            <v>Technology</v>
          </cell>
          <cell r="L965" t="str">
            <v>Medium Box</v>
          </cell>
          <cell r="M965" t="str">
            <v>Regular Air</v>
          </cell>
          <cell r="N965">
            <v>42674</v>
          </cell>
          <cell r="O965">
            <v>9.91</v>
          </cell>
          <cell r="P965">
            <v>15.99</v>
          </cell>
          <cell r="Q965">
            <v>33</v>
          </cell>
          <cell r="R965">
            <v>527.66999999999996</v>
          </cell>
          <cell r="S965">
            <v>0.01</v>
          </cell>
          <cell r="T965">
            <v>5.2766999999999999</v>
          </cell>
          <cell r="U965">
            <v>527.66</v>
          </cell>
          <cell r="V965">
            <v>11.28</v>
          </cell>
          <cell r="W965">
            <v>538.93999999999994</v>
          </cell>
        </row>
        <row r="966">
          <cell r="A966" t="str">
            <v>6467-1</v>
          </cell>
          <cell r="B966">
            <v>42674</v>
          </cell>
          <cell r="C966" t="str">
            <v>Roy Phan</v>
          </cell>
          <cell r="D966" t="str">
            <v>506 Swan Street,Richmond</v>
          </cell>
          <cell r="E966" t="str">
            <v>Melbourne</v>
          </cell>
          <cell r="F966" t="str">
            <v>VIC</v>
          </cell>
          <cell r="G966" t="str">
            <v>Corporate</v>
          </cell>
          <cell r="H966" t="str">
            <v>Connor Betts</v>
          </cell>
          <cell r="I966" t="str">
            <v>Medium</v>
          </cell>
          <cell r="J966" t="str">
            <v>Artisan Hanging File Binders</v>
          </cell>
          <cell r="K966" t="str">
            <v>Office Supplies</v>
          </cell>
          <cell r="L966" t="str">
            <v>Small Box</v>
          </cell>
          <cell r="M966" t="str">
            <v>Regular Air</v>
          </cell>
          <cell r="N966">
            <v>42675</v>
          </cell>
          <cell r="O966">
            <v>3.65</v>
          </cell>
          <cell r="P966">
            <v>5.98</v>
          </cell>
          <cell r="Q966">
            <v>23</v>
          </cell>
          <cell r="R966">
            <v>137.54000000000002</v>
          </cell>
          <cell r="S966">
            <v>0.01</v>
          </cell>
          <cell r="T966">
            <v>1.3754000000000002</v>
          </cell>
          <cell r="U966">
            <v>137.53000000000003</v>
          </cell>
          <cell r="V966">
            <v>1.49</v>
          </cell>
          <cell r="W966">
            <v>139.02000000000004</v>
          </cell>
        </row>
        <row r="967">
          <cell r="A967" t="str">
            <v>6469-1</v>
          </cell>
          <cell r="B967">
            <v>42674</v>
          </cell>
          <cell r="C967" t="str">
            <v>George Zrebassa</v>
          </cell>
          <cell r="D967" t="str">
            <v>81 MacLeay St,Potts Point</v>
          </cell>
          <cell r="E967" t="str">
            <v>Sydney</v>
          </cell>
          <cell r="F967" t="str">
            <v>NSW</v>
          </cell>
          <cell r="G967" t="str">
            <v>Home Office</v>
          </cell>
          <cell r="H967" t="str">
            <v>Samantha Chairs</v>
          </cell>
          <cell r="I967" t="str">
            <v>Not Specified</v>
          </cell>
          <cell r="J967" t="str">
            <v>Binder Posts</v>
          </cell>
          <cell r="K967" t="str">
            <v>Office Supplies</v>
          </cell>
          <cell r="L967" t="str">
            <v>Small Box</v>
          </cell>
          <cell r="M967" t="str">
            <v>Regular Air</v>
          </cell>
          <cell r="N967">
            <v>42677</v>
          </cell>
          <cell r="O967">
            <v>3.5</v>
          </cell>
          <cell r="P967">
            <v>5.74</v>
          </cell>
          <cell r="Q967">
            <v>48</v>
          </cell>
          <cell r="R967">
            <v>275.52</v>
          </cell>
          <cell r="S967">
            <v>0.05</v>
          </cell>
          <cell r="T967">
            <v>13.776</v>
          </cell>
          <cell r="U967">
            <v>275.46999999999997</v>
          </cell>
          <cell r="V967">
            <v>5.01</v>
          </cell>
          <cell r="W967">
            <v>280.47999999999996</v>
          </cell>
        </row>
        <row r="968">
          <cell r="A968" t="str">
            <v>6471-1</v>
          </cell>
          <cell r="B968">
            <v>42676</v>
          </cell>
          <cell r="C968" t="str">
            <v>Liz Carlisle</v>
          </cell>
          <cell r="D968" t="str">
            <v>797 Botany Rd,Rosebery</v>
          </cell>
          <cell r="E968" t="str">
            <v>Sydney</v>
          </cell>
          <cell r="F968" t="str">
            <v>NSW</v>
          </cell>
          <cell r="G968" t="str">
            <v>Corporate</v>
          </cell>
          <cell r="H968" t="str">
            <v>Phoebe Gour</v>
          </cell>
          <cell r="I968" t="str">
            <v>Critical</v>
          </cell>
          <cell r="J968" t="str">
            <v>Adesso Programmable 142-Key Keyboard</v>
          </cell>
          <cell r="K968" t="str">
            <v>Technology</v>
          </cell>
          <cell r="L968" t="str">
            <v>Small Box</v>
          </cell>
          <cell r="M968" t="str">
            <v>Regular Air</v>
          </cell>
          <cell r="N968">
            <v>42677</v>
          </cell>
          <cell r="O968">
            <v>39.64</v>
          </cell>
          <cell r="P968">
            <v>152.47999999999999</v>
          </cell>
          <cell r="Q968">
            <v>44</v>
          </cell>
          <cell r="R968">
            <v>6709.12</v>
          </cell>
          <cell r="S968">
            <v>0.03</v>
          </cell>
          <cell r="T968">
            <v>201.27359999999999</v>
          </cell>
          <cell r="U968">
            <v>6709.09</v>
          </cell>
          <cell r="V968">
            <v>6.5</v>
          </cell>
          <cell r="W968">
            <v>6715.59</v>
          </cell>
        </row>
        <row r="969">
          <cell r="A969" t="str">
            <v>6472-1</v>
          </cell>
          <cell r="B969">
            <v>42676</v>
          </cell>
          <cell r="C969" t="str">
            <v>Cassandra Brandow</v>
          </cell>
          <cell r="D969" t="str">
            <v>106 Ebley Street,Bondi Junction</v>
          </cell>
          <cell r="E969" t="str">
            <v>Sydney</v>
          </cell>
          <cell r="F969" t="str">
            <v>NSW</v>
          </cell>
          <cell r="G969" t="str">
            <v>Home Office</v>
          </cell>
          <cell r="H969" t="str">
            <v>Leighton Forrest</v>
          </cell>
          <cell r="I969" t="str">
            <v>Not Specified</v>
          </cell>
          <cell r="J969" t="str">
            <v>Apex Preferred Stainless Steel Scissors</v>
          </cell>
          <cell r="K969" t="str">
            <v>Office Supplies</v>
          </cell>
          <cell r="L969" t="str">
            <v>Small Pack</v>
          </cell>
          <cell r="M969" t="str">
            <v>Regular Air</v>
          </cell>
          <cell r="N969">
            <v>42677</v>
          </cell>
          <cell r="O969">
            <v>2.5</v>
          </cell>
          <cell r="P969">
            <v>5.68</v>
          </cell>
          <cell r="Q969">
            <v>34</v>
          </cell>
          <cell r="R969">
            <v>193.12</v>
          </cell>
          <cell r="S969">
            <v>0</v>
          </cell>
          <cell r="T969">
            <v>0</v>
          </cell>
          <cell r="U969">
            <v>193.12</v>
          </cell>
          <cell r="V969">
            <v>3.6</v>
          </cell>
          <cell r="W969">
            <v>196.72</v>
          </cell>
        </row>
        <row r="970">
          <cell r="A970" t="str">
            <v>6473-1</v>
          </cell>
          <cell r="B970">
            <v>42676</v>
          </cell>
          <cell r="C970" t="str">
            <v>Valerie Mitchum</v>
          </cell>
          <cell r="D970" t="str">
            <v>Westfield Sydney,Sydney</v>
          </cell>
          <cell r="E970" t="str">
            <v>Sydney</v>
          </cell>
          <cell r="F970" t="str">
            <v>NSW</v>
          </cell>
          <cell r="G970" t="str">
            <v>Home Office</v>
          </cell>
          <cell r="H970" t="str">
            <v>Natasha Song</v>
          </cell>
          <cell r="I970" t="str">
            <v>Not Specified</v>
          </cell>
          <cell r="J970" t="str">
            <v>Steady 52201 APSCO Electric Pencil Sharpener</v>
          </cell>
          <cell r="K970" t="str">
            <v>Office Supplies</v>
          </cell>
          <cell r="L970" t="str">
            <v>Small Pack</v>
          </cell>
          <cell r="M970" t="str">
            <v>Regular Air</v>
          </cell>
          <cell r="N970">
            <v>42678</v>
          </cell>
          <cell r="O970">
            <v>16.8</v>
          </cell>
          <cell r="P970">
            <v>40.97</v>
          </cell>
          <cell r="Q970">
            <v>26</v>
          </cell>
          <cell r="R970">
            <v>1065.22</v>
          </cell>
          <cell r="S970">
            <v>0.06</v>
          </cell>
          <cell r="T970">
            <v>63.913199999999996</v>
          </cell>
          <cell r="U970">
            <v>1065.1600000000001</v>
          </cell>
          <cell r="V970">
            <v>8.99</v>
          </cell>
          <cell r="W970">
            <v>1074.1500000000001</v>
          </cell>
        </row>
        <row r="971">
          <cell r="A971" t="str">
            <v>6475-1</v>
          </cell>
          <cell r="B971">
            <v>42676</v>
          </cell>
          <cell r="C971" t="str">
            <v>Roland Murray</v>
          </cell>
          <cell r="D971" t="str">
            <v>Westfield 1 Anderson St,Chatswood</v>
          </cell>
          <cell r="E971" t="str">
            <v>Sydney</v>
          </cell>
          <cell r="F971" t="str">
            <v>NSW</v>
          </cell>
          <cell r="G971" t="str">
            <v>Home Office</v>
          </cell>
          <cell r="H971" t="str">
            <v>Nicholas Fernandes</v>
          </cell>
          <cell r="I971" t="str">
            <v>Low</v>
          </cell>
          <cell r="J971" t="str">
            <v>Steady Colorific Colored Pencils, 12/Box</v>
          </cell>
          <cell r="K971" t="str">
            <v>Office Supplies</v>
          </cell>
          <cell r="L971" t="str">
            <v>Wrap Bag</v>
          </cell>
          <cell r="M971" t="str">
            <v>Regular Air</v>
          </cell>
          <cell r="N971">
            <v>42680</v>
          </cell>
          <cell r="O971">
            <v>1.3</v>
          </cell>
          <cell r="P971">
            <v>2.88</v>
          </cell>
          <cell r="Q971">
            <v>41</v>
          </cell>
          <cell r="R971">
            <v>118.08</v>
          </cell>
          <cell r="S971">
            <v>0.1</v>
          </cell>
          <cell r="T971">
            <v>11.808</v>
          </cell>
          <cell r="U971">
            <v>117.98</v>
          </cell>
          <cell r="V971">
            <v>1.01</v>
          </cell>
          <cell r="W971">
            <v>118.99000000000001</v>
          </cell>
        </row>
        <row r="972">
          <cell r="A972" t="str">
            <v>6477-1</v>
          </cell>
          <cell r="B972">
            <v>42677</v>
          </cell>
          <cell r="C972" t="str">
            <v>Sheri Gordon</v>
          </cell>
          <cell r="D972" t="str">
            <v>152 Bunnerong Road,Eastgardens</v>
          </cell>
          <cell r="E972" t="str">
            <v>Sydney</v>
          </cell>
          <cell r="F972" t="str">
            <v>NSW</v>
          </cell>
          <cell r="G972" t="str">
            <v>Corporate</v>
          </cell>
          <cell r="H972" t="str">
            <v>Tina Carlton</v>
          </cell>
          <cell r="I972" t="str">
            <v>Not Specified</v>
          </cell>
          <cell r="J972" t="str">
            <v>Artisan 48 Labels</v>
          </cell>
          <cell r="K972" t="str">
            <v>Office Supplies</v>
          </cell>
          <cell r="L972" t="str">
            <v>Small Box</v>
          </cell>
          <cell r="M972" t="str">
            <v>Regular Air</v>
          </cell>
          <cell r="N972">
            <v>42678</v>
          </cell>
          <cell r="O972">
            <v>3.84</v>
          </cell>
          <cell r="P972">
            <v>6.3</v>
          </cell>
          <cell r="Q972">
            <v>35</v>
          </cell>
          <cell r="R972">
            <v>220.5</v>
          </cell>
          <cell r="S972">
            <v>0.03</v>
          </cell>
          <cell r="T972">
            <v>6.6149999999999993</v>
          </cell>
          <cell r="U972">
            <v>220.47</v>
          </cell>
          <cell r="V972">
            <v>0.5</v>
          </cell>
          <cell r="W972">
            <v>220.97</v>
          </cell>
        </row>
        <row r="973">
          <cell r="A973" t="str">
            <v>6479-1</v>
          </cell>
          <cell r="B973">
            <v>42679</v>
          </cell>
          <cell r="C973" t="str">
            <v>Bill Shonely</v>
          </cell>
          <cell r="D973" t="str">
            <v>73 MacLeay St,Potts Point</v>
          </cell>
          <cell r="E973" t="str">
            <v>Sydney</v>
          </cell>
          <cell r="F973" t="str">
            <v>NSW</v>
          </cell>
          <cell r="G973" t="str">
            <v>Small Business</v>
          </cell>
          <cell r="H973" t="str">
            <v>Natasha Song</v>
          </cell>
          <cell r="I973" t="str">
            <v>Low</v>
          </cell>
          <cell r="J973" t="str">
            <v>Binder Posts</v>
          </cell>
          <cell r="K973" t="str">
            <v>Office Supplies</v>
          </cell>
          <cell r="L973" t="str">
            <v>Small Box</v>
          </cell>
          <cell r="M973" t="str">
            <v>Regular Air</v>
          </cell>
          <cell r="N973">
            <v>42686</v>
          </cell>
          <cell r="O973">
            <v>3.5</v>
          </cell>
          <cell r="P973">
            <v>5.74</v>
          </cell>
          <cell r="Q973">
            <v>5</v>
          </cell>
          <cell r="R973">
            <v>28.700000000000003</v>
          </cell>
          <cell r="S973">
            <v>7.0000000000000007E-2</v>
          </cell>
          <cell r="T973">
            <v>2.0090000000000003</v>
          </cell>
          <cell r="U973">
            <v>28.630000000000003</v>
          </cell>
          <cell r="V973">
            <v>5.01</v>
          </cell>
          <cell r="W973">
            <v>33.64</v>
          </cell>
        </row>
        <row r="974">
          <cell r="A974" t="str">
            <v>6480-1</v>
          </cell>
          <cell r="B974">
            <v>42682</v>
          </cell>
          <cell r="C974" t="str">
            <v>Ken Black</v>
          </cell>
          <cell r="D974" t="str">
            <v>Westfield Sydney,Sydney</v>
          </cell>
          <cell r="E974" t="str">
            <v>Sydney</v>
          </cell>
          <cell r="F974" t="str">
            <v>NSW</v>
          </cell>
          <cell r="G974" t="str">
            <v>Consumer</v>
          </cell>
          <cell r="H974" t="str">
            <v>Natasha Song</v>
          </cell>
          <cell r="I974" t="str">
            <v>Low</v>
          </cell>
          <cell r="J974" t="str">
            <v>Alto Perma 2700 Stacking Storage Drawers</v>
          </cell>
          <cell r="K974" t="str">
            <v>Office Supplies</v>
          </cell>
          <cell r="L974" t="str">
            <v>Small Box</v>
          </cell>
          <cell r="M974" t="str">
            <v>Regular Air</v>
          </cell>
          <cell r="N974">
            <v>42687</v>
          </cell>
          <cell r="O974">
            <v>8.92</v>
          </cell>
          <cell r="P974">
            <v>29.74</v>
          </cell>
          <cell r="Q974">
            <v>31</v>
          </cell>
          <cell r="R974">
            <v>921.93999999999994</v>
          </cell>
          <cell r="S974">
            <v>0</v>
          </cell>
          <cell r="T974">
            <v>0</v>
          </cell>
          <cell r="U974">
            <v>921.93999999999994</v>
          </cell>
          <cell r="V974">
            <v>6.64</v>
          </cell>
          <cell r="W974">
            <v>928.57999999999993</v>
          </cell>
        </row>
        <row r="975">
          <cell r="A975" t="str">
            <v>6482-1</v>
          </cell>
          <cell r="B975">
            <v>42682</v>
          </cell>
          <cell r="C975" t="str">
            <v>Carol Triggs</v>
          </cell>
          <cell r="D975" t="str">
            <v>644 George St,Sydney</v>
          </cell>
          <cell r="E975" t="str">
            <v>Sydney</v>
          </cell>
          <cell r="F975" t="str">
            <v>NSW</v>
          </cell>
          <cell r="G975" t="str">
            <v>Home Office</v>
          </cell>
          <cell r="H975" t="str">
            <v>Radhya Staples</v>
          </cell>
          <cell r="I975" t="str">
            <v>Low</v>
          </cell>
          <cell r="J975" t="str">
            <v>Creator Anti Dust Chalk, 12/Pack</v>
          </cell>
          <cell r="K975" t="str">
            <v>Office Supplies</v>
          </cell>
          <cell r="L975" t="str">
            <v>Wrap Bag</v>
          </cell>
          <cell r="M975" t="str">
            <v>Regular Air</v>
          </cell>
          <cell r="N975">
            <v>42684</v>
          </cell>
          <cell r="O975">
            <v>1.0900000000000001</v>
          </cell>
          <cell r="P975">
            <v>1.82</v>
          </cell>
          <cell r="Q975">
            <v>40</v>
          </cell>
          <cell r="R975">
            <v>72.8</v>
          </cell>
          <cell r="S975">
            <v>0.05</v>
          </cell>
          <cell r="T975">
            <v>3.64</v>
          </cell>
          <cell r="U975">
            <v>72.75</v>
          </cell>
          <cell r="V975">
            <v>1</v>
          </cell>
          <cell r="W975">
            <v>73.75</v>
          </cell>
        </row>
        <row r="976">
          <cell r="A976" t="str">
            <v>6483-1</v>
          </cell>
          <cell r="B976">
            <v>42682</v>
          </cell>
          <cell r="C976" t="str">
            <v>Stephanie Ulpright</v>
          </cell>
          <cell r="D976" t="str">
            <v>541 Church St ,Richmond</v>
          </cell>
          <cell r="E976" t="str">
            <v>Melbourne</v>
          </cell>
          <cell r="F976" t="str">
            <v>VIC</v>
          </cell>
          <cell r="G976" t="str">
            <v>Consumer</v>
          </cell>
          <cell r="H976" t="str">
            <v>Yvette Biti</v>
          </cell>
          <cell r="I976" t="str">
            <v>Not Specified</v>
          </cell>
          <cell r="J976" t="str">
            <v>Steady EarthWrite Recycled Pencils, Medium Soft, #2</v>
          </cell>
          <cell r="K976" t="str">
            <v>Office Supplies</v>
          </cell>
          <cell r="L976" t="str">
            <v>Wrap Bag</v>
          </cell>
          <cell r="M976" t="str">
            <v>Regular Air</v>
          </cell>
          <cell r="N976">
            <v>42682</v>
          </cell>
          <cell r="O976">
            <v>0.9</v>
          </cell>
          <cell r="P976">
            <v>2.1</v>
          </cell>
          <cell r="Q976">
            <v>27</v>
          </cell>
          <cell r="R976">
            <v>56.7</v>
          </cell>
          <cell r="S976">
            <v>0.04</v>
          </cell>
          <cell r="T976">
            <v>2.2680000000000002</v>
          </cell>
          <cell r="U976">
            <v>56.660000000000004</v>
          </cell>
          <cell r="V976">
            <v>0.7</v>
          </cell>
          <cell r="W976">
            <v>57.360000000000007</v>
          </cell>
        </row>
        <row r="977">
          <cell r="A977" t="str">
            <v>6484-1</v>
          </cell>
          <cell r="B977">
            <v>42683</v>
          </cell>
          <cell r="C977" t="str">
            <v>Luke Foster</v>
          </cell>
          <cell r="D977" t="str">
            <v>2-4 College Street, Darlinghurst</v>
          </cell>
          <cell r="E977" t="str">
            <v>Sydney</v>
          </cell>
          <cell r="F977" t="str">
            <v>NSW</v>
          </cell>
          <cell r="G977" t="str">
            <v>Corporate</v>
          </cell>
          <cell r="H977" t="str">
            <v>Nicholas Fernandes</v>
          </cell>
          <cell r="I977" t="str">
            <v>High</v>
          </cell>
          <cell r="J977" t="str">
            <v>Office Shears by Apex</v>
          </cell>
          <cell r="K977" t="str">
            <v>Office Supplies</v>
          </cell>
          <cell r="L977" t="str">
            <v>Small Pack</v>
          </cell>
          <cell r="M977" t="str">
            <v>Regular Air</v>
          </cell>
          <cell r="N977">
            <v>42685</v>
          </cell>
          <cell r="O977">
            <v>0.94</v>
          </cell>
          <cell r="P977">
            <v>2.08</v>
          </cell>
          <cell r="Q977">
            <v>39</v>
          </cell>
          <cell r="R977">
            <v>81.12</v>
          </cell>
          <cell r="S977">
            <v>0.04</v>
          </cell>
          <cell r="T977">
            <v>3.2448000000000001</v>
          </cell>
          <cell r="U977">
            <v>81.08</v>
          </cell>
          <cell r="V977">
            <v>2.56</v>
          </cell>
          <cell r="W977">
            <v>83.64</v>
          </cell>
        </row>
        <row r="978">
          <cell r="A978" t="str">
            <v>6485-1</v>
          </cell>
          <cell r="B978">
            <v>42684</v>
          </cell>
          <cell r="C978" t="str">
            <v>Cyra Reiten</v>
          </cell>
          <cell r="D978" t="str">
            <v>Westfield 1 Anderson St,Chatswood</v>
          </cell>
          <cell r="E978" t="str">
            <v>Sydney</v>
          </cell>
          <cell r="F978" t="str">
            <v>NSW</v>
          </cell>
          <cell r="G978" t="str">
            <v>Consumer</v>
          </cell>
          <cell r="H978" t="str">
            <v>Nicholas Fernandes</v>
          </cell>
          <cell r="I978" t="str">
            <v>Not Specified</v>
          </cell>
          <cell r="J978" t="str">
            <v>Laser DVD-RAM discs</v>
          </cell>
          <cell r="K978" t="str">
            <v>Technology</v>
          </cell>
          <cell r="L978" t="str">
            <v>Small Pack</v>
          </cell>
          <cell r="M978" t="str">
            <v>Regular Air</v>
          </cell>
          <cell r="N978">
            <v>42686</v>
          </cell>
          <cell r="O978">
            <v>20.18</v>
          </cell>
          <cell r="P978">
            <v>35.409999999999997</v>
          </cell>
          <cell r="Q978">
            <v>21</v>
          </cell>
          <cell r="R978">
            <v>743.6099999999999</v>
          </cell>
          <cell r="S978">
            <v>0.09</v>
          </cell>
          <cell r="T978">
            <v>66.924899999999994</v>
          </cell>
          <cell r="U978">
            <v>743.51999999999987</v>
          </cell>
          <cell r="V978">
            <v>1.99</v>
          </cell>
          <cell r="W978">
            <v>745.50999999999988</v>
          </cell>
        </row>
        <row r="979">
          <cell r="A979" t="str">
            <v>6487-1</v>
          </cell>
          <cell r="B979">
            <v>42686</v>
          </cell>
          <cell r="C979" t="str">
            <v>Dan Campbell</v>
          </cell>
          <cell r="D979" t="str">
            <v>1/173-179 Bronte Rd,Waverley</v>
          </cell>
          <cell r="E979" t="str">
            <v>Sydney</v>
          </cell>
          <cell r="F979" t="str">
            <v>NSW</v>
          </cell>
          <cell r="G979" t="str">
            <v>Small Business</v>
          </cell>
          <cell r="H979" t="str">
            <v>Leighton Forrest</v>
          </cell>
          <cell r="I979" t="str">
            <v>Not Specified</v>
          </cell>
          <cell r="J979" t="str">
            <v>Smiths Colored Interoffice Envelopes</v>
          </cell>
          <cell r="K979" t="str">
            <v>Office Supplies</v>
          </cell>
          <cell r="L979" t="str">
            <v>Small Box</v>
          </cell>
          <cell r="M979" t="str">
            <v>Regular Air</v>
          </cell>
          <cell r="N979">
            <v>42686</v>
          </cell>
          <cell r="O979">
            <v>19.829999999999998</v>
          </cell>
          <cell r="P979">
            <v>30.98</v>
          </cell>
          <cell r="Q979">
            <v>15</v>
          </cell>
          <cell r="R979">
            <v>464.7</v>
          </cell>
          <cell r="S979">
            <v>0</v>
          </cell>
          <cell r="T979">
            <v>0</v>
          </cell>
          <cell r="U979">
            <v>464.7</v>
          </cell>
          <cell r="V979">
            <v>19.510000000000002</v>
          </cell>
          <cell r="W979">
            <v>484.21</v>
          </cell>
        </row>
        <row r="980">
          <cell r="A980" t="str">
            <v>6489-1</v>
          </cell>
          <cell r="B980">
            <v>42687</v>
          </cell>
          <cell r="C980" t="str">
            <v>Ryan Crowe</v>
          </cell>
          <cell r="D980" t="str">
            <v>324A King St,Newtown</v>
          </cell>
          <cell r="E980" t="str">
            <v>Sydney</v>
          </cell>
          <cell r="F980" t="str">
            <v>NSW</v>
          </cell>
          <cell r="G980" t="str">
            <v>Small Business</v>
          </cell>
          <cell r="H980" t="str">
            <v>Mihael Khan</v>
          </cell>
          <cell r="I980" t="str">
            <v>Low</v>
          </cell>
          <cell r="J980" t="str">
            <v>Self-Adhesive Removable Labels</v>
          </cell>
          <cell r="K980" t="str">
            <v>Office Supplies</v>
          </cell>
          <cell r="L980" t="str">
            <v>Small Box</v>
          </cell>
          <cell r="M980" t="str">
            <v>Regular Air</v>
          </cell>
          <cell r="N980">
            <v>42689</v>
          </cell>
          <cell r="O980">
            <v>1.98</v>
          </cell>
          <cell r="P980">
            <v>3.15</v>
          </cell>
          <cell r="Q980">
            <v>41</v>
          </cell>
          <cell r="R980">
            <v>129.15</v>
          </cell>
          <cell r="S980">
            <v>0.06</v>
          </cell>
          <cell r="T980">
            <v>7.7489999999999997</v>
          </cell>
          <cell r="U980">
            <v>129.09</v>
          </cell>
          <cell r="V980">
            <v>0.49</v>
          </cell>
          <cell r="W980">
            <v>129.58000000000001</v>
          </cell>
        </row>
        <row r="981">
          <cell r="A981" t="str">
            <v>6491-1</v>
          </cell>
          <cell r="B981">
            <v>42688</v>
          </cell>
          <cell r="C981" t="str">
            <v>Alan Barnes</v>
          </cell>
          <cell r="D981" t="str">
            <v>99 Glebe Point Rd,Glebe</v>
          </cell>
          <cell r="E981" t="str">
            <v>Sydney</v>
          </cell>
          <cell r="F981" t="str">
            <v>NSW</v>
          </cell>
          <cell r="G981" t="str">
            <v>Corporate</v>
          </cell>
          <cell r="H981" t="str">
            <v>Natasha Song</v>
          </cell>
          <cell r="I981" t="str">
            <v>Medium</v>
          </cell>
          <cell r="J981" t="str">
            <v>12 Colored Short Pencils</v>
          </cell>
          <cell r="K981" t="str">
            <v>Office Supplies</v>
          </cell>
          <cell r="L981" t="str">
            <v>Wrap Bag</v>
          </cell>
          <cell r="M981" t="str">
            <v>Regular Air</v>
          </cell>
          <cell r="N981">
            <v>42689</v>
          </cell>
          <cell r="O981">
            <v>1.0900000000000001</v>
          </cell>
          <cell r="P981">
            <v>2.6</v>
          </cell>
          <cell r="Q981">
            <v>11</v>
          </cell>
          <cell r="R981">
            <v>28.6</v>
          </cell>
          <cell r="S981">
            <v>0.09</v>
          </cell>
          <cell r="T981">
            <v>2.5739999999999998</v>
          </cell>
          <cell r="U981">
            <v>28.51</v>
          </cell>
          <cell r="V981">
            <v>2.4</v>
          </cell>
          <cell r="W981">
            <v>30.91</v>
          </cell>
        </row>
        <row r="982">
          <cell r="A982" t="str">
            <v>6493-1</v>
          </cell>
          <cell r="B982">
            <v>42690</v>
          </cell>
          <cell r="C982" t="str">
            <v>Jonathan Doherty</v>
          </cell>
          <cell r="D982" t="str">
            <v>53-55 Liverpool St,Sydney</v>
          </cell>
          <cell r="E982" t="str">
            <v>Sydney</v>
          </cell>
          <cell r="F982" t="str">
            <v>NSW</v>
          </cell>
          <cell r="G982" t="str">
            <v>Corporate</v>
          </cell>
          <cell r="H982" t="str">
            <v>Tina Carlton</v>
          </cell>
          <cell r="I982" t="str">
            <v>High</v>
          </cell>
          <cell r="J982" t="str">
            <v>OIC Colored Binder Clips, Assorted Sizes</v>
          </cell>
          <cell r="K982" t="str">
            <v>Office Supplies</v>
          </cell>
          <cell r="L982" t="str">
            <v>Wrap Bag</v>
          </cell>
          <cell r="M982" t="str">
            <v>Regular Air</v>
          </cell>
          <cell r="N982">
            <v>42690</v>
          </cell>
          <cell r="O982">
            <v>2.29</v>
          </cell>
          <cell r="P982">
            <v>3.58</v>
          </cell>
          <cell r="Q982">
            <v>32</v>
          </cell>
          <cell r="R982">
            <v>114.56</v>
          </cell>
          <cell r="S982">
            <v>0.09</v>
          </cell>
          <cell r="T982">
            <v>10.3104</v>
          </cell>
          <cell r="U982">
            <v>114.47</v>
          </cell>
          <cell r="V982">
            <v>1.63</v>
          </cell>
          <cell r="W982">
            <v>116.1</v>
          </cell>
        </row>
        <row r="983">
          <cell r="A983" t="str">
            <v>6495-1</v>
          </cell>
          <cell r="B983">
            <v>42691</v>
          </cell>
          <cell r="C983" t="str">
            <v>Michael Paige</v>
          </cell>
          <cell r="D983" t="str">
            <v>506 Swan Street,Richmond</v>
          </cell>
          <cell r="E983" t="str">
            <v>Melbourne</v>
          </cell>
          <cell r="F983" t="str">
            <v>VIC</v>
          </cell>
          <cell r="G983" t="str">
            <v>Small Business</v>
          </cell>
          <cell r="H983" t="str">
            <v>Connor Betts</v>
          </cell>
          <cell r="I983" t="str">
            <v>High</v>
          </cell>
          <cell r="J983" t="str">
            <v>Artisan Legal 4-Ring Binder</v>
          </cell>
          <cell r="K983" t="str">
            <v>Office Supplies</v>
          </cell>
          <cell r="L983" t="str">
            <v>Small Box</v>
          </cell>
          <cell r="M983" t="str">
            <v>Regular Air</v>
          </cell>
          <cell r="N983">
            <v>42693</v>
          </cell>
          <cell r="O983">
            <v>13.64</v>
          </cell>
          <cell r="P983">
            <v>20.98</v>
          </cell>
          <cell r="Q983">
            <v>42</v>
          </cell>
          <cell r="R983">
            <v>881.16</v>
          </cell>
          <cell r="S983">
            <v>0.1</v>
          </cell>
          <cell r="T983">
            <v>88.116</v>
          </cell>
          <cell r="U983">
            <v>881.06</v>
          </cell>
          <cell r="V983">
            <v>1.49</v>
          </cell>
          <cell r="W983">
            <v>882.55</v>
          </cell>
        </row>
        <row r="984">
          <cell r="A984" t="str">
            <v>6496-1</v>
          </cell>
          <cell r="B984">
            <v>42691</v>
          </cell>
          <cell r="C984" t="str">
            <v>Saphhira Shifley</v>
          </cell>
          <cell r="D984" t="str">
            <v>Westfield Miranda, 600 Kingsway,Miranda</v>
          </cell>
          <cell r="E984" t="str">
            <v>Sydney</v>
          </cell>
          <cell r="F984" t="str">
            <v>NSW</v>
          </cell>
          <cell r="G984" t="str">
            <v>Corporate</v>
          </cell>
          <cell r="H984" t="str">
            <v>Preston Senome</v>
          </cell>
          <cell r="I984" t="str">
            <v>Medium</v>
          </cell>
          <cell r="J984" t="str">
            <v>Brown Kraft Recycled Envelopes</v>
          </cell>
          <cell r="K984" t="str">
            <v>Office Supplies</v>
          </cell>
          <cell r="L984" t="str">
            <v>Small Box</v>
          </cell>
          <cell r="M984" t="str">
            <v>Regular Air</v>
          </cell>
          <cell r="N984">
            <v>42693</v>
          </cell>
          <cell r="O984">
            <v>11.04</v>
          </cell>
          <cell r="P984">
            <v>16.98</v>
          </cell>
          <cell r="Q984">
            <v>46</v>
          </cell>
          <cell r="R984">
            <v>781.08</v>
          </cell>
          <cell r="S984">
            <v>0.09</v>
          </cell>
          <cell r="T984">
            <v>70.297200000000004</v>
          </cell>
          <cell r="U984">
            <v>780.99</v>
          </cell>
          <cell r="V984">
            <v>12.39</v>
          </cell>
          <cell r="W984">
            <v>793.38</v>
          </cell>
        </row>
        <row r="985">
          <cell r="A985" t="str">
            <v>6497-1</v>
          </cell>
          <cell r="B985">
            <v>42694</v>
          </cell>
          <cell r="C985" t="str">
            <v>Tony Sayre</v>
          </cell>
          <cell r="D985" t="str">
            <v>499-501 Lygon Street,Carlton North</v>
          </cell>
          <cell r="E985" t="str">
            <v>Melbourne</v>
          </cell>
          <cell r="F985" t="str">
            <v>VIC</v>
          </cell>
          <cell r="G985" t="str">
            <v>Home Office</v>
          </cell>
          <cell r="H985" t="str">
            <v>Yvette Biti</v>
          </cell>
          <cell r="I985" t="str">
            <v>Critical</v>
          </cell>
          <cell r="J985" t="str">
            <v>Artisan Hi-Liter Comfort Grip Fluorescent Highlighter, Yellow Ink</v>
          </cell>
          <cell r="K985" t="str">
            <v>Office Supplies</v>
          </cell>
          <cell r="L985" t="str">
            <v>Wrap Bag</v>
          </cell>
          <cell r="M985" t="str">
            <v>Regular Air</v>
          </cell>
          <cell r="N985">
            <v>42695</v>
          </cell>
          <cell r="O985">
            <v>1.05</v>
          </cell>
          <cell r="P985">
            <v>1.95</v>
          </cell>
          <cell r="Q985">
            <v>20</v>
          </cell>
          <cell r="R985">
            <v>39</v>
          </cell>
          <cell r="S985">
            <v>0.06</v>
          </cell>
          <cell r="T985">
            <v>2.34</v>
          </cell>
          <cell r="U985">
            <v>38.94</v>
          </cell>
          <cell r="V985">
            <v>1.63</v>
          </cell>
          <cell r="W985">
            <v>40.57</v>
          </cell>
        </row>
        <row r="986">
          <cell r="A986" t="str">
            <v>6498-1</v>
          </cell>
          <cell r="B986">
            <v>42696</v>
          </cell>
          <cell r="C986" t="str">
            <v>Becky Pak</v>
          </cell>
          <cell r="D986" t="str">
            <v>79 Elliott St,Balmain</v>
          </cell>
          <cell r="E986" t="str">
            <v>Sydney</v>
          </cell>
          <cell r="F986" t="str">
            <v>NSW</v>
          </cell>
          <cell r="G986" t="str">
            <v>Corporate</v>
          </cell>
          <cell r="H986" t="str">
            <v>Aanya Zhang</v>
          </cell>
          <cell r="I986" t="str">
            <v>Low</v>
          </cell>
          <cell r="J986" t="str">
            <v>Smiths Standard Envelopes</v>
          </cell>
          <cell r="K986" t="str">
            <v>Office Supplies</v>
          </cell>
          <cell r="L986" t="str">
            <v>Small Box</v>
          </cell>
          <cell r="M986" t="str">
            <v>Regular Air</v>
          </cell>
          <cell r="N986">
            <v>42701</v>
          </cell>
          <cell r="O986">
            <v>3.52</v>
          </cell>
          <cell r="P986">
            <v>5.68</v>
          </cell>
          <cell r="Q986">
            <v>10</v>
          </cell>
          <cell r="R986">
            <v>56.8</v>
          </cell>
          <cell r="S986">
            <v>0.09</v>
          </cell>
          <cell r="T986">
            <v>5.1119999999999992</v>
          </cell>
          <cell r="U986">
            <v>56.709999999999994</v>
          </cell>
          <cell r="V986">
            <v>1.39</v>
          </cell>
          <cell r="W986">
            <v>58.099999999999994</v>
          </cell>
        </row>
        <row r="987">
          <cell r="A987" t="str">
            <v>6499-1</v>
          </cell>
          <cell r="B987">
            <v>42697</v>
          </cell>
          <cell r="C987" t="str">
            <v>Matt Connell</v>
          </cell>
          <cell r="D987" t="str">
            <v>470 Anzac Parade,Kingsford</v>
          </cell>
          <cell r="E987" t="str">
            <v>Sydney</v>
          </cell>
          <cell r="F987" t="str">
            <v>NSW</v>
          </cell>
          <cell r="G987" t="str">
            <v>Corporate</v>
          </cell>
          <cell r="H987" t="str">
            <v>Tina Carlton</v>
          </cell>
          <cell r="I987" t="str">
            <v>Critical</v>
          </cell>
          <cell r="J987" t="str">
            <v>Steady Major Accent Highlighters</v>
          </cell>
          <cell r="K987" t="str">
            <v>Office Supplies</v>
          </cell>
          <cell r="L987" t="str">
            <v>Wrap Bag</v>
          </cell>
          <cell r="M987" t="str">
            <v>Regular Air</v>
          </cell>
          <cell r="N987">
            <v>42699</v>
          </cell>
          <cell r="O987">
            <v>3.75</v>
          </cell>
          <cell r="P987">
            <v>7.08</v>
          </cell>
          <cell r="Q987">
            <v>29</v>
          </cell>
          <cell r="R987">
            <v>205.32</v>
          </cell>
          <cell r="S987">
            <v>7.0000000000000007E-2</v>
          </cell>
          <cell r="T987">
            <v>14.372400000000001</v>
          </cell>
          <cell r="U987">
            <v>205.25</v>
          </cell>
          <cell r="V987">
            <v>2.35</v>
          </cell>
          <cell r="W987">
            <v>207.6</v>
          </cell>
        </row>
        <row r="988">
          <cell r="A988" t="str">
            <v>6500-1</v>
          </cell>
          <cell r="B988">
            <v>42700</v>
          </cell>
          <cell r="C988" t="str">
            <v>Jack OBriant</v>
          </cell>
          <cell r="D988" t="str">
            <v>85-113 Dunning Ave,Rosebery</v>
          </cell>
          <cell r="E988" t="str">
            <v>Sydney</v>
          </cell>
          <cell r="F988" t="str">
            <v>NSW</v>
          </cell>
          <cell r="G988" t="str">
            <v>Small Business</v>
          </cell>
          <cell r="H988" t="str">
            <v>Mihael Khan</v>
          </cell>
          <cell r="I988" t="str">
            <v>Medium</v>
          </cell>
          <cell r="J988" t="str">
            <v>3Max Organizer Strips</v>
          </cell>
          <cell r="K988" t="str">
            <v>Office Supplies</v>
          </cell>
          <cell r="L988" t="str">
            <v>Small Box</v>
          </cell>
          <cell r="M988" t="str">
            <v>Regular Air</v>
          </cell>
          <cell r="N988">
            <v>42702</v>
          </cell>
          <cell r="O988">
            <v>3.4</v>
          </cell>
          <cell r="P988">
            <v>5.4</v>
          </cell>
          <cell r="Q988">
            <v>1</v>
          </cell>
          <cell r="R988">
            <v>5.4</v>
          </cell>
          <cell r="S988">
            <v>0</v>
          </cell>
          <cell r="T988">
            <v>0</v>
          </cell>
          <cell r="U988">
            <v>5.4</v>
          </cell>
          <cell r="V988">
            <v>7.78</v>
          </cell>
          <cell r="W988">
            <v>13.18</v>
          </cell>
        </row>
        <row r="989">
          <cell r="A989" t="str">
            <v>6502-1</v>
          </cell>
          <cell r="B989">
            <v>42700</v>
          </cell>
          <cell r="C989" t="str">
            <v>Laurel Elliston</v>
          </cell>
          <cell r="D989" t="str">
            <v>1 John St,Waterloo</v>
          </cell>
          <cell r="E989" t="str">
            <v>Sydney</v>
          </cell>
          <cell r="F989" t="str">
            <v>NSW</v>
          </cell>
          <cell r="G989" t="str">
            <v>Home Office</v>
          </cell>
          <cell r="H989" t="str">
            <v>Charlie Bui</v>
          </cell>
          <cell r="I989" t="str">
            <v>Medium</v>
          </cell>
          <cell r="J989" t="str">
            <v>Artisan 474 Labels</v>
          </cell>
          <cell r="K989" t="str">
            <v>Office Supplies</v>
          </cell>
          <cell r="L989" t="str">
            <v>Small Box</v>
          </cell>
          <cell r="M989" t="str">
            <v>Regular Air</v>
          </cell>
          <cell r="N989">
            <v>42702</v>
          </cell>
          <cell r="O989">
            <v>1.84</v>
          </cell>
          <cell r="P989">
            <v>2.88</v>
          </cell>
          <cell r="Q989">
            <v>6</v>
          </cell>
          <cell r="R989">
            <v>17.28</v>
          </cell>
          <cell r="S989">
            <v>0.06</v>
          </cell>
          <cell r="T989">
            <v>1.0367999999999999</v>
          </cell>
          <cell r="U989">
            <v>17.220000000000002</v>
          </cell>
          <cell r="V989">
            <v>0.99</v>
          </cell>
          <cell r="W989">
            <v>18.21</v>
          </cell>
        </row>
        <row r="990">
          <cell r="A990" t="str">
            <v>6503-1</v>
          </cell>
          <cell r="B990">
            <v>42700</v>
          </cell>
          <cell r="C990" t="str">
            <v>Erin Ashbrook</v>
          </cell>
          <cell r="D990" t="str">
            <v>61 York St,Sydney</v>
          </cell>
          <cell r="E990" t="str">
            <v>Sydney</v>
          </cell>
          <cell r="F990" t="str">
            <v>NSW</v>
          </cell>
          <cell r="G990" t="str">
            <v>Consumer</v>
          </cell>
          <cell r="H990" t="str">
            <v>Leighton Forrest</v>
          </cell>
          <cell r="I990" t="str">
            <v>Low</v>
          </cell>
          <cell r="J990" t="str">
            <v>Assorted Color Push Pins</v>
          </cell>
          <cell r="K990" t="str">
            <v>Office Supplies</v>
          </cell>
          <cell r="L990" t="str">
            <v>Wrap Bag</v>
          </cell>
          <cell r="M990" t="str">
            <v>Regular Air</v>
          </cell>
          <cell r="N990">
            <v>42704</v>
          </cell>
          <cell r="O990">
            <v>0.87</v>
          </cell>
          <cell r="P990">
            <v>1.81</v>
          </cell>
          <cell r="Q990">
            <v>18</v>
          </cell>
          <cell r="R990">
            <v>32.58</v>
          </cell>
          <cell r="S990">
            <v>0.06</v>
          </cell>
          <cell r="T990">
            <v>1.9547999999999999</v>
          </cell>
          <cell r="U990">
            <v>32.519999999999996</v>
          </cell>
          <cell r="V990">
            <v>0.75</v>
          </cell>
          <cell r="W990">
            <v>33.269999999999996</v>
          </cell>
        </row>
        <row r="991">
          <cell r="A991" t="str">
            <v>6504-1</v>
          </cell>
          <cell r="B991">
            <v>42701</v>
          </cell>
          <cell r="C991" t="str">
            <v>Pauline Chand</v>
          </cell>
          <cell r="D991" t="str">
            <v>501 George St,Sydney</v>
          </cell>
          <cell r="E991" t="str">
            <v>Sydney</v>
          </cell>
          <cell r="F991" t="str">
            <v>NSW</v>
          </cell>
          <cell r="G991" t="str">
            <v>Corporate</v>
          </cell>
          <cell r="H991" t="str">
            <v>Samantha Chairs</v>
          </cell>
          <cell r="I991" t="str">
            <v>Not Specified</v>
          </cell>
          <cell r="J991" t="str">
            <v>300 Series Non-Flip</v>
          </cell>
          <cell r="K991" t="str">
            <v>Technology</v>
          </cell>
          <cell r="L991" t="str">
            <v>Small Box</v>
          </cell>
          <cell r="M991" t="str">
            <v>Regular Air</v>
          </cell>
          <cell r="N991">
            <v>42703</v>
          </cell>
          <cell r="O991">
            <v>62.4</v>
          </cell>
          <cell r="P991">
            <v>155.99</v>
          </cell>
          <cell r="Q991">
            <v>24</v>
          </cell>
          <cell r="R991">
            <v>3743.76</v>
          </cell>
          <cell r="S991">
            <v>0.04</v>
          </cell>
          <cell r="T991">
            <v>149.75040000000001</v>
          </cell>
          <cell r="U991">
            <v>3743.7200000000003</v>
          </cell>
          <cell r="V991">
            <v>8.08</v>
          </cell>
          <cell r="W991">
            <v>3751.8</v>
          </cell>
        </row>
        <row r="992">
          <cell r="A992" t="str">
            <v>6505-1</v>
          </cell>
          <cell r="B992">
            <v>42701</v>
          </cell>
          <cell r="C992" t="str">
            <v>John Murray</v>
          </cell>
          <cell r="D992" t="str">
            <v>Sydney Fish Market, Bank Street, Sydney</v>
          </cell>
          <cell r="E992" t="str">
            <v>Sydney</v>
          </cell>
          <cell r="F992" t="str">
            <v>NSW</v>
          </cell>
          <cell r="G992" t="str">
            <v>Small Business</v>
          </cell>
          <cell r="H992" t="str">
            <v>Phoebe Gour</v>
          </cell>
          <cell r="I992" t="str">
            <v>Low</v>
          </cell>
          <cell r="J992" t="str">
            <v>Cando PC940 Copier</v>
          </cell>
          <cell r="K992" t="str">
            <v>Technology</v>
          </cell>
          <cell r="L992" t="str">
            <v>Jumbo Drum</v>
          </cell>
          <cell r="M992" t="str">
            <v>Delivery Truck</v>
          </cell>
          <cell r="N992">
            <v>42701</v>
          </cell>
          <cell r="O992">
            <v>278.99</v>
          </cell>
          <cell r="P992">
            <v>449.99</v>
          </cell>
          <cell r="Q992">
            <v>18</v>
          </cell>
          <cell r="R992">
            <v>8099.82</v>
          </cell>
          <cell r="S992">
            <v>0.09</v>
          </cell>
          <cell r="T992">
            <v>728.98379999999997</v>
          </cell>
          <cell r="U992">
            <v>8099.73</v>
          </cell>
          <cell r="V992">
            <v>49</v>
          </cell>
          <cell r="W992">
            <v>8148.73</v>
          </cell>
        </row>
        <row r="993">
          <cell r="A993" t="str">
            <v>6506-1</v>
          </cell>
          <cell r="B993">
            <v>42702</v>
          </cell>
          <cell r="C993" t="str">
            <v>Matthew Grinstein</v>
          </cell>
          <cell r="D993" t="str">
            <v>105 Pitt St,Sydney</v>
          </cell>
          <cell r="E993" t="str">
            <v>Sydney</v>
          </cell>
          <cell r="F993" t="str">
            <v>NSW</v>
          </cell>
          <cell r="G993" t="str">
            <v>Small Business</v>
          </cell>
          <cell r="H993" t="str">
            <v>Charlie Bui</v>
          </cell>
          <cell r="I993" t="str">
            <v>Critical</v>
          </cell>
          <cell r="J993" t="str">
            <v>Artisan 481 Labels</v>
          </cell>
          <cell r="K993" t="str">
            <v>Office Supplies</v>
          </cell>
          <cell r="L993" t="str">
            <v>Small Box</v>
          </cell>
          <cell r="M993" t="str">
            <v>Regular Air</v>
          </cell>
          <cell r="N993">
            <v>42703</v>
          </cell>
          <cell r="O993">
            <v>1.94</v>
          </cell>
          <cell r="P993">
            <v>3.08</v>
          </cell>
          <cell r="Q993">
            <v>18</v>
          </cell>
          <cell r="R993">
            <v>55.44</v>
          </cell>
          <cell r="S993">
            <v>0.02</v>
          </cell>
          <cell r="T993">
            <v>1.1088</v>
          </cell>
          <cell r="U993">
            <v>55.419999999999995</v>
          </cell>
          <cell r="V993">
            <v>0.99</v>
          </cell>
          <cell r="W993">
            <v>56.41</v>
          </cell>
        </row>
        <row r="994">
          <cell r="A994" t="str">
            <v>6507-1</v>
          </cell>
          <cell r="B994">
            <v>42703</v>
          </cell>
          <cell r="C994" t="str">
            <v>Grant Carroll</v>
          </cell>
          <cell r="D994" t="str">
            <v>10 O'Connell St,Sydney</v>
          </cell>
          <cell r="E994" t="str">
            <v>Sydney</v>
          </cell>
          <cell r="F994" t="str">
            <v>NSW</v>
          </cell>
          <cell r="G994" t="str">
            <v>Small Business</v>
          </cell>
          <cell r="H994" t="str">
            <v>Aanya Zhang</v>
          </cell>
          <cell r="I994" t="str">
            <v>Not Specified</v>
          </cell>
          <cell r="J994" t="str">
            <v>Col-Erase Pencils with Erasers</v>
          </cell>
          <cell r="K994" t="str">
            <v>Office Supplies</v>
          </cell>
          <cell r="L994" t="str">
            <v>Wrap Bag</v>
          </cell>
          <cell r="M994" t="str">
            <v>Regular Air</v>
          </cell>
          <cell r="N994">
            <v>42704</v>
          </cell>
          <cell r="O994">
            <v>2.68</v>
          </cell>
          <cell r="P994">
            <v>6.08</v>
          </cell>
          <cell r="Q994">
            <v>49</v>
          </cell>
          <cell r="R994">
            <v>297.92</v>
          </cell>
          <cell r="S994">
            <v>0.08</v>
          </cell>
          <cell r="T994">
            <v>23.833600000000001</v>
          </cell>
          <cell r="U994">
            <v>297.84000000000003</v>
          </cell>
          <cell r="V994">
            <v>1.17</v>
          </cell>
          <cell r="W994">
            <v>299.01000000000005</v>
          </cell>
        </row>
        <row r="995">
          <cell r="A995" t="str">
            <v>6509-1</v>
          </cell>
          <cell r="B995">
            <v>42705</v>
          </cell>
          <cell r="C995" t="str">
            <v>Steve Nguyen</v>
          </cell>
          <cell r="D995" t="str">
            <v>61 York St,Sydney</v>
          </cell>
          <cell r="E995" t="str">
            <v>Sydney</v>
          </cell>
          <cell r="F995" t="str">
            <v>NSW</v>
          </cell>
          <cell r="G995" t="str">
            <v>Consumer</v>
          </cell>
          <cell r="H995" t="str">
            <v>Leighton Forrest</v>
          </cell>
          <cell r="I995" t="str">
            <v>High</v>
          </cell>
          <cell r="J995" t="str">
            <v>UGen Ultra Cordless Optical Suite</v>
          </cell>
          <cell r="K995" t="str">
            <v>Technology</v>
          </cell>
          <cell r="L995" t="str">
            <v>Small Box</v>
          </cell>
          <cell r="M995" t="str">
            <v>Regular Air</v>
          </cell>
          <cell r="N995">
            <v>42706</v>
          </cell>
          <cell r="O995">
            <v>54.52</v>
          </cell>
          <cell r="P995">
            <v>100.97</v>
          </cell>
          <cell r="Q995">
            <v>42</v>
          </cell>
          <cell r="R995">
            <v>4240.74</v>
          </cell>
          <cell r="S995">
            <v>0.1</v>
          </cell>
          <cell r="T995">
            <v>424.07400000000001</v>
          </cell>
          <cell r="U995">
            <v>4240.6399999999994</v>
          </cell>
          <cell r="V995">
            <v>7.18</v>
          </cell>
          <cell r="W995">
            <v>4247.82</v>
          </cell>
        </row>
        <row r="996">
          <cell r="A996" t="str">
            <v>6510-1</v>
          </cell>
          <cell r="B996">
            <v>42707</v>
          </cell>
          <cell r="C996" t="str">
            <v>Anthony Rawles</v>
          </cell>
          <cell r="D996" t="str">
            <v>Shop 1, 186-190 Church Street,Parramatta;46a Macleay Street,Potts Point</v>
          </cell>
          <cell r="E996" t="str">
            <v>Sydney</v>
          </cell>
          <cell r="F996" t="str">
            <v>NSW</v>
          </cell>
          <cell r="G996" t="str">
            <v>Small Business</v>
          </cell>
          <cell r="H996" t="str">
            <v>Mihael Khan</v>
          </cell>
          <cell r="I996" t="str">
            <v>Medium</v>
          </cell>
          <cell r="J996" t="str">
            <v>Artisan Durable Binders</v>
          </cell>
          <cell r="K996" t="str">
            <v>Office Supplies</v>
          </cell>
          <cell r="L996" t="str">
            <v>Small Box</v>
          </cell>
          <cell r="M996" t="str">
            <v>Regular Air</v>
          </cell>
          <cell r="N996">
            <v>42709</v>
          </cell>
          <cell r="O996">
            <v>1.84</v>
          </cell>
          <cell r="P996">
            <v>2.88</v>
          </cell>
          <cell r="Q996">
            <v>40</v>
          </cell>
          <cell r="R996">
            <v>115.19999999999999</v>
          </cell>
          <cell r="S996">
            <v>0</v>
          </cell>
          <cell r="T996">
            <v>0</v>
          </cell>
          <cell r="U996">
            <v>115.19999999999999</v>
          </cell>
          <cell r="V996">
            <v>1.49</v>
          </cell>
          <cell r="W996">
            <v>116.68999999999998</v>
          </cell>
        </row>
        <row r="997">
          <cell r="A997" t="str">
            <v>6511-1</v>
          </cell>
          <cell r="B997">
            <v>42708</v>
          </cell>
          <cell r="C997" t="str">
            <v>Jennifer Jackson</v>
          </cell>
          <cell r="D997" t="str">
            <v>Crown Complex,Southbank</v>
          </cell>
          <cell r="E997" t="str">
            <v>Melbourne</v>
          </cell>
          <cell r="F997" t="str">
            <v>VIC</v>
          </cell>
          <cell r="G997" t="str">
            <v>Home Office</v>
          </cell>
          <cell r="H997" t="str">
            <v>Connor Betts</v>
          </cell>
          <cell r="I997" t="str">
            <v>High</v>
          </cell>
          <cell r="J997" t="str">
            <v>Beekin 105-Key Black Keyboard</v>
          </cell>
          <cell r="K997" t="str">
            <v>Technology</v>
          </cell>
          <cell r="L997" t="str">
            <v>Small Box</v>
          </cell>
          <cell r="M997" t="str">
            <v>Regular Air</v>
          </cell>
          <cell r="N997">
            <v>42709</v>
          </cell>
          <cell r="O997">
            <v>6.39</v>
          </cell>
          <cell r="P997">
            <v>19.98</v>
          </cell>
          <cell r="Q997">
            <v>29</v>
          </cell>
          <cell r="R997">
            <v>579.41999999999996</v>
          </cell>
          <cell r="S997">
            <v>0.06</v>
          </cell>
          <cell r="T997">
            <v>34.765199999999993</v>
          </cell>
          <cell r="U997">
            <v>579.36</v>
          </cell>
          <cell r="V997">
            <v>4</v>
          </cell>
          <cell r="W997">
            <v>583.36</v>
          </cell>
        </row>
        <row r="998">
          <cell r="A998" t="str">
            <v>6512-1</v>
          </cell>
          <cell r="B998">
            <v>42709</v>
          </cell>
          <cell r="C998" t="str">
            <v>Frank Atkinson</v>
          </cell>
          <cell r="D998" t="str">
            <v>188 Pitt Street,Sydney</v>
          </cell>
          <cell r="E998" t="str">
            <v>Sydney</v>
          </cell>
          <cell r="F998" t="str">
            <v>NSW</v>
          </cell>
          <cell r="G998" t="str">
            <v>Corporate</v>
          </cell>
          <cell r="H998" t="str">
            <v>Tina Carlton</v>
          </cell>
          <cell r="I998" t="str">
            <v>High</v>
          </cell>
          <cell r="J998" t="str">
            <v>Barrel Sharpener</v>
          </cell>
          <cell r="K998" t="str">
            <v>Office Supplies</v>
          </cell>
          <cell r="L998" t="str">
            <v>Small Pack</v>
          </cell>
          <cell r="M998" t="str">
            <v>Express Air</v>
          </cell>
          <cell r="N998">
            <v>42711</v>
          </cell>
          <cell r="O998">
            <v>1.46</v>
          </cell>
          <cell r="P998">
            <v>3.57</v>
          </cell>
          <cell r="Q998">
            <v>10</v>
          </cell>
          <cell r="R998">
            <v>35.699999999999996</v>
          </cell>
          <cell r="S998">
            <v>0.01</v>
          </cell>
          <cell r="T998">
            <v>0.35699999999999998</v>
          </cell>
          <cell r="U998">
            <v>35.69</v>
          </cell>
          <cell r="V998">
            <v>4.17</v>
          </cell>
          <cell r="W998">
            <v>39.86</v>
          </cell>
        </row>
        <row r="999">
          <cell r="A999" t="str">
            <v>6514-1</v>
          </cell>
          <cell r="B999">
            <v>42710</v>
          </cell>
          <cell r="C999" t="str">
            <v>Ben Peterman</v>
          </cell>
          <cell r="D999" t="str">
            <v>485 Crown St,Surry Hills</v>
          </cell>
          <cell r="E999" t="str">
            <v>Sydney</v>
          </cell>
          <cell r="F999" t="str">
            <v>NSW</v>
          </cell>
          <cell r="G999" t="str">
            <v>Corporate</v>
          </cell>
          <cell r="H999" t="str">
            <v>Leighton Forrest</v>
          </cell>
          <cell r="I999" t="str">
            <v>Low</v>
          </cell>
          <cell r="J999" t="str">
            <v>Adesso Programmable 142-Key Keyboard</v>
          </cell>
          <cell r="K999" t="str">
            <v>Technology</v>
          </cell>
          <cell r="L999" t="str">
            <v>Small Box</v>
          </cell>
          <cell r="M999" t="str">
            <v>Regular Air</v>
          </cell>
          <cell r="N999">
            <v>42712</v>
          </cell>
          <cell r="O999">
            <v>32.020000000000003</v>
          </cell>
          <cell r="P999">
            <v>152.47999999999999</v>
          </cell>
          <cell r="Q999">
            <v>46</v>
          </cell>
          <cell r="R999">
            <v>7014.08</v>
          </cell>
          <cell r="S999">
            <v>0.01</v>
          </cell>
          <cell r="T999">
            <v>70.140799999999999</v>
          </cell>
          <cell r="U999">
            <v>7014.07</v>
          </cell>
          <cell r="V999">
            <v>4</v>
          </cell>
          <cell r="W999">
            <v>7018.07</v>
          </cell>
        </row>
        <row r="1000">
          <cell r="A1000" t="str">
            <v>6517-1</v>
          </cell>
          <cell r="B1000">
            <v>42712</v>
          </cell>
          <cell r="C1000" t="str">
            <v>Amy Hunt</v>
          </cell>
          <cell r="D1000" t="str">
            <v>60 Commercial Rd,Prahran</v>
          </cell>
          <cell r="E1000" t="str">
            <v>Melbourne</v>
          </cell>
          <cell r="F1000" t="str">
            <v>VIC</v>
          </cell>
          <cell r="G1000" t="str">
            <v>Small Business</v>
          </cell>
          <cell r="H1000" t="str">
            <v>Yvette Biti</v>
          </cell>
          <cell r="I1000" t="str">
            <v>High</v>
          </cell>
          <cell r="J1000" t="str">
            <v>Multi-Use Personal File Cart and Caster Set, Three Stacking Bins</v>
          </cell>
          <cell r="K1000" t="str">
            <v>Office Supplies</v>
          </cell>
          <cell r="L1000" t="str">
            <v>Small Box</v>
          </cell>
          <cell r="M1000" t="str">
            <v>Regular Air</v>
          </cell>
          <cell r="N1000">
            <v>42714</v>
          </cell>
          <cell r="O1000">
            <v>14.95</v>
          </cell>
          <cell r="P1000">
            <v>34.76</v>
          </cell>
          <cell r="Q1000">
            <v>10</v>
          </cell>
          <cell r="R1000">
            <v>347.59999999999997</v>
          </cell>
          <cell r="S1000">
            <v>0.06</v>
          </cell>
          <cell r="T1000">
            <v>20.855999999999998</v>
          </cell>
          <cell r="U1000">
            <v>347.53999999999996</v>
          </cell>
          <cell r="V1000">
            <v>8.2200000000000006</v>
          </cell>
          <cell r="W1000">
            <v>355.76</v>
          </cell>
        </row>
        <row r="1001">
          <cell r="A1001" t="str">
            <v>6521-1</v>
          </cell>
          <cell r="B1001">
            <v>42713</v>
          </cell>
          <cell r="C1001" t="str">
            <v>Guy Armstrong</v>
          </cell>
          <cell r="D1001" t="str">
            <v>6 Mary St,Newtown</v>
          </cell>
          <cell r="E1001" t="str">
            <v>Sydney</v>
          </cell>
          <cell r="F1001" t="str">
            <v>NSW</v>
          </cell>
          <cell r="G1001" t="str">
            <v>Corporate</v>
          </cell>
          <cell r="H1001" t="str">
            <v>Samantha Chairs</v>
          </cell>
          <cell r="I1001" t="str">
            <v>High</v>
          </cell>
          <cell r="J1001" t="str">
            <v>12 Colored Short Pencils</v>
          </cell>
          <cell r="K1001" t="str">
            <v>Office Supplies</v>
          </cell>
          <cell r="L1001" t="str">
            <v>Wrap Bag</v>
          </cell>
          <cell r="M1001" t="str">
            <v>Regular Air</v>
          </cell>
          <cell r="N1001">
            <v>42714</v>
          </cell>
          <cell r="O1001">
            <v>1.0900000000000001</v>
          </cell>
          <cell r="P1001">
            <v>2.6</v>
          </cell>
          <cell r="Q1001">
            <v>8</v>
          </cell>
          <cell r="R1001">
            <v>20.8</v>
          </cell>
          <cell r="S1001">
            <v>0.02</v>
          </cell>
          <cell r="T1001">
            <v>0.41600000000000004</v>
          </cell>
          <cell r="U1001">
            <v>20.78</v>
          </cell>
          <cell r="V1001">
            <v>2.4</v>
          </cell>
          <cell r="W1001">
            <v>23.18</v>
          </cell>
        </row>
        <row r="1002">
          <cell r="A1002" t="str">
            <v>6523-1</v>
          </cell>
          <cell r="B1002">
            <v>42714</v>
          </cell>
          <cell r="C1002" t="str">
            <v>Cindy Chapman</v>
          </cell>
          <cell r="D1002" t="str">
            <v>53-55 Liverpool St,Sydney</v>
          </cell>
          <cell r="E1002" t="str">
            <v>Sydney</v>
          </cell>
          <cell r="F1002" t="str">
            <v>NSW</v>
          </cell>
          <cell r="G1002" t="str">
            <v>Corporate</v>
          </cell>
          <cell r="H1002" t="str">
            <v>Tina Carlton</v>
          </cell>
          <cell r="I1002" t="str">
            <v>Critical</v>
          </cell>
          <cell r="J1002" t="str">
            <v>Bagged Rubber Bands</v>
          </cell>
          <cell r="K1002" t="str">
            <v>Office Supplies</v>
          </cell>
          <cell r="L1002" t="str">
            <v>Wrap Bag</v>
          </cell>
          <cell r="M1002" t="str">
            <v>Regular Air</v>
          </cell>
          <cell r="N1002">
            <v>42716</v>
          </cell>
          <cell r="O1002">
            <v>0.24</v>
          </cell>
          <cell r="P1002">
            <v>1.26</v>
          </cell>
          <cell r="Q1002">
            <v>37</v>
          </cell>
          <cell r="R1002">
            <v>46.62</v>
          </cell>
          <cell r="S1002">
            <v>0.03</v>
          </cell>
          <cell r="T1002">
            <v>1.3985999999999998</v>
          </cell>
          <cell r="U1002">
            <v>46.589999999999996</v>
          </cell>
          <cell r="V1002">
            <v>0.7</v>
          </cell>
          <cell r="W1002">
            <v>47.29</v>
          </cell>
        </row>
        <row r="1003">
          <cell r="A1003" t="str">
            <v>6525-1</v>
          </cell>
          <cell r="B1003">
            <v>42714</v>
          </cell>
          <cell r="C1003" t="str">
            <v>Ken Lonsdale</v>
          </cell>
          <cell r="D1003" t="str">
            <v>99 Lygon Street,East Brunswick</v>
          </cell>
          <cell r="E1003" t="str">
            <v>Melbourne</v>
          </cell>
          <cell r="F1003" t="str">
            <v>VIC</v>
          </cell>
          <cell r="G1003" t="str">
            <v>Consumer</v>
          </cell>
          <cell r="H1003" t="str">
            <v>Connor Betts</v>
          </cell>
          <cell r="I1003" t="str">
            <v>Low</v>
          </cell>
          <cell r="J1003" t="str">
            <v>DrawIt Pizazz Watercolor Pencils, 10-Color Set with Brush</v>
          </cell>
          <cell r="K1003" t="str">
            <v>Office Supplies</v>
          </cell>
          <cell r="L1003" t="str">
            <v>Wrap Bag</v>
          </cell>
          <cell r="M1003" t="str">
            <v>Regular Air</v>
          </cell>
          <cell r="N1003">
            <v>42718</v>
          </cell>
          <cell r="O1003">
            <v>2.39</v>
          </cell>
          <cell r="P1003">
            <v>4.26</v>
          </cell>
          <cell r="Q1003">
            <v>44</v>
          </cell>
          <cell r="R1003">
            <v>187.44</v>
          </cell>
          <cell r="S1003">
            <v>0.01</v>
          </cell>
          <cell r="T1003">
            <v>1.8744000000000001</v>
          </cell>
          <cell r="U1003">
            <v>187.43</v>
          </cell>
          <cell r="V1003">
            <v>1.2</v>
          </cell>
          <cell r="W1003">
            <v>188.63</v>
          </cell>
        </row>
        <row r="1004">
          <cell r="A1004" t="str">
            <v>6527-1</v>
          </cell>
          <cell r="B1004">
            <v>42714</v>
          </cell>
          <cell r="C1004" t="str">
            <v>Gary Hwang</v>
          </cell>
          <cell r="D1004" t="str">
            <v>60 York St,Sydney</v>
          </cell>
          <cell r="E1004" t="str">
            <v>Sydney</v>
          </cell>
          <cell r="F1004" t="str">
            <v>NSW</v>
          </cell>
          <cell r="G1004" t="str">
            <v>Home Office</v>
          </cell>
          <cell r="H1004" t="str">
            <v>Charlie Bui</v>
          </cell>
          <cell r="I1004" t="str">
            <v>Not Specified</v>
          </cell>
          <cell r="J1004" t="str">
            <v>Office Shears by Apex</v>
          </cell>
          <cell r="K1004" t="str">
            <v>Office Supplies</v>
          </cell>
          <cell r="L1004" t="str">
            <v>Small Pack</v>
          </cell>
          <cell r="M1004" t="str">
            <v>Regular Air</v>
          </cell>
          <cell r="N1004">
            <v>42716</v>
          </cell>
          <cell r="O1004">
            <v>0.94</v>
          </cell>
          <cell r="P1004">
            <v>2.08</v>
          </cell>
          <cell r="Q1004">
            <v>36</v>
          </cell>
          <cell r="R1004">
            <v>74.88</v>
          </cell>
          <cell r="S1004">
            <v>0.1</v>
          </cell>
          <cell r="T1004">
            <v>7.4879999999999995</v>
          </cell>
          <cell r="U1004">
            <v>74.78</v>
          </cell>
          <cell r="V1004">
            <v>2.56</v>
          </cell>
          <cell r="W1004">
            <v>77.34</v>
          </cell>
        </row>
        <row r="1005">
          <cell r="A1005" t="str">
            <v>6528-1</v>
          </cell>
          <cell r="B1005">
            <v>42714</v>
          </cell>
          <cell r="C1005" t="str">
            <v>Brad Thomas</v>
          </cell>
          <cell r="D1005" t="str">
            <v>152 Bunnerong Road,Eastgardens</v>
          </cell>
          <cell r="E1005" t="str">
            <v>Sydney</v>
          </cell>
          <cell r="F1005" t="str">
            <v>NSW</v>
          </cell>
          <cell r="G1005" t="str">
            <v>Corporate</v>
          </cell>
          <cell r="H1005" t="str">
            <v>Tina Carlton</v>
          </cell>
          <cell r="I1005" t="str">
            <v>Low</v>
          </cell>
          <cell r="J1005" t="str">
            <v>Smiths Gold Paper Clips</v>
          </cell>
          <cell r="K1005" t="str">
            <v>Office Supplies</v>
          </cell>
          <cell r="L1005" t="str">
            <v>Wrap Bag</v>
          </cell>
          <cell r="M1005" t="str">
            <v>Regular Air</v>
          </cell>
          <cell r="N1005">
            <v>42719</v>
          </cell>
          <cell r="O1005">
            <v>1.82</v>
          </cell>
          <cell r="P1005">
            <v>2.98</v>
          </cell>
          <cell r="Q1005">
            <v>45</v>
          </cell>
          <cell r="R1005">
            <v>134.1</v>
          </cell>
          <cell r="S1005">
            <v>0.05</v>
          </cell>
          <cell r="T1005">
            <v>6.7050000000000001</v>
          </cell>
          <cell r="U1005">
            <v>134.04999999999998</v>
          </cell>
          <cell r="V1005">
            <v>1.58</v>
          </cell>
          <cell r="W1005">
            <v>135.63</v>
          </cell>
        </row>
        <row r="1006">
          <cell r="A1006" t="str">
            <v>6529-1</v>
          </cell>
          <cell r="B1006">
            <v>42718</v>
          </cell>
          <cell r="C1006" t="str">
            <v>Dorris Love</v>
          </cell>
          <cell r="D1006" t="str">
            <v>359 Crown Street,Surry Hills</v>
          </cell>
          <cell r="E1006" t="str">
            <v>Sydney</v>
          </cell>
          <cell r="F1006" t="str">
            <v>NSW</v>
          </cell>
          <cell r="G1006" t="str">
            <v>Home Office</v>
          </cell>
          <cell r="H1006" t="str">
            <v>Phoebe Gour</v>
          </cell>
          <cell r="I1006" t="str">
            <v>High</v>
          </cell>
          <cell r="J1006" t="str">
            <v>Alto Perma 2700 Stacking Storage Drawers</v>
          </cell>
          <cell r="K1006" t="str">
            <v>Office Supplies</v>
          </cell>
          <cell r="L1006" t="str">
            <v>Small Box</v>
          </cell>
          <cell r="M1006" t="str">
            <v>Regular Air</v>
          </cell>
          <cell r="N1006">
            <v>42719</v>
          </cell>
          <cell r="O1006">
            <v>8.92</v>
          </cell>
          <cell r="P1006">
            <v>29.74</v>
          </cell>
          <cell r="Q1006">
            <v>22</v>
          </cell>
          <cell r="R1006">
            <v>654.28</v>
          </cell>
          <cell r="S1006">
            <v>7.0000000000000007E-2</v>
          </cell>
          <cell r="T1006">
            <v>45.799600000000005</v>
          </cell>
          <cell r="U1006">
            <v>654.20999999999992</v>
          </cell>
          <cell r="V1006">
            <v>6.64</v>
          </cell>
          <cell r="W1006">
            <v>660.84999999999991</v>
          </cell>
        </row>
        <row r="1007">
          <cell r="A1007" t="str">
            <v>6530-1</v>
          </cell>
          <cell r="B1007">
            <v>42719</v>
          </cell>
          <cell r="C1007" t="str">
            <v>Monica Federle</v>
          </cell>
          <cell r="D1007" t="str">
            <v>834 Bourke St,Waterloo</v>
          </cell>
          <cell r="E1007" t="str">
            <v>Sydney</v>
          </cell>
          <cell r="F1007" t="str">
            <v>NSW</v>
          </cell>
          <cell r="G1007" t="str">
            <v>Corporate</v>
          </cell>
          <cell r="H1007" t="str">
            <v>Charlie Bui</v>
          </cell>
          <cell r="I1007" t="str">
            <v>Low</v>
          </cell>
          <cell r="J1007" t="str">
            <v>Aluminum Document Frame</v>
          </cell>
          <cell r="K1007" t="str">
            <v>Furniture</v>
          </cell>
          <cell r="L1007" t="str">
            <v>Small Pack</v>
          </cell>
          <cell r="M1007" t="str">
            <v>Express Air</v>
          </cell>
          <cell r="N1007">
            <v>42728</v>
          </cell>
          <cell r="O1007">
            <v>5.5</v>
          </cell>
          <cell r="P1007">
            <v>12.22</v>
          </cell>
          <cell r="Q1007">
            <v>17</v>
          </cell>
          <cell r="R1007">
            <v>207.74</v>
          </cell>
          <cell r="S1007">
            <v>0.01</v>
          </cell>
          <cell r="T1007">
            <v>2.0773999999999999</v>
          </cell>
          <cell r="U1007">
            <v>207.73000000000002</v>
          </cell>
          <cell r="V1007">
            <v>2.85</v>
          </cell>
          <cell r="W1007">
            <v>210.58</v>
          </cell>
        </row>
        <row r="1008">
          <cell r="A1008" t="str">
            <v>6531-1</v>
          </cell>
          <cell r="B1008">
            <v>42721</v>
          </cell>
          <cell r="C1008" t="str">
            <v>Theresa Coyne</v>
          </cell>
          <cell r="D1008" t="str">
            <v>Hoyts Entertainment Quarter 122 Lang Road,Moore Park</v>
          </cell>
          <cell r="E1008" t="str">
            <v>Sydney</v>
          </cell>
          <cell r="F1008" t="str">
            <v>NSW</v>
          </cell>
          <cell r="G1008" t="str">
            <v>Home Office</v>
          </cell>
          <cell r="H1008" t="str">
            <v>Tina Carlton</v>
          </cell>
          <cell r="I1008" t="str">
            <v>High</v>
          </cell>
          <cell r="J1008" t="str">
            <v>EcoTones Memo Sheets</v>
          </cell>
          <cell r="K1008" t="str">
            <v>Office Supplies</v>
          </cell>
          <cell r="L1008" t="str">
            <v>Wrap Bag</v>
          </cell>
          <cell r="M1008" t="str">
            <v>Regular Air</v>
          </cell>
          <cell r="N1008">
            <v>42723</v>
          </cell>
          <cell r="O1008">
            <v>2.52</v>
          </cell>
          <cell r="P1008">
            <v>4</v>
          </cell>
          <cell r="Q1008">
            <v>28</v>
          </cell>
          <cell r="R1008">
            <v>112</v>
          </cell>
          <cell r="S1008">
            <v>0.04</v>
          </cell>
          <cell r="T1008">
            <v>4.4800000000000004</v>
          </cell>
          <cell r="U1008">
            <v>111.96</v>
          </cell>
          <cell r="V1008">
            <v>1.3</v>
          </cell>
          <cell r="W1008">
            <v>113.25999999999999</v>
          </cell>
        </row>
        <row r="1009">
          <cell r="A1009" t="str">
            <v>6532-1</v>
          </cell>
          <cell r="B1009">
            <v>42722</v>
          </cell>
          <cell r="C1009" t="str">
            <v>Christopher Martinez</v>
          </cell>
          <cell r="D1009" t="str">
            <v>188 Pitt Street,Sydney</v>
          </cell>
          <cell r="E1009" t="str">
            <v>Sydney</v>
          </cell>
          <cell r="F1009" t="str">
            <v>NSW</v>
          </cell>
          <cell r="G1009" t="str">
            <v>Home Office</v>
          </cell>
          <cell r="H1009" t="str">
            <v>Tina Carlton</v>
          </cell>
          <cell r="I1009" t="str">
            <v>Critical</v>
          </cell>
          <cell r="J1009" t="str">
            <v>Apex Box Cutter Scissors</v>
          </cell>
          <cell r="K1009" t="str">
            <v>Office Supplies</v>
          </cell>
          <cell r="L1009" t="str">
            <v>Small Pack</v>
          </cell>
          <cell r="M1009" t="str">
            <v>Regular Air</v>
          </cell>
          <cell r="N1009">
            <v>42723</v>
          </cell>
          <cell r="O1009">
            <v>4.1900000000000004</v>
          </cell>
          <cell r="P1009">
            <v>10.23</v>
          </cell>
          <cell r="Q1009">
            <v>19</v>
          </cell>
          <cell r="R1009">
            <v>194.37</v>
          </cell>
          <cell r="S1009">
            <v>0.05</v>
          </cell>
          <cell r="T1009">
            <v>9.7185000000000006</v>
          </cell>
          <cell r="U1009">
            <v>194.32</v>
          </cell>
          <cell r="V1009">
            <v>4.68</v>
          </cell>
          <cell r="W1009">
            <v>199</v>
          </cell>
        </row>
        <row r="1010">
          <cell r="A1010" t="str">
            <v>6534-1</v>
          </cell>
          <cell r="B1010">
            <v>42723</v>
          </cell>
          <cell r="C1010" t="str">
            <v>Nora Price</v>
          </cell>
          <cell r="D1010" t="str">
            <v>7 Khartoum Rd,Macquarie Park</v>
          </cell>
          <cell r="E1010" t="str">
            <v>Sydney</v>
          </cell>
          <cell r="F1010" t="str">
            <v>NSW</v>
          </cell>
          <cell r="G1010" t="str">
            <v>Home Office</v>
          </cell>
          <cell r="H1010" t="str">
            <v>Preston Senome</v>
          </cell>
          <cell r="I1010" t="str">
            <v>Critical</v>
          </cell>
          <cell r="J1010" t="str">
            <v>Adesso Programmable 142-Key Keyboard</v>
          </cell>
          <cell r="K1010" t="str">
            <v>Technology</v>
          </cell>
          <cell r="L1010" t="str">
            <v>Small Box</v>
          </cell>
          <cell r="M1010" t="str">
            <v>Regular Air</v>
          </cell>
          <cell r="N1010">
            <v>42725</v>
          </cell>
          <cell r="O1010">
            <v>32.020000000000003</v>
          </cell>
          <cell r="P1010">
            <v>152.47999999999999</v>
          </cell>
          <cell r="Q1010">
            <v>12</v>
          </cell>
          <cell r="R1010">
            <v>1829.7599999999998</v>
          </cell>
          <cell r="S1010">
            <v>7.0000000000000007E-2</v>
          </cell>
          <cell r="T1010">
            <v>128.08320000000001</v>
          </cell>
          <cell r="U1010">
            <v>1829.6899999999998</v>
          </cell>
          <cell r="V1010">
            <v>4</v>
          </cell>
          <cell r="W1010">
            <v>1833.6899999999998</v>
          </cell>
        </row>
        <row r="1011">
          <cell r="A1011" t="str">
            <v>6535-1</v>
          </cell>
          <cell r="B1011">
            <v>42725</v>
          </cell>
          <cell r="C1011" t="str">
            <v>Benjamin Farhat</v>
          </cell>
          <cell r="D1011" t="str">
            <v>188 Pitt Street,Sydney</v>
          </cell>
          <cell r="E1011" t="str">
            <v>Sydney</v>
          </cell>
          <cell r="F1011" t="str">
            <v>NSW</v>
          </cell>
          <cell r="G1011" t="str">
            <v>Home Office</v>
          </cell>
          <cell r="H1011" t="str">
            <v>Tina Carlton</v>
          </cell>
          <cell r="I1011" t="str">
            <v>Critical</v>
          </cell>
          <cell r="J1011" t="str">
            <v>Office Shears by Apex</v>
          </cell>
          <cell r="K1011" t="str">
            <v>Office Supplies</v>
          </cell>
          <cell r="L1011" t="str">
            <v>Small Pack</v>
          </cell>
          <cell r="M1011" t="str">
            <v>Regular Air</v>
          </cell>
          <cell r="N1011">
            <v>42726</v>
          </cell>
          <cell r="O1011">
            <v>0.94</v>
          </cell>
          <cell r="P1011">
            <v>2.08</v>
          </cell>
          <cell r="Q1011">
            <v>49</v>
          </cell>
          <cell r="R1011">
            <v>101.92</v>
          </cell>
          <cell r="S1011">
            <v>7.0000000000000007E-2</v>
          </cell>
          <cell r="T1011">
            <v>7.1344000000000012</v>
          </cell>
          <cell r="U1011">
            <v>101.85000000000001</v>
          </cell>
          <cell r="V1011">
            <v>2.56</v>
          </cell>
          <cell r="W1011">
            <v>104.41000000000001</v>
          </cell>
        </row>
        <row r="1012">
          <cell r="A1012" t="str">
            <v>6536-1</v>
          </cell>
          <cell r="B1012">
            <v>42726</v>
          </cell>
          <cell r="C1012" t="str">
            <v>Giulietta Weimer</v>
          </cell>
          <cell r="D1012" t="str">
            <v>48 Albion St,Surry Hills</v>
          </cell>
          <cell r="E1012" t="str">
            <v>Sydney</v>
          </cell>
          <cell r="F1012" t="str">
            <v>NSW</v>
          </cell>
          <cell r="G1012" t="str">
            <v>Home Office</v>
          </cell>
          <cell r="H1012" t="str">
            <v>Natasha Song</v>
          </cell>
          <cell r="I1012" t="str">
            <v>Critical</v>
          </cell>
          <cell r="J1012" t="str">
            <v>Smiths General Use 3-Ring Binders</v>
          </cell>
          <cell r="K1012" t="str">
            <v>Office Supplies</v>
          </cell>
          <cell r="L1012" t="str">
            <v>Small Box</v>
          </cell>
          <cell r="M1012" t="str">
            <v>Regular Air</v>
          </cell>
          <cell r="N1012">
            <v>42727</v>
          </cell>
          <cell r="O1012">
            <v>1.18</v>
          </cell>
          <cell r="P1012">
            <v>1.88</v>
          </cell>
          <cell r="Q1012">
            <v>19</v>
          </cell>
          <cell r="R1012">
            <v>35.72</v>
          </cell>
          <cell r="S1012">
            <v>0.06</v>
          </cell>
          <cell r="T1012">
            <v>2.1431999999999998</v>
          </cell>
          <cell r="U1012">
            <v>35.659999999999997</v>
          </cell>
          <cell r="V1012">
            <v>1.49</v>
          </cell>
          <cell r="W1012">
            <v>37.15</v>
          </cell>
        </row>
        <row r="1013">
          <cell r="A1013" t="str">
            <v>6538-1</v>
          </cell>
          <cell r="B1013">
            <v>42728</v>
          </cell>
          <cell r="C1013" t="str">
            <v>Lisa Hazard</v>
          </cell>
          <cell r="D1013" t="str">
            <v>Cnr Williams Road &amp; Lechlade Ave,South Yarra</v>
          </cell>
          <cell r="E1013" t="str">
            <v>Melbourne</v>
          </cell>
          <cell r="F1013" t="str">
            <v>VIC</v>
          </cell>
          <cell r="G1013" t="str">
            <v>Home Office</v>
          </cell>
          <cell r="H1013" t="str">
            <v>Yvette Biti</v>
          </cell>
          <cell r="I1013" t="str">
            <v>High</v>
          </cell>
          <cell r="J1013" t="str">
            <v>Artisan Binder Labels</v>
          </cell>
          <cell r="K1013" t="str">
            <v>Office Supplies</v>
          </cell>
          <cell r="L1013" t="str">
            <v>Small Box</v>
          </cell>
          <cell r="M1013" t="str">
            <v>Regular Air</v>
          </cell>
          <cell r="N1013">
            <v>42729</v>
          </cell>
          <cell r="O1013">
            <v>2.4500000000000002</v>
          </cell>
          <cell r="P1013">
            <v>3.89</v>
          </cell>
          <cell r="Q1013">
            <v>3</v>
          </cell>
          <cell r="R1013">
            <v>11.67</v>
          </cell>
          <cell r="S1013">
            <v>0</v>
          </cell>
          <cell r="T1013">
            <v>0</v>
          </cell>
          <cell r="U1013">
            <v>11.67</v>
          </cell>
          <cell r="V1013">
            <v>7.01</v>
          </cell>
          <cell r="W1013">
            <v>18.68</v>
          </cell>
        </row>
        <row r="1014">
          <cell r="A1014" t="str">
            <v>6540-1</v>
          </cell>
          <cell r="B1014">
            <v>42729</v>
          </cell>
          <cell r="C1014" t="str">
            <v>Steve Nguyen</v>
          </cell>
          <cell r="D1014" t="str">
            <v>61 York St,Sydney</v>
          </cell>
          <cell r="E1014" t="str">
            <v>Sydney</v>
          </cell>
          <cell r="F1014" t="str">
            <v>NSW</v>
          </cell>
          <cell r="G1014" t="str">
            <v>Small Business</v>
          </cell>
          <cell r="H1014" t="str">
            <v>Leighton Forrest</v>
          </cell>
          <cell r="I1014" t="str">
            <v>Not Specified</v>
          </cell>
          <cell r="J1014" t="str">
            <v>Ames Color-File Green Diamond Border X-ray Mailers</v>
          </cell>
          <cell r="K1014" t="str">
            <v>Office Supplies</v>
          </cell>
          <cell r="L1014" t="str">
            <v>Small Box</v>
          </cell>
          <cell r="M1014" t="str">
            <v>Regular Air</v>
          </cell>
          <cell r="N1014">
            <v>42730</v>
          </cell>
          <cell r="O1014">
            <v>52.07</v>
          </cell>
          <cell r="P1014">
            <v>83.98</v>
          </cell>
          <cell r="Q1014">
            <v>38</v>
          </cell>
          <cell r="R1014">
            <v>3191.2400000000002</v>
          </cell>
          <cell r="S1014">
            <v>0</v>
          </cell>
          <cell r="T1014">
            <v>0</v>
          </cell>
          <cell r="U1014">
            <v>3191.2400000000002</v>
          </cell>
          <cell r="V1014">
            <v>5.01</v>
          </cell>
          <cell r="W1014">
            <v>3196.2500000000005</v>
          </cell>
        </row>
        <row r="1015">
          <cell r="A1015" t="str">
            <v>6541-1</v>
          </cell>
          <cell r="B1015">
            <v>42732</v>
          </cell>
          <cell r="C1015" t="str">
            <v>Cindy Chapman</v>
          </cell>
          <cell r="D1015" t="str">
            <v>53-55 Liverpool St,Sydney</v>
          </cell>
          <cell r="E1015" t="str">
            <v>Sydney</v>
          </cell>
          <cell r="F1015" t="str">
            <v>NSW</v>
          </cell>
          <cell r="G1015" t="str">
            <v>Consumer</v>
          </cell>
          <cell r="H1015" t="str">
            <v>Tina Carlton</v>
          </cell>
          <cell r="I1015" t="str">
            <v>High</v>
          </cell>
          <cell r="J1015" t="str">
            <v>Artisan Binding System Hidden Tab Executive Style Index Sets</v>
          </cell>
          <cell r="K1015" t="str">
            <v>Office Supplies</v>
          </cell>
          <cell r="L1015" t="str">
            <v>Small Box</v>
          </cell>
          <cell r="M1015" t="str">
            <v>Regular Air</v>
          </cell>
          <cell r="N1015">
            <v>42734</v>
          </cell>
          <cell r="O1015">
            <v>3.75</v>
          </cell>
          <cell r="P1015">
            <v>5.77</v>
          </cell>
          <cell r="Q1015">
            <v>42</v>
          </cell>
          <cell r="R1015">
            <v>242.33999999999997</v>
          </cell>
          <cell r="S1015">
            <v>0</v>
          </cell>
          <cell r="T1015">
            <v>0</v>
          </cell>
          <cell r="U1015">
            <v>242.33999999999997</v>
          </cell>
          <cell r="V1015">
            <v>4.97</v>
          </cell>
          <cell r="W1015">
            <v>247.30999999999997</v>
          </cell>
        </row>
        <row r="1016">
          <cell r="A1016" t="str">
            <v>6542-1</v>
          </cell>
          <cell r="B1016">
            <v>42732</v>
          </cell>
          <cell r="C1016" t="str">
            <v>Tracy Zic</v>
          </cell>
          <cell r="D1016" t="str">
            <v>24 Addison Rd,Marrickville</v>
          </cell>
          <cell r="E1016" t="str">
            <v>Sydney</v>
          </cell>
          <cell r="F1016" t="str">
            <v>NSW</v>
          </cell>
          <cell r="G1016" t="str">
            <v>Consumer</v>
          </cell>
          <cell r="H1016" t="str">
            <v>Radhya Staples</v>
          </cell>
          <cell r="I1016" t="str">
            <v>Medium</v>
          </cell>
          <cell r="J1016" t="str">
            <v>Pizazz Drawing Pencil Set</v>
          </cell>
          <cell r="K1016" t="str">
            <v>Office Supplies</v>
          </cell>
          <cell r="L1016" t="str">
            <v>Wrap Bag</v>
          </cell>
          <cell r="M1016" t="str">
            <v>Regular Air</v>
          </cell>
          <cell r="N1016">
            <v>42733</v>
          </cell>
          <cell r="O1016">
            <v>1.17</v>
          </cell>
          <cell r="P1016">
            <v>2.78</v>
          </cell>
          <cell r="Q1016">
            <v>48</v>
          </cell>
          <cell r="R1016">
            <v>133.44</v>
          </cell>
          <cell r="S1016">
            <v>0.03</v>
          </cell>
          <cell r="T1016">
            <v>4.0031999999999996</v>
          </cell>
          <cell r="U1016">
            <v>133.41</v>
          </cell>
          <cell r="V1016">
            <v>1.2</v>
          </cell>
          <cell r="W1016">
            <v>134.60999999999999</v>
          </cell>
        </row>
        <row r="1017">
          <cell r="A1017" t="str">
            <v>6543-1</v>
          </cell>
          <cell r="B1017">
            <v>42732</v>
          </cell>
          <cell r="C1017" t="str">
            <v>Guy Armstrong</v>
          </cell>
          <cell r="D1017" t="str">
            <v>6 Mary St,Newtown</v>
          </cell>
          <cell r="E1017" t="str">
            <v>Sydney</v>
          </cell>
          <cell r="F1017" t="str">
            <v>NSW</v>
          </cell>
          <cell r="G1017" t="str">
            <v>Corporate</v>
          </cell>
          <cell r="H1017" t="str">
            <v>Samantha Chairs</v>
          </cell>
          <cell r="I1017" t="str">
            <v>Medium</v>
          </cell>
          <cell r="J1017" t="str">
            <v>TechSavi Access Keyboard</v>
          </cell>
          <cell r="K1017" t="str">
            <v>Technology</v>
          </cell>
          <cell r="L1017" t="str">
            <v>Small Box</v>
          </cell>
          <cell r="M1017" t="str">
            <v>Regular Air</v>
          </cell>
          <cell r="N1017">
            <v>42733</v>
          </cell>
          <cell r="O1017">
            <v>10.07</v>
          </cell>
          <cell r="P1017">
            <v>15.98</v>
          </cell>
          <cell r="Q1017">
            <v>14</v>
          </cell>
          <cell r="R1017">
            <v>223.72</v>
          </cell>
          <cell r="S1017">
            <v>0.05</v>
          </cell>
          <cell r="T1017">
            <v>11.186</v>
          </cell>
          <cell r="U1017">
            <v>223.67</v>
          </cell>
          <cell r="V1017">
            <v>4</v>
          </cell>
          <cell r="W1017">
            <v>227.67</v>
          </cell>
        </row>
        <row r="1018">
          <cell r="A1018" t="str">
            <v>6544-1</v>
          </cell>
          <cell r="B1018">
            <v>42735</v>
          </cell>
          <cell r="C1018" t="str">
            <v>Shahid Shariari</v>
          </cell>
          <cell r="D1018" t="str">
            <v>3/219 Canley Vale Road,Canley Heights</v>
          </cell>
          <cell r="E1018" t="str">
            <v>Sydney</v>
          </cell>
          <cell r="F1018" t="str">
            <v>NSW</v>
          </cell>
          <cell r="G1018" t="str">
            <v>Corporate</v>
          </cell>
          <cell r="H1018" t="str">
            <v>Mihael Khan</v>
          </cell>
          <cell r="I1018" t="str">
            <v>Low</v>
          </cell>
          <cell r="J1018" t="str">
            <v>Smiths General Use 3-Ring Binders</v>
          </cell>
          <cell r="K1018" t="str">
            <v>Office Supplies</v>
          </cell>
          <cell r="L1018" t="str">
            <v>Small Box</v>
          </cell>
          <cell r="M1018" t="str">
            <v>Regular Air</v>
          </cell>
          <cell r="N1018">
            <v>42739</v>
          </cell>
          <cell r="O1018">
            <v>1.18</v>
          </cell>
          <cell r="P1018">
            <v>1.88</v>
          </cell>
          <cell r="Q1018">
            <v>22</v>
          </cell>
          <cell r="R1018">
            <v>41.36</v>
          </cell>
          <cell r="S1018">
            <v>0.04</v>
          </cell>
          <cell r="T1018">
            <v>1.6544000000000001</v>
          </cell>
          <cell r="U1018">
            <v>41.32</v>
          </cell>
          <cell r="V1018">
            <v>1.49</v>
          </cell>
          <cell r="W1018">
            <v>42.81</v>
          </cell>
        </row>
        <row r="1019">
          <cell r="A1019" t="str">
            <v>6546-1</v>
          </cell>
          <cell r="B1019">
            <v>42738</v>
          </cell>
          <cell r="C1019" t="str">
            <v>Julia Barnett</v>
          </cell>
          <cell r="D1019" t="str">
            <v>485 Crown St,Surry Hills</v>
          </cell>
          <cell r="E1019" t="str">
            <v>Sydney</v>
          </cell>
          <cell r="F1019" t="str">
            <v>NSW</v>
          </cell>
          <cell r="G1019" t="str">
            <v>Home Office</v>
          </cell>
          <cell r="H1019" t="str">
            <v>Leighton Forrest</v>
          </cell>
          <cell r="I1019" t="str">
            <v>Not Specified</v>
          </cell>
          <cell r="J1019" t="str">
            <v>Adesso Programmable 142-Key Keyboard</v>
          </cell>
          <cell r="K1019" t="str">
            <v>Technology</v>
          </cell>
          <cell r="L1019" t="str">
            <v>Small Box</v>
          </cell>
          <cell r="M1019" t="str">
            <v>Regular Air</v>
          </cell>
          <cell r="N1019">
            <v>42739</v>
          </cell>
          <cell r="O1019">
            <v>32.020000000000003</v>
          </cell>
          <cell r="P1019">
            <v>152.47999999999999</v>
          </cell>
          <cell r="Q1019">
            <v>46</v>
          </cell>
          <cell r="R1019">
            <v>7014.08</v>
          </cell>
          <cell r="S1019">
            <v>0.04</v>
          </cell>
          <cell r="T1019">
            <v>280.56319999999999</v>
          </cell>
          <cell r="U1019">
            <v>7014.04</v>
          </cell>
          <cell r="V1019">
            <v>4</v>
          </cell>
          <cell r="W1019">
            <v>7018.04</v>
          </cell>
        </row>
        <row r="1020">
          <cell r="A1020" t="str">
            <v>6548-1</v>
          </cell>
          <cell r="B1020">
            <v>42739</v>
          </cell>
          <cell r="C1020" t="str">
            <v>Muhammed Yedwab</v>
          </cell>
          <cell r="D1020" t="str">
            <v>18 Whistler St,Sydney</v>
          </cell>
          <cell r="E1020" t="str">
            <v>Sydney</v>
          </cell>
          <cell r="F1020" t="str">
            <v>NSW</v>
          </cell>
          <cell r="G1020" t="str">
            <v>Consumer</v>
          </cell>
          <cell r="H1020" t="str">
            <v>Nicholas Fernandes</v>
          </cell>
          <cell r="I1020" t="str">
            <v>Not Specified</v>
          </cell>
          <cell r="J1020" t="str">
            <v>Artisan 474 Labels</v>
          </cell>
          <cell r="K1020" t="str">
            <v>Office Supplies</v>
          </cell>
          <cell r="L1020" t="str">
            <v>Small Box</v>
          </cell>
          <cell r="M1020" t="str">
            <v>Regular Air</v>
          </cell>
          <cell r="N1020">
            <v>42740</v>
          </cell>
          <cell r="O1020">
            <v>1.84</v>
          </cell>
          <cell r="P1020">
            <v>2.88</v>
          </cell>
          <cell r="Q1020">
            <v>26</v>
          </cell>
          <cell r="R1020">
            <v>74.88</v>
          </cell>
          <cell r="S1020">
            <v>0.01</v>
          </cell>
          <cell r="T1020">
            <v>0.74880000000000002</v>
          </cell>
          <cell r="U1020">
            <v>74.86999999999999</v>
          </cell>
          <cell r="V1020">
            <v>0.99</v>
          </cell>
          <cell r="W1020">
            <v>75.859999999999985</v>
          </cell>
        </row>
        <row r="1021">
          <cell r="A1021" t="str">
            <v>6550-1</v>
          </cell>
          <cell r="B1021">
            <v>42739</v>
          </cell>
          <cell r="C1021" t="str">
            <v>Cynthia Arntzen</v>
          </cell>
          <cell r="D1021" t="str">
            <v>Hoyts Entertainment Quarter 122 Lang Road,Moore Park</v>
          </cell>
          <cell r="E1021" t="str">
            <v>Sydney</v>
          </cell>
          <cell r="F1021" t="str">
            <v>NSW</v>
          </cell>
          <cell r="G1021" t="str">
            <v>Small Business</v>
          </cell>
          <cell r="H1021" t="str">
            <v>Tina Carlton</v>
          </cell>
          <cell r="I1021" t="str">
            <v>Medium</v>
          </cell>
          <cell r="J1021" t="str">
            <v>Smiths Metal Binder Clips</v>
          </cell>
          <cell r="K1021" t="str">
            <v>Office Supplies</v>
          </cell>
          <cell r="L1021" t="str">
            <v>Wrap Bag</v>
          </cell>
          <cell r="M1021" t="str">
            <v>Regular Air</v>
          </cell>
          <cell r="N1021">
            <v>42741</v>
          </cell>
          <cell r="O1021">
            <v>1.6</v>
          </cell>
          <cell r="P1021">
            <v>2.62</v>
          </cell>
          <cell r="Q1021">
            <v>35</v>
          </cell>
          <cell r="R1021">
            <v>91.7</v>
          </cell>
          <cell r="S1021">
            <v>0.04</v>
          </cell>
          <cell r="T1021">
            <v>3.6680000000000001</v>
          </cell>
          <cell r="U1021">
            <v>91.66</v>
          </cell>
          <cell r="V1021">
            <v>0.8</v>
          </cell>
          <cell r="W1021">
            <v>92.46</v>
          </cell>
        </row>
        <row r="1022">
          <cell r="A1022" t="str">
            <v>6552-1</v>
          </cell>
          <cell r="B1022">
            <v>42741</v>
          </cell>
          <cell r="C1022" t="str">
            <v>Stephanie Phelps</v>
          </cell>
          <cell r="D1022" t="str">
            <v>324A King St,Newtown</v>
          </cell>
          <cell r="E1022" t="str">
            <v>Sydney</v>
          </cell>
          <cell r="F1022" t="str">
            <v>NSW</v>
          </cell>
          <cell r="G1022" t="str">
            <v>Consumer</v>
          </cell>
          <cell r="H1022" t="str">
            <v>Mihael Khan</v>
          </cell>
          <cell r="I1022" t="str">
            <v>Medium</v>
          </cell>
          <cell r="J1022" t="str">
            <v>TechSavi Cordless Elite Duo</v>
          </cell>
          <cell r="K1022" t="str">
            <v>Technology</v>
          </cell>
          <cell r="L1022" t="str">
            <v>Small Box</v>
          </cell>
          <cell r="M1022" t="str">
            <v>Regular Air</v>
          </cell>
          <cell r="N1022">
            <v>42742</v>
          </cell>
          <cell r="O1022">
            <v>60.59</v>
          </cell>
          <cell r="P1022">
            <v>100.98</v>
          </cell>
          <cell r="Q1022">
            <v>12</v>
          </cell>
          <cell r="R1022">
            <v>1211.76</v>
          </cell>
          <cell r="S1022">
            <v>0</v>
          </cell>
          <cell r="T1022">
            <v>0</v>
          </cell>
          <cell r="U1022">
            <v>1211.76</v>
          </cell>
          <cell r="V1022">
            <v>7.18</v>
          </cell>
          <cell r="W1022">
            <v>1218.94</v>
          </cell>
        </row>
        <row r="1023">
          <cell r="A1023" t="str">
            <v>6553-1</v>
          </cell>
          <cell r="B1023">
            <v>42745</v>
          </cell>
          <cell r="C1023" t="str">
            <v>Dave Hallsten</v>
          </cell>
          <cell r="D1023" t="str">
            <v>1 John St,Waterloo</v>
          </cell>
          <cell r="E1023" t="str">
            <v>Sydney</v>
          </cell>
          <cell r="F1023" t="str">
            <v>NSW</v>
          </cell>
          <cell r="G1023" t="str">
            <v>Home Office</v>
          </cell>
          <cell r="H1023" t="str">
            <v>Charlie Bui</v>
          </cell>
          <cell r="I1023" t="str">
            <v>Medium</v>
          </cell>
          <cell r="J1023" t="str">
            <v>Artisan 474 Labels</v>
          </cell>
          <cell r="K1023" t="str">
            <v>Office Supplies</v>
          </cell>
          <cell r="L1023" t="str">
            <v>Small Box</v>
          </cell>
          <cell r="M1023" t="str">
            <v>Regular Air</v>
          </cell>
          <cell r="N1023">
            <v>42746</v>
          </cell>
          <cell r="O1023">
            <v>1.84</v>
          </cell>
          <cell r="P1023">
            <v>2.88</v>
          </cell>
          <cell r="Q1023">
            <v>22</v>
          </cell>
          <cell r="R1023">
            <v>63.36</v>
          </cell>
          <cell r="S1023">
            <v>0.02</v>
          </cell>
          <cell r="T1023">
            <v>1.2672000000000001</v>
          </cell>
          <cell r="U1023">
            <v>63.339999999999996</v>
          </cell>
          <cell r="V1023">
            <v>0.99</v>
          </cell>
          <cell r="W1023">
            <v>64.33</v>
          </cell>
        </row>
        <row r="1024">
          <cell r="A1024" t="str">
            <v>6555-1</v>
          </cell>
          <cell r="B1024">
            <v>42746</v>
          </cell>
          <cell r="C1024" t="str">
            <v>Bart Watters</v>
          </cell>
          <cell r="D1024" t="str">
            <v>Westfield 1 Anderson St,Chatswood</v>
          </cell>
          <cell r="E1024" t="str">
            <v>Sydney</v>
          </cell>
          <cell r="F1024" t="str">
            <v>NSW</v>
          </cell>
          <cell r="G1024" t="str">
            <v>Corporate</v>
          </cell>
          <cell r="H1024" t="str">
            <v>Nicholas Fernandes</v>
          </cell>
          <cell r="I1024" t="str">
            <v>Critical</v>
          </cell>
          <cell r="J1024" t="str">
            <v>Apex Straight Scissors</v>
          </cell>
          <cell r="K1024" t="str">
            <v>Office Supplies</v>
          </cell>
          <cell r="L1024" t="str">
            <v>Small Pack</v>
          </cell>
          <cell r="M1024" t="str">
            <v>Regular Air</v>
          </cell>
          <cell r="N1024">
            <v>42748</v>
          </cell>
          <cell r="O1024">
            <v>5.19</v>
          </cell>
          <cell r="P1024">
            <v>12.98</v>
          </cell>
          <cell r="Q1024">
            <v>49</v>
          </cell>
          <cell r="R1024">
            <v>636.02</v>
          </cell>
          <cell r="S1024">
            <v>0.02</v>
          </cell>
          <cell r="T1024">
            <v>12.7204</v>
          </cell>
          <cell r="U1024">
            <v>636</v>
          </cell>
          <cell r="V1024">
            <v>3.14</v>
          </cell>
          <cell r="W1024">
            <v>639.14</v>
          </cell>
        </row>
        <row r="1025">
          <cell r="A1025" t="str">
            <v>6557-1</v>
          </cell>
          <cell r="B1025">
            <v>42749</v>
          </cell>
          <cell r="C1025" t="str">
            <v>Patrick ODonnell</v>
          </cell>
          <cell r="D1025" t="str">
            <v>21 Wentworth St,Parramatta</v>
          </cell>
          <cell r="E1025" t="str">
            <v>Sydney</v>
          </cell>
          <cell r="F1025" t="str">
            <v>NSW</v>
          </cell>
          <cell r="G1025" t="str">
            <v>Home Office</v>
          </cell>
          <cell r="H1025" t="str">
            <v>Aanya Zhang</v>
          </cell>
          <cell r="I1025" t="str">
            <v>Medium</v>
          </cell>
          <cell r="J1025" t="str">
            <v>Artisan Poly Binder Pockets</v>
          </cell>
          <cell r="K1025" t="str">
            <v>Office Supplies</v>
          </cell>
          <cell r="L1025" t="str">
            <v>Small Box</v>
          </cell>
          <cell r="M1025" t="str">
            <v>Regular Air</v>
          </cell>
          <cell r="N1025">
            <v>42750</v>
          </cell>
          <cell r="O1025">
            <v>2.2599999999999998</v>
          </cell>
          <cell r="P1025">
            <v>3.58</v>
          </cell>
          <cell r="Q1025">
            <v>38</v>
          </cell>
          <cell r="R1025">
            <v>136.04</v>
          </cell>
          <cell r="S1025">
            <v>0.03</v>
          </cell>
          <cell r="T1025">
            <v>4.0811999999999999</v>
          </cell>
          <cell r="U1025">
            <v>136.01</v>
          </cell>
          <cell r="V1025">
            <v>5.47</v>
          </cell>
          <cell r="W1025">
            <v>141.47999999999999</v>
          </cell>
        </row>
        <row r="1026">
          <cell r="A1026" t="str">
            <v>6558-1</v>
          </cell>
          <cell r="B1026">
            <v>42752</v>
          </cell>
          <cell r="C1026" t="str">
            <v>Ann Steele</v>
          </cell>
          <cell r="D1026" t="str">
            <v>6-8 O'Connell Street,Newtown</v>
          </cell>
          <cell r="E1026" t="str">
            <v>Sydney</v>
          </cell>
          <cell r="F1026" t="str">
            <v>NSW</v>
          </cell>
          <cell r="G1026" t="str">
            <v>Corporate</v>
          </cell>
          <cell r="H1026" t="str">
            <v>Nicholas Fernandes</v>
          </cell>
          <cell r="I1026" t="str">
            <v>Critical</v>
          </cell>
          <cell r="J1026" t="str">
            <v>Alto Parchment Paper, Assorted Colors</v>
          </cell>
          <cell r="K1026" t="str">
            <v>Office Supplies</v>
          </cell>
          <cell r="L1026" t="str">
            <v>Small Box</v>
          </cell>
          <cell r="M1026" t="str">
            <v>Regular Air</v>
          </cell>
          <cell r="N1026">
            <v>42753</v>
          </cell>
          <cell r="O1026">
            <v>4.59</v>
          </cell>
          <cell r="P1026">
            <v>7.28</v>
          </cell>
          <cell r="Q1026">
            <v>39</v>
          </cell>
          <cell r="R1026">
            <v>283.92</v>
          </cell>
          <cell r="S1026">
            <v>0.08</v>
          </cell>
          <cell r="T1026">
            <v>22.713600000000003</v>
          </cell>
          <cell r="U1026">
            <v>283.84000000000003</v>
          </cell>
          <cell r="V1026">
            <v>11.15</v>
          </cell>
          <cell r="W1026">
            <v>294.99</v>
          </cell>
        </row>
        <row r="1027">
          <cell r="A1027" t="str">
            <v>6560-1</v>
          </cell>
          <cell r="B1027">
            <v>42753</v>
          </cell>
          <cell r="C1027" t="str">
            <v>Sung Chung</v>
          </cell>
          <cell r="D1027" t="str">
            <v>127 Liverpool St,Sydney</v>
          </cell>
          <cell r="E1027" t="str">
            <v>Sydney</v>
          </cell>
          <cell r="F1027" t="str">
            <v>NSW</v>
          </cell>
          <cell r="G1027" t="str">
            <v>Home Office</v>
          </cell>
          <cell r="H1027" t="str">
            <v>Samantha Chairs</v>
          </cell>
          <cell r="I1027" t="str">
            <v>Not Specified</v>
          </cell>
          <cell r="J1027" t="str">
            <v>OIC Thumb-Tacks</v>
          </cell>
          <cell r="K1027" t="str">
            <v>Office Supplies</v>
          </cell>
          <cell r="L1027" t="str">
            <v>Wrap Bag</v>
          </cell>
          <cell r="M1027" t="str">
            <v>Express Air</v>
          </cell>
          <cell r="N1027">
            <v>42755</v>
          </cell>
          <cell r="O1027">
            <v>0.71</v>
          </cell>
          <cell r="P1027">
            <v>1.1399999999999999</v>
          </cell>
          <cell r="Q1027">
            <v>14</v>
          </cell>
          <cell r="R1027">
            <v>15.959999999999999</v>
          </cell>
          <cell r="S1027">
            <v>0</v>
          </cell>
          <cell r="T1027">
            <v>0</v>
          </cell>
          <cell r="U1027">
            <v>15.959999999999999</v>
          </cell>
          <cell r="V1027">
            <v>0.7</v>
          </cell>
          <cell r="W1027">
            <v>16.66</v>
          </cell>
        </row>
        <row r="1028">
          <cell r="A1028" t="str">
            <v>6561-1</v>
          </cell>
          <cell r="B1028">
            <v>42754</v>
          </cell>
          <cell r="C1028" t="str">
            <v>Luke Weiss</v>
          </cell>
          <cell r="D1028" t="str">
            <v>88 Oxford St,Woollahra</v>
          </cell>
          <cell r="E1028" t="str">
            <v>Sydney</v>
          </cell>
          <cell r="F1028" t="str">
            <v>NSW</v>
          </cell>
          <cell r="G1028" t="str">
            <v>Corporate</v>
          </cell>
          <cell r="H1028" t="str">
            <v>Charlie Bui</v>
          </cell>
          <cell r="I1028" t="str">
            <v>Not Specified</v>
          </cell>
          <cell r="J1028" t="str">
            <v>1726 Digital Answering Machine</v>
          </cell>
          <cell r="K1028" t="str">
            <v>Technology</v>
          </cell>
          <cell r="L1028" t="str">
            <v>Medium Box</v>
          </cell>
          <cell r="M1028" t="str">
            <v>Regular Air</v>
          </cell>
          <cell r="N1028">
            <v>42756</v>
          </cell>
          <cell r="O1028">
            <v>8.82</v>
          </cell>
          <cell r="P1028">
            <v>20.99</v>
          </cell>
          <cell r="Q1028">
            <v>29</v>
          </cell>
          <cell r="R1028">
            <v>608.70999999999992</v>
          </cell>
          <cell r="S1028">
            <v>0.03</v>
          </cell>
          <cell r="T1028">
            <v>18.261299999999999</v>
          </cell>
          <cell r="U1028">
            <v>608.67999999999995</v>
          </cell>
          <cell r="V1028">
            <v>4.8099999999999996</v>
          </cell>
          <cell r="W1028">
            <v>613.4899999999999</v>
          </cell>
        </row>
        <row r="1029">
          <cell r="A1029" t="str">
            <v>6562-1</v>
          </cell>
          <cell r="B1029">
            <v>42754</v>
          </cell>
          <cell r="C1029" t="str">
            <v>Laurel Workman</v>
          </cell>
          <cell r="D1029" t="str">
            <v>38/133-145 Castlereagh St,Sydney</v>
          </cell>
          <cell r="E1029" t="str">
            <v>Sydney</v>
          </cell>
          <cell r="F1029" t="str">
            <v>NSW</v>
          </cell>
          <cell r="G1029" t="str">
            <v>Home Office</v>
          </cell>
          <cell r="H1029" t="str">
            <v>Natasha Song</v>
          </cell>
          <cell r="I1029" t="str">
            <v>Medium</v>
          </cell>
          <cell r="J1029" t="str">
            <v>Apex Straight Scissors</v>
          </cell>
          <cell r="K1029" t="str">
            <v>Office Supplies</v>
          </cell>
          <cell r="L1029" t="str">
            <v>Small Pack</v>
          </cell>
          <cell r="M1029" t="str">
            <v>Express Air</v>
          </cell>
          <cell r="N1029">
            <v>42756</v>
          </cell>
          <cell r="O1029">
            <v>5.19</v>
          </cell>
          <cell r="P1029">
            <v>12.98</v>
          </cell>
          <cell r="Q1029">
            <v>10</v>
          </cell>
          <cell r="R1029">
            <v>129.80000000000001</v>
          </cell>
          <cell r="S1029">
            <v>0.05</v>
          </cell>
          <cell r="T1029">
            <v>6.4900000000000011</v>
          </cell>
          <cell r="U1029">
            <v>129.75</v>
          </cell>
          <cell r="V1029">
            <v>3.14</v>
          </cell>
          <cell r="W1029">
            <v>132.88999999999999</v>
          </cell>
        </row>
        <row r="1030">
          <cell r="A1030" t="str">
            <v>6564-1</v>
          </cell>
          <cell r="B1030">
            <v>42754</v>
          </cell>
          <cell r="C1030" t="str">
            <v>Carol Darley</v>
          </cell>
          <cell r="D1030" t="str">
            <v>Crown Complex,Southbank</v>
          </cell>
          <cell r="E1030" t="str">
            <v>Melbourne</v>
          </cell>
          <cell r="F1030" t="str">
            <v>VIC</v>
          </cell>
          <cell r="G1030" t="str">
            <v>Small Business</v>
          </cell>
          <cell r="H1030" t="str">
            <v>Yvette Biti</v>
          </cell>
          <cell r="I1030" t="str">
            <v>Low</v>
          </cell>
          <cell r="J1030" t="str">
            <v>Smiths Colored Interoffice Envelopes</v>
          </cell>
          <cell r="K1030" t="str">
            <v>Office Supplies</v>
          </cell>
          <cell r="L1030" t="str">
            <v>Small Box</v>
          </cell>
          <cell r="M1030" t="str">
            <v>Express Air</v>
          </cell>
          <cell r="N1030">
            <v>42761</v>
          </cell>
          <cell r="O1030">
            <v>19.829999999999998</v>
          </cell>
          <cell r="P1030">
            <v>30.98</v>
          </cell>
          <cell r="Q1030">
            <v>41</v>
          </cell>
          <cell r="R1030">
            <v>1270.18</v>
          </cell>
          <cell r="S1030">
            <v>0.04</v>
          </cell>
          <cell r="T1030">
            <v>50.807200000000002</v>
          </cell>
          <cell r="U1030">
            <v>1270.1400000000001</v>
          </cell>
          <cell r="V1030">
            <v>19.510000000000002</v>
          </cell>
          <cell r="W1030">
            <v>1289.6500000000001</v>
          </cell>
        </row>
        <row r="1031">
          <cell r="A1031" t="str">
            <v>6565-1</v>
          </cell>
          <cell r="B1031">
            <v>42755</v>
          </cell>
          <cell r="C1031" t="str">
            <v>Julia Barnett</v>
          </cell>
          <cell r="D1031" t="str">
            <v>485 Crown St,Surry Hills</v>
          </cell>
          <cell r="E1031" t="str">
            <v>Sydney</v>
          </cell>
          <cell r="F1031" t="str">
            <v>NSW</v>
          </cell>
          <cell r="G1031" t="str">
            <v>Corporate</v>
          </cell>
          <cell r="H1031" t="str">
            <v>Leighton Forrest</v>
          </cell>
          <cell r="I1031" t="str">
            <v>Not Specified</v>
          </cell>
          <cell r="J1031" t="str">
            <v>Alto Parchment Paper, Assorted Colors</v>
          </cell>
          <cell r="K1031" t="str">
            <v>Office Supplies</v>
          </cell>
          <cell r="L1031" t="str">
            <v>Small Box</v>
          </cell>
          <cell r="M1031" t="str">
            <v>Regular Air</v>
          </cell>
          <cell r="N1031">
            <v>42756</v>
          </cell>
          <cell r="O1031">
            <v>4.59</v>
          </cell>
          <cell r="P1031">
            <v>7.28</v>
          </cell>
          <cell r="Q1031">
            <v>24</v>
          </cell>
          <cell r="R1031">
            <v>174.72</v>
          </cell>
          <cell r="S1031">
            <v>0.1</v>
          </cell>
          <cell r="T1031">
            <v>17.472000000000001</v>
          </cell>
          <cell r="U1031">
            <v>174.62</v>
          </cell>
          <cell r="V1031">
            <v>11.15</v>
          </cell>
          <cell r="W1031">
            <v>185.77</v>
          </cell>
        </row>
        <row r="1032">
          <cell r="A1032" t="str">
            <v>6567-1</v>
          </cell>
          <cell r="B1032">
            <v>42758</v>
          </cell>
          <cell r="C1032" t="str">
            <v>Jeremy Pistek</v>
          </cell>
          <cell r="D1032" t="str">
            <v>85-113 Dunning Ave,Roseberry</v>
          </cell>
          <cell r="E1032" t="str">
            <v>Sydney</v>
          </cell>
          <cell r="F1032" t="str">
            <v>NSW</v>
          </cell>
          <cell r="G1032" t="str">
            <v>Corporate</v>
          </cell>
          <cell r="H1032" t="str">
            <v>Mihael Khan</v>
          </cell>
          <cell r="I1032" t="str">
            <v>Not Specified</v>
          </cell>
          <cell r="J1032" t="str">
            <v>Artisan Hi-Liter Pen Style Six-Color Fluorescent Set</v>
          </cell>
          <cell r="K1032" t="str">
            <v>Office Supplies</v>
          </cell>
          <cell r="L1032" t="str">
            <v>Wrap Bag</v>
          </cell>
          <cell r="M1032" t="str">
            <v>Regular Air</v>
          </cell>
          <cell r="N1032">
            <v>42760</v>
          </cell>
          <cell r="O1032">
            <v>2.16</v>
          </cell>
          <cell r="P1032">
            <v>3.85</v>
          </cell>
          <cell r="Q1032">
            <v>18</v>
          </cell>
          <cell r="R1032">
            <v>69.3</v>
          </cell>
          <cell r="S1032">
            <v>0.04</v>
          </cell>
          <cell r="T1032">
            <v>2.7719999999999998</v>
          </cell>
          <cell r="U1032">
            <v>69.259999999999991</v>
          </cell>
          <cell r="V1032">
            <v>0.7</v>
          </cell>
          <cell r="W1032">
            <v>69.959999999999994</v>
          </cell>
        </row>
        <row r="1033">
          <cell r="A1033" t="str">
            <v>6569-1</v>
          </cell>
          <cell r="B1033">
            <v>42759</v>
          </cell>
          <cell r="C1033" t="str">
            <v>Ken Heidel</v>
          </cell>
          <cell r="D1033" t="str">
            <v>438 Victoria Avenue,Chatswood</v>
          </cell>
          <cell r="E1033" t="str">
            <v>Sydney</v>
          </cell>
          <cell r="F1033" t="str">
            <v>NSW</v>
          </cell>
          <cell r="G1033" t="str">
            <v>Corporate</v>
          </cell>
          <cell r="H1033" t="str">
            <v>Natasha Song</v>
          </cell>
          <cell r="I1033" t="str">
            <v>Not Specified</v>
          </cell>
          <cell r="J1033" t="str">
            <v>Binder Posts</v>
          </cell>
          <cell r="K1033" t="str">
            <v>Office Supplies</v>
          </cell>
          <cell r="L1033" t="str">
            <v>Small Box</v>
          </cell>
          <cell r="M1033" t="str">
            <v>Regular Air</v>
          </cell>
          <cell r="N1033">
            <v>42761</v>
          </cell>
          <cell r="O1033">
            <v>3.5</v>
          </cell>
          <cell r="P1033">
            <v>5.74</v>
          </cell>
          <cell r="Q1033">
            <v>46</v>
          </cell>
          <cell r="R1033">
            <v>264.04000000000002</v>
          </cell>
          <cell r="S1033">
            <v>0.05</v>
          </cell>
          <cell r="T1033">
            <v>13.202000000000002</v>
          </cell>
          <cell r="U1033">
            <v>263.99</v>
          </cell>
          <cell r="V1033">
            <v>5.01</v>
          </cell>
          <cell r="W1033">
            <v>269</v>
          </cell>
        </row>
        <row r="1034">
          <cell r="A1034" t="str">
            <v>6571-1</v>
          </cell>
          <cell r="B1034">
            <v>42761</v>
          </cell>
          <cell r="C1034" t="str">
            <v>Harold Pawlan</v>
          </cell>
          <cell r="D1034" t="str">
            <v>180 High Street,Windsor</v>
          </cell>
          <cell r="E1034" t="str">
            <v>Melbourne</v>
          </cell>
          <cell r="F1034" t="str">
            <v>VIC</v>
          </cell>
          <cell r="G1034" t="str">
            <v>Small Business</v>
          </cell>
          <cell r="H1034" t="str">
            <v>Connor Betts</v>
          </cell>
          <cell r="I1034" t="str">
            <v>High</v>
          </cell>
          <cell r="J1034" t="str">
            <v>UGen Ultra Professional Cordless Optical Suite</v>
          </cell>
          <cell r="K1034" t="str">
            <v>Technology</v>
          </cell>
          <cell r="L1034" t="str">
            <v>Small Box</v>
          </cell>
          <cell r="M1034" t="str">
            <v>Regular Air</v>
          </cell>
          <cell r="N1034">
            <v>42762</v>
          </cell>
          <cell r="O1034">
            <v>156.5</v>
          </cell>
          <cell r="P1034">
            <v>300.97000000000003</v>
          </cell>
          <cell r="Q1034">
            <v>29</v>
          </cell>
          <cell r="R1034">
            <v>8728.130000000001</v>
          </cell>
          <cell r="S1034">
            <v>0.03</v>
          </cell>
          <cell r="T1034">
            <v>261.84390000000002</v>
          </cell>
          <cell r="U1034">
            <v>8728.1</v>
          </cell>
          <cell r="V1034">
            <v>7.18</v>
          </cell>
          <cell r="W1034">
            <v>8735.2800000000007</v>
          </cell>
        </row>
        <row r="1035">
          <cell r="A1035" t="str">
            <v>6572-1</v>
          </cell>
          <cell r="B1035">
            <v>42762</v>
          </cell>
          <cell r="C1035" t="str">
            <v>Kean Thornton</v>
          </cell>
          <cell r="D1035" t="str">
            <v>Westfield Sydney,Sydney</v>
          </cell>
          <cell r="E1035" t="str">
            <v>Sydney</v>
          </cell>
          <cell r="F1035" t="str">
            <v>NSW</v>
          </cell>
          <cell r="G1035" t="str">
            <v>Corporate</v>
          </cell>
          <cell r="H1035" t="str">
            <v>Natasha Song</v>
          </cell>
          <cell r="I1035" t="str">
            <v>Critical</v>
          </cell>
          <cell r="J1035" t="str">
            <v>Artisan Hole Reinforcements</v>
          </cell>
          <cell r="K1035" t="str">
            <v>Office Supplies</v>
          </cell>
          <cell r="L1035" t="str">
            <v>Small Box</v>
          </cell>
          <cell r="M1035" t="str">
            <v>Regular Air</v>
          </cell>
          <cell r="N1035">
            <v>42763</v>
          </cell>
          <cell r="O1035">
            <v>3.99</v>
          </cell>
          <cell r="P1035">
            <v>6.23</v>
          </cell>
          <cell r="Q1035">
            <v>25</v>
          </cell>
          <cell r="R1035">
            <v>155.75</v>
          </cell>
          <cell r="S1035">
            <v>7.0000000000000007E-2</v>
          </cell>
          <cell r="T1035">
            <v>10.902500000000002</v>
          </cell>
          <cell r="U1035">
            <v>155.68</v>
          </cell>
          <cell r="V1035">
            <v>6.97</v>
          </cell>
          <cell r="W1035">
            <v>162.65</v>
          </cell>
        </row>
        <row r="1036">
          <cell r="A1036" t="str">
            <v>6574-1</v>
          </cell>
          <cell r="B1036">
            <v>42765</v>
          </cell>
          <cell r="C1036" t="str">
            <v>Rick Hansen</v>
          </cell>
          <cell r="D1036" t="str">
            <v>Macquarie Centre Cnr Herring Road &amp; Waterloo Road,Macquarie Park</v>
          </cell>
          <cell r="E1036" t="str">
            <v>Sydney</v>
          </cell>
          <cell r="F1036" t="str">
            <v>NSW</v>
          </cell>
          <cell r="G1036" t="str">
            <v>Home Office</v>
          </cell>
          <cell r="H1036" t="str">
            <v>Nicholas Fernandes</v>
          </cell>
          <cell r="I1036" t="str">
            <v>Not Specified</v>
          </cell>
          <cell r="J1036" t="str">
            <v>Cando S750 Color Inkjet Printer</v>
          </cell>
          <cell r="K1036" t="str">
            <v>Technology</v>
          </cell>
          <cell r="L1036" t="str">
            <v>Jumbo Drum</v>
          </cell>
          <cell r="M1036" t="str">
            <v>Delivery Truck</v>
          </cell>
          <cell r="N1036">
            <v>42768</v>
          </cell>
          <cell r="O1036">
            <v>75</v>
          </cell>
          <cell r="P1036">
            <v>120.97</v>
          </cell>
          <cell r="Q1036">
            <v>4</v>
          </cell>
          <cell r="R1036">
            <v>483.88</v>
          </cell>
          <cell r="S1036">
            <v>7.0000000000000007E-2</v>
          </cell>
          <cell r="T1036">
            <v>33.871600000000001</v>
          </cell>
          <cell r="U1036">
            <v>483.81</v>
          </cell>
          <cell r="V1036">
            <v>26.3</v>
          </cell>
          <cell r="W1036">
            <v>510.11</v>
          </cell>
        </row>
        <row r="1037">
          <cell r="A1037" t="str">
            <v>6576-1</v>
          </cell>
          <cell r="B1037">
            <v>42767</v>
          </cell>
          <cell r="C1037" t="str">
            <v>Joy Daniels</v>
          </cell>
          <cell r="D1037" t="str">
            <v>12 Princess Hwy,Sylvania</v>
          </cell>
          <cell r="E1037" t="str">
            <v>Sydney</v>
          </cell>
          <cell r="F1037" t="str">
            <v>NSW</v>
          </cell>
          <cell r="G1037" t="str">
            <v>Corporate</v>
          </cell>
          <cell r="H1037" t="str">
            <v>Nicholas Fernandes</v>
          </cell>
          <cell r="I1037" t="str">
            <v>Low</v>
          </cell>
          <cell r="J1037" t="str">
            <v>Barrel Sharpener</v>
          </cell>
          <cell r="K1037" t="str">
            <v>Office Supplies</v>
          </cell>
          <cell r="L1037" t="str">
            <v>Small Pack</v>
          </cell>
          <cell r="M1037" t="str">
            <v>Regular Air</v>
          </cell>
          <cell r="N1037">
            <v>42771</v>
          </cell>
          <cell r="O1037">
            <v>1.46</v>
          </cell>
          <cell r="P1037">
            <v>3.57</v>
          </cell>
          <cell r="Q1037">
            <v>25</v>
          </cell>
          <cell r="R1037">
            <v>89.25</v>
          </cell>
          <cell r="S1037">
            <v>0.01</v>
          </cell>
          <cell r="T1037">
            <v>0.89250000000000007</v>
          </cell>
          <cell r="U1037">
            <v>89.24</v>
          </cell>
          <cell r="V1037">
            <v>4.17</v>
          </cell>
          <cell r="W1037">
            <v>93.41</v>
          </cell>
        </row>
        <row r="1038">
          <cell r="A1038" t="str">
            <v>6577-1</v>
          </cell>
          <cell r="B1038">
            <v>42768</v>
          </cell>
          <cell r="C1038" t="str">
            <v>Cindy Chapman</v>
          </cell>
          <cell r="D1038" t="str">
            <v>53-55 Liverpool St,Sydney</v>
          </cell>
          <cell r="E1038" t="str">
            <v>Sydney</v>
          </cell>
          <cell r="F1038" t="str">
            <v>NSW</v>
          </cell>
          <cell r="G1038" t="str">
            <v>Corporate</v>
          </cell>
          <cell r="H1038" t="str">
            <v>Tina Carlton</v>
          </cell>
          <cell r="I1038" t="str">
            <v>Not Specified</v>
          </cell>
          <cell r="J1038" t="str">
            <v>Steady Major Accent Highlighters</v>
          </cell>
          <cell r="K1038" t="str">
            <v>Office Supplies</v>
          </cell>
          <cell r="L1038" t="str">
            <v>Wrap Bag</v>
          </cell>
          <cell r="M1038" t="str">
            <v>Regular Air</v>
          </cell>
          <cell r="N1038">
            <v>42770</v>
          </cell>
          <cell r="O1038">
            <v>3.75</v>
          </cell>
          <cell r="P1038">
            <v>7.08</v>
          </cell>
          <cell r="Q1038">
            <v>46</v>
          </cell>
          <cell r="R1038">
            <v>325.68</v>
          </cell>
          <cell r="S1038">
            <v>0.1</v>
          </cell>
          <cell r="T1038">
            <v>32.568000000000005</v>
          </cell>
          <cell r="U1038">
            <v>325.58</v>
          </cell>
          <cell r="V1038">
            <v>2.35</v>
          </cell>
          <cell r="W1038">
            <v>327.93</v>
          </cell>
        </row>
        <row r="1039">
          <cell r="A1039" t="str">
            <v>6579-1</v>
          </cell>
          <cell r="B1039">
            <v>42769</v>
          </cell>
          <cell r="C1039" t="str">
            <v>Alex Russell</v>
          </cell>
          <cell r="D1039" t="str">
            <v>99 Lygon Street,East Brunswick</v>
          </cell>
          <cell r="E1039" t="str">
            <v>Melbourne</v>
          </cell>
          <cell r="F1039" t="str">
            <v>VIC</v>
          </cell>
          <cell r="G1039" t="str">
            <v>Home Office</v>
          </cell>
          <cell r="H1039" t="str">
            <v>Connor Betts</v>
          </cell>
          <cell r="I1039" t="str">
            <v>High</v>
          </cell>
          <cell r="J1039" t="str">
            <v>Artisan 479 Labels</v>
          </cell>
          <cell r="K1039" t="str">
            <v>Office Supplies</v>
          </cell>
          <cell r="L1039" t="str">
            <v>Small Box</v>
          </cell>
          <cell r="M1039" t="str">
            <v>Regular Air</v>
          </cell>
          <cell r="N1039">
            <v>42771</v>
          </cell>
          <cell r="O1039">
            <v>1.59</v>
          </cell>
          <cell r="P1039">
            <v>2.61</v>
          </cell>
          <cell r="Q1039">
            <v>38</v>
          </cell>
          <cell r="R1039">
            <v>99.179999999999993</v>
          </cell>
          <cell r="S1039">
            <v>0.04</v>
          </cell>
          <cell r="T1039">
            <v>3.9671999999999996</v>
          </cell>
          <cell r="U1039">
            <v>99.139999999999986</v>
          </cell>
          <cell r="V1039">
            <v>0.5</v>
          </cell>
          <cell r="W1039">
            <v>99.639999999999986</v>
          </cell>
        </row>
        <row r="1040">
          <cell r="A1040" t="str">
            <v>6581-1</v>
          </cell>
          <cell r="B1040">
            <v>42770</v>
          </cell>
          <cell r="C1040" t="str">
            <v>Roland Black</v>
          </cell>
          <cell r="D1040" t="str">
            <v>438 Victoria Avenue,Chatswood</v>
          </cell>
          <cell r="E1040" t="str">
            <v>Sydney</v>
          </cell>
          <cell r="F1040" t="str">
            <v>NSW</v>
          </cell>
          <cell r="G1040" t="str">
            <v>Small Business</v>
          </cell>
          <cell r="H1040" t="str">
            <v>Natasha Song</v>
          </cell>
          <cell r="I1040" t="str">
            <v>High</v>
          </cell>
          <cell r="J1040" t="str">
            <v>Artisan Legal 4-Ring Binder</v>
          </cell>
          <cell r="K1040" t="str">
            <v>Office Supplies</v>
          </cell>
          <cell r="L1040" t="str">
            <v>Small Box</v>
          </cell>
          <cell r="M1040" t="str">
            <v>Regular Air</v>
          </cell>
          <cell r="N1040">
            <v>42771</v>
          </cell>
          <cell r="O1040">
            <v>13.64</v>
          </cell>
          <cell r="P1040">
            <v>20.98</v>
          </cell>
          <cell r="Q1040">
            <v>41</v>
          </cell>
          <cell r="R1040">
            <v>860.18000000000006</v>
          </cell>
          <cell r="S1040">
            <v>0.05</v>
          </cell>
          <cell r="T1040">
            <v>43.009000000000007</v>
          </cell>
          <cell r="U1040">
            <v>860.13000000000011</v>
          </cell>
          <cell r="V1040">
            <v>1.49</v>
          </cell>
          <cell r="W1040">
            <v>861.62000000000012</v>
          </cell>
        </row>
        <row r="1041">
          <cell r="A1041" t="str">
            <v>6582-1</v>
          </cell>
          <cell r="B1041">
            <v>42771</v>
          </cell>
          <cell r="C1041" t="str">
            <v>Art Foster</v>
          </cell>
          <cell r="D1041" t="str">
            <v>Westfield Parramatta,Parramatta</v>
          </cell>
          <cell r="E1041" t="str">
            <v>Sydney</v>
          </cell>
          <cell r="F1041" t="str">
            <v>NSW</v>
          </cell>
          <cell r="G1041" t="str">
            <v>Home Office</v>
          </cell>
          <cell r="H1041" t="str">
            <v>Stevie Bacata</v>
          </cell>
          <cell r="I1041" t="str">
            <v>Medium</v>
          </cell>
          <cell r="J1041" t="str">
            <v>Artisan Legal 4-Ring Binder</v>
          </cell>
          <cell r="K1041" t="str">
            <v>Office Supplies</v>
          </cell>
          <cell r="L1041" t="str">
            <v>Small Box</v>
          </cell>
          <cell r="M1041" t="str">
            <v>Regular Air</v>
          </cell>
          <cell r="N1041">
            <v>42773</v>
          </cell>
          <cell r="O1041">
            <v>13.64</v>
          </cell>
          <cell r="P1041">
            <v>20.98</v>
          </cell>
          <cell r="Q1041">
            <v>2</v>
          </cell>
          <cell r="R1041">
            <v>41.96</v>
          </cell>
          <cell r="S1041">
            <v>0.01</v>
          </cell>
          <cell r="T1041">
            <v>0.41960000000000003</v>
          </cell>
          <cell r="U1041">
            <v>41.95</v>
          </cell>
          <cell r="V1041">
            <v>1.49</v>
          </cell>
          <cell r="W1041">
            <v>43.440000000000005</v>
          </cell>
        </row>
        <row r="1042">
          <cell r="A1042" t="str">
            <v>6584-1</v>
          </cell>
          <cell r="B1042">
            <v>42773</v>
          </cell>
          <cell r="C1042" t="str">
            <v>Maribeth Yedwab</v>
          </cell>
          <cell r="D1042" t="str">
            <v>240-242 Johnston Street,Fitzroy</v>
          </cell>
          <cell r="E1042" t="str">
            <v>Melbourne</v>
          </cell>
          <cell r="F1042" t="str">
            <v>VIC</v>
          </cell>
          <cell r="G1042" t="str">
            <v>Home Office</v>
          </cell>
          <cell r="H1042" t="str">
            <v>Connor Betts</v>
          </cell>
          <cell r="I1042" t="str">
            <v>Low</v>
          </cell>
          <cell r="J1042" t="str">
            <v>Beekin 105-Key Black Keyboard</v>
          </cell>
          <cell r="K1042" t="str">
            <v>Technology</v>
          </cell>
          <cell r="L1042" t="str">
            <v>Small Box</v>
          </cell>
          <cell r="M1042" t="str">
            <v>Regular Air</v>
          </cell>
          <cell r="N1042">
            <v>42773</v>
          </cell>
          <cell r="O1042">
            <v>6.39</v>
          </cell>
          <cell r="P1042">
            <v>19.98</v>
          </cell>
          <cell r="Q1042">
            <v>31</v>
          </cell>
          <cell r="R1042">
            <v>619.38</v>
          </cell>
          <cell r="S1042">
            <v>0</v>
          </cell>
          <cell r="T1042">
            <v>0</v>
          </cell>
          <cell r="U1042">
            <v>619.38</v>
          </cell>
          <cell r="V1042">
            <v>4</v>
          </cell>
          <cell r="W1042">
            <v>623.38</v>
          </cell>
        </row>
        <row r="1043">
          <cell r="A1043" t="str">
            <v>6586-1</v>
          </cell>
          <cell r="B1043">
            <v>42773</v>
          </cell>
          <cell r="C1043" t="str">
            <v>Theresa Swint</v>
          </cell>
          <cell r="D1043" t="str">
            <v>240-242 Johnston Street,Fitzroy</v>
          </cell>
          <cell r="E1043" t="str">
            <v>Melbourne</v>
          </cell>
          <cell r="F1043" t="str">
            <v>VIC</v>
          </cell>
          <cell r="G1043" t="str">
            <v>Consumer</v>
          </cell>
          <cell r="H1043" t="str">
            <v>Connor Betts</v>
          </cell>
          <cell r="I1043" t="str">
            <v>Medium</v>
          </cell>
          <cell r="J1043" t="str">
            <v>Binder Clips by OIC</v>
          </cell>
          <cell r="K1043" t="str">
            <v>Office Supplies</v>
          </cell>
          <cell r="L1043" t="str">
            <v>Wrap Bag</v>
          </cell>
          <cell r="M1043" t="str">
            <v>Regular Air</v>
          </cell>
          <cell r="N1043">
            <v>42773</v>
          </cell>
          <cell r="O1043">
            <v>0.93</v>
          </cell>
          <cell r="P1043">
            <v>1.48</v>
          </cell>
          <cell r="Q1043">
            <v>10</v>
          </cell>
          <cell r="R1043">
            <v>14.8</v>
          </cell>
          <cell r="S1043">
            <v>0.1</v>
          </cell>
          <cell r="T1043">
            <v>1.4800000000000002</v>
          </cell>
          <cell r="U1043">
            <v>14.700000000000001</v>
          </cell>
          <cell r="V1043">
            <v>0.7</v>
          </cell>
          <cell r="W1043">
            <v>15.4</v>
          </cell>
        </row>
      </sheetData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23%20jan%20202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314.729521759262" createdVersion="6" refreshedVersion="6" minRefreshableVersion="3" recordCount="15">
  <cacheSource type="worksheet">
    <worksheetSource ref="D2:L17" sheet="Sheet2" r:id="rId2"/>
  </cacheSource>
  <cacheFields count="9">
    <cacheField name="SL" numFmtId="0">
      <sharedItems containsSemiMixedTypes="0" containsString="0" containsNumber="1" containsInteger="1" minValue="1281148" maxValue="1281745"/>
    </cacheField>
    <cacheField name="ID" numFmtId="0">
      <sharedItems count="15">
        <s v="MD. SANAULLA"/>
        <s v="MD. RAJU AHMED"/>
        <s v="Md Najmul Islam"/>
        <s v="Mostofa Aminur Rashid"/>
        <s v="Md.Kutub Uddin"/>
        <s v="Shamima Nasrin"/>
        <s v="Md. Towhidul Alam"/>
        <s v="MD. AMINUL HOQUE"/>
        <s v="Shabab Ahmed"/>
        <s v="Md. Rabiul Islam"/>
        <s v="Nusrat Jahan"/>
        <s v="MD. RAFIQUL ISLAM RAZU"/>
        <s v="MD. Nasif Shahriar"/>
        <s v="Hasan"/>
        <s v="NAYAMUL LSLAM"/>
      </sharedItems>
    </cacheField>
    <cacheField name="Name" numFmtId="0">
      <sharedItems containsMixedTypes="1" containsNumber="1" containsInteger="1" minValue="34760" maxValue="36172" count="15">
        <s v="15/02/1997"/>
        <s v="17/09/1996"/>
        <s v="16/06/1999"/>
        <s v="14/10/1999"/>
        <s v="13/08/2000"/>
        <s v="20/12/1996"/>
        <s v="17/12/1998"/>
        <n v="35132"/>
        <s v="28/09/2000"/>
        <s v="15/05/1997"/>
        <s v="14/10/2000"/>
        <n v="36136"/>
        <n v="36172"/>
        <n v="35796"/>
        <n v="34760"/>
      </sharedItems>
    </cacheField>
    <cacheField name="DOB" numFmtId="0">
      <sharedItems/>
    </cacheField>
    <cacheField name="Phone" numFmtId="0">
      <sharedItems containsBlank="1"/>
    </cacheField>
    <cacheField name="Email" numFmtId="0">
      <sharedItems containsSemiMixedTypes="0" containsString="0" containsNumber="1" containsInteger="1" minValue="10000" maxValue="80000"/>
    </cacheField>
    <cacheField name="Salary" numFmtId="0">
      <sharedItems containsSemiMixedTypes="0" containsString="0" containsNumber="1" minValue="0.02" maxValue="0.8"/>
    </cacheField>
    <cacheField name="%" numFmtId="0">
      <sharedItems containsSemiMixedTypes="0" containsString="0" containsNumber="1" containsInteger="1" minValue="600" maxValue="40000"/>
    </cacheField>
    <cacheField name="Tota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n v="1281148"/>
    <x v="0"/>
    <x v="0"/>
    <s v="01303246215"/>
    <s v="sanaullah1997215@gmail.com"/>
    <n v="10000"/>
    <n v="0.5"/>
    <n v="5000"/>
    <m/>
  </r>
  <r>
    <n v="1281250"/>
    <x v="1"/>
    <x v="1"/>
    <s v="01624960378"/>
    <s v="tamimahmedraju@gmail.com"/>
    <n v="20000"/>
    <n v="0.6"/>
    <n v="12000"/>
    <m/>
  </r>
  <r>
    <n v="1281305"/>
    <x v="2"/>
    <x v="2"/>
    <s v="01790349310"/>
    <s v="thatsnajmul@gmail.com"/>
    <n v="30000"/>
    <n v="0.05"/>
    <n v="1500"/>
    <m/>
  </r>
  <r>
    <n v="1281332"/>
    <x v="3"/>
    <x v="3"/>
    <s v="01521417316"/>
    <s v="mostofa.aminur.rezvi@gmail.com"/>
    <n v="40000"/>
    <n v="0.1"/>
    <n v="4000"/>
    <m/>
  </r>
  <r>
    <n v="1281514"/>
    <x v="4"/>
    <x v="4"/>
    <s v="01763001787"/>
    <s v="mdkutub150@gmail.com"/>
    <n v="50000"/>
    <n v="0.2"/>
    <n v="10000"/>
    <m/>
  </r>
  <r>
    <n v="1281521"/>
    <x v="5"/>
    <x v="5"/>
    <s v="01838020680"/>
    <s v="nasrin05shamima@gmail.com"/>
    <n v="60000"/>
    <n v="0.3"/>
    <n v="18000"/>
    <m/>
  </r>
  <r>
    <n v="1281524"/>
    <x v="6"/>
    <x v="6"/>
    <s v="01767515057"/>
    <s v="alammdtowhidul9@gmail.com"/>
    <n v="70000"/>
    <n v="0.4"/>
    <n v="28000"/>
    <m/>
  </r>
  <r>
    <n v="1281525"/>
    <x v="7"/>
    <x v="7"/>
    <s v="01717947670"/>
    <s v="nusunusu111@gmail.com"/>
    <n v="80000"/>
    <n v="0.5"/>
    <n v="40000"/>
    <m/>
  </r>
  <r>
    <n v="1281539"/>
    <x v="8"/>
    <x v="8"/>
    <s v="01710295968"/>
    <s v="sabab239.1@gmail.com"/>
    <n v="10000"/>
    <n v="0.6"/>
    <n v="6000"/>
    <m/>
  </r>
  <r>
    <n v="1281573"/>
    <x v="9"/>
    <x v="9"/>
    <s v="01780568877"/>
    <s v="rbiulislam10571@gmail.com"/>
    <n v="20000"/>
    <n v="0.05"/>
    <n v="1000"/>
    <m/>
  </r>
  <r>
    <n v="1281608"/>
    <x v="10"/>
    <x v="10"/>
    <s v="01847307407"/>
    <s v="n.j.naima222@gmail.com"/>
    <n v="30000"/>
    <n v="0.02"/>
    <n v="600"/>
    <m/>
  </r>
  <r>
    <n v="1281656"/>
    <x v="11"/>
    <x v="11"/>
    <s v="01775805206"/>
    <s v="rafiqulislamrazu977@gmail.com"/>
    <n v="40000"/>
    <n v="0.3"/>
    <n v="12000"/>
    <m/>
  </r>
  <r>
    <n v="1281661"/>
    <x v="12"/>
    <x v="12"/>
    <s v="01784054171"/>
    <s v="shahriyarnirjash1996@gmail.com"/>
    <n v="50000"/>
    <n v="0.8"/>
    <n v="40000"/>
    <m/>
  </r>
  <r>
    <n v="1281714"/>
    <x v="13"/>
    <x v="13"/>
    <s v="01813058381"/>
    <m/>
    <n v="60000"/>
    <n v="0.04"/>
    <n v="2400"/>
    <m/>
  </r>
  <r>
    <n v="1281745"/>
    <x v="14"/>
    <x v="14"/>
    <s v="01323276407"/>
    <s v="nayamulislam@gmail.com"/>
    <n v="70000"/>
    <n v="0.04"/>
    <n v="28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9" firstHeaderRow="1" firstDataRow="1" firstDataCol="1"/>
  <pivotFields count="9">
    <pivotField showAll="0"/>
    <pivotField axis="axisRow" showAll="0">
      <items count="16">
        <item x="13"/>
        <item x="2"/>
        <item x="7"/>
        <item x="12"/>
        <item x="9"/>
        <item x="11"/>
        <item x="1"/>
        <item x="0"/>
        <item x="6"/>
        <item x="4"/>
        <item x="3"/>
        <item x="14"/>
        <item x="10"/>
        <item x="8"/>
        <item x="5"/>
        <item t="default"/>
      </items>
    </pivotField>
    <pivotField showAll="0">
      <items count="16">
        <item x="14"/>
        <item x="7"/>
        <item x="13"/>
        <item x="11"/>
        <item x="12"/>
        <item x="4"/>
        <item x="3"/>
        <item x="10"/>
        <item x="0"/>
        <item x="9"/>
        <item x="2"/>
        <item x="1"/>
        <item x="6"/>
        <item x="5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Email" fld="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data" displayName="data" ref="N7:V20" totalsRowShown="0" headerRowDxfId="29" headerRowBorderDxfId="28" tableBorderDxfId="27">
  <autoFilter ref="N7:V20"/>
  <tableColumns count="9">
    <tableColumn id="1" name="Column1" dataDxfId="26"/>
    <tableColumn id="2" name="Column2">
      <calculatedColumnFormula>VLOOKUP(N8,[1]Orders!$A$5:$W$1043,3,0)</calculatedColumnFormula>
    </tableColumn>
    <tableColumn id="3" name="Column3">
      <calculatedColumnFormula>VLOOKUP(N8,[1]Orders!$A$5:$W$1043,23,0)</calculatedColumnFormula>
    </tableColumn>
    <tableColumn id="4" name="Column4">
      <calculatedColumnFormula>VLOOKUP(N8,[1]Orders!$A$5:$W$1043,5,0)</calculatedColumnFormula>
    </tableColumn>
    <tableColumn id="5" name="Column5">
      <calculatedColumnFormula>VLOOKUP(N8,[1]Orders!$A$5:$W$1043,5,0)</calculatedColumnFormula>
    </tableColumn>
    <tableColumn id="6" name="Column6">
      <calculatedColumnFormula>VLOOKUP(N8,[1]Orders!$A$5:$W$1043,6,0)</calculatedColumnFormula>
    </tableColumn>
    <tableColumn id="7" name="Column7">
      <calculatedColumnFormula>VLOOKUP(N8,[1]Orders!$A$5:$W$1043,7,0)</calculatedColumnFormula>
    </tableColumn>
    <tableColumn id="8" name="Column8">
      <calculatedColumnFormula>VLOOKUP(N8,[1]Orders!$A$5:$W$1043,8,0)</calculatedColumnFormula>
    </tableColumn>
    <tableColumn id="9" name="Column9">
      <calculatedColumnFormula>VLOOKUP(N8,[1]Orders!$A$5:$W$1043,9,0)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shippipping_data" displayName="shippipping_data" ref="A4:W30" totalsRowShown="0" headerRowDxfId="25" dataDxfId="24" tableBorderDxfId="23" dataCellStyle="Percent">
  <autoFilter ref="A4:W30"/>
  <tableColumns count="23">
    <tableColumn id="1" name="Column1" dataDxfId="22"/>
    <tableColumn id="2" name="Column2" dataDxfId="21"/>
    <tableColumn id="3" name="Column3" dataDxfId="20"/>
    <tableColumn id="4" name="Column4" dataDxfId="19"/>
    <tableColumn id="5" name="Column5" dataDxfId="18"/>
    <tableColumn id="6" name="Column6" dataDxfId="17"/>
    <tableColumn id="7" name="Column7" dataDxfId="16"/>
    <tableColumn id="8" name="Column8" dataDxfId="15"/>
    <tableColumn id="9" name="Column9" dataDxfId="14"/>
    <tableColumn id="10" name="Column10" dataDxfId="13"/>
    <tableColumn id="11" name="Column11" dataDxfId="12"/>
    <tableColumn id="12" name="Column12" dataDxfId="11"/>
    <tableColumn id="13" name="Column13" dataDxfId="10"/>
    <tableColumn id="14" name="Column14" dataDxfId="9"/>
    <tableColumn id="15" name="Column15" dataDxfId="8"/>
    <tableColumn id="16" name="Column16" dataDxfId="7"/>
    <tableColumn id="17" name="Column17" dataDxfId="6"/>
    <tableColumn id="18" name="Column18" dataDxfId="5">
      <calculatedColumnFormula>P5*Q5</calculatedColumnFormula>
    </tableColumn>
    <tableColumn id="19" name="Column19" dataDxfId="4" dataCellStyle="Percent"/>
    <tableColumn id="20" name="Column20" dataDxfId="3" dataCellStyle="Percent">
      <calculatedColumnFormula>R5*S5</calculatedColumnFormula>
    </tableColumn>
    <tableColumn id="21" name="Column21" dataDxfId="2" dataCellStyle="Percent">
      <calculatedColumnFormula>R5-S5</calculatedColumnFormula>
    </tableColumn>
    <tableColumn id="22" name="Column22" dataDxfId="1"/>
    <tableColumn id="23" name="Column23" dataDxfId="0">
      <calculatedColumnFormula>U5+V5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X92"/>
  <sheetViews>
    <sheetView workbookViewId="0">
      <selection activeCell="G11" sqref="G11:H11"/>
    </sheetView>
  </sheetViews>
  <sheetFormatPr defaultRowHeight="15" x14ac:dyDescent="0.25"/>
  <cols>
    <col min="3" max="3" width="10.85546875" bestFit="1" customWidth="1"/>
  </cols>
  <sheetData>
    <row r="4" spans="3:24" x14ac:dyDescent="0.25">
      <c r="C4" t="s">
        <v>1177</v>
      </c>
      <c r="D4" t="s">
        <v>1177</v>
      </c>
      <c r="E4" t="s">
        <v>1177</v>
      </c>
      <c r="F4" t="s">
        <v>1177</v>
      </c>
      <c r="G4" t="s">
        <v>1177</v>
      </c>
      <c r="H4" t="s">
        <v>1177</v>
      </c>
      <c r="I4" t="s">
        <v>1177</v>
      </c>
      <c r="J4" t="s">
        <v>1177</v>
      </c>
      <c r="K4" t="s">
        <v>1177</v>
      </c>
      <c r="L4" t="s">
        <v>1177</v>
      </c>
      <c r="M4" t="s">
        <v>1177</v>
      </c>
      <c r="N4" t="s">
        <v>1177</v>
      </c>
      <c r="O4" t="s">
        <v>1177</v>
      </c>
      <c r="P4" t="s">
        <v>1177</v>
      </c>
      <c r="Q4" t="s">
        <v>1177</v>
      </c>
      <c r="R4" t="s">
        <v>1177</v>
      </c>
      <c r="S4" t="s">
        <v>1177</v>
      </c>
      <c r="T4" t="s">
        <v>1177</v>
      </c>
      <c r="U4" t="s">
        <v>1177</v>
      </c>
      <c r="V4" t="s">
        <v>1177</v>
      </c>
      <c r="W4" t="s">
        <v>1177</v>
      </c>
      <c r="X4" t="s">
        <v>1177</v>
      </c>
    </row>
    <row r="5" spans="3:24" x14ac:dyDescent="0.25">
      <c r="C5" t="s">
        <v>1177</v>
      </c>
    </row>
    <row r="6" spans="3:24" x14ac:dyDescent="0.25">
      <c r="C6" t="s">
        <v>1177</v>
      </c>
    </row>
    <row r="7" spans="3:24" x14ac:dyDescent="0.25">
      <c r="C7" t="s">
        <v>1177</v>
      </c>
    </row>
    <row r="8" spans="3:24" x14ac:dyDescent="0.25">
      <c r="C8" t="s">
        <v>1177</v>
      </c>
    </row>
    <row r="9" spans="3:24" x14ac:dyDescent="0.25">
      <c r="C9" t="s">
        <v>1177</v>
      </c>
    </row>
    <row r="10" spans="3:24" x14ac:dyDescent="0.25">
      <c r="C10" t="s">
        <v>1177</v>
      </c>
    </row>
    <row r="11" spans="3:24" x14ac:dyDescent="0.25">
      <c r="C11" t="s">
        <v>1177</v>
      </c>
    </row>
    <row r="12" spans="3:24" x14ac:dyDescent="0.25">
      <c r="C12" t="s">
        <v>1177</v>
      </c>
    </row>
    <row r="13" spans="3:24" x14ac:dyDescent="0.25">
      <c r="C13" t="s">
        <v>1177</v>
      </c>
    </row>
    <row r="14" spans="3:24" x14ac:dyDescent="0.25">
      <c r="C14" t="s">
        <v>1177</v>
      </c>
    </row>
    <row r="15" spans="3:24" x14ac:dyDescent="0.25">
      <c r="C15" t="s">
        <v>1177</v>
      </c>
    </row>
    <row r="16" spans="3:24" x14ac:dyDescent="0.25">
      <c r="C16" t="s">
        <v>1177</v>
      </c>
    </row>
    <row r="17" spans="3:3" x14ac:dyDescent="0.25">
      <c r="C17" t="s">
        <v>1177</v>
      </c>
    </row>
    <row r="18" spans="3:3" x14ac:dyDescent="0.25">
      <c r="C18" t="s">
        <v>1177</v>
      </c>
    </row>
    <row r="19" spans="3:3" x14ac:dyDescent="0.25">
      <c r="C19" t="s">
        <v>1177</v>
      </c>
    </row>
    <row r="20" spans="3:3" x14ac:dyDescent="0.25">
      <c r="C20" t="s">
        <v>1177</v>
      </c>
    </row>
    <row r="21" spans="3:3" x14ac:dyDescent="0.25">
      <c r="C21" t="s">
        <v>1177</v>
      </c>
    </row>
    <row r="22" spans="3:3" x14ac:dyDescent="0.25">
      <c r="C22" t="s">
        <v>1177</v>
      </c>
    </row>
    <row r="23" spans="3:3" x14ac:dyDescent="0.25">
      <c r="C23" t="s">
        <v>1177</v>
      </c>
    </row>
    <row r="24" spans="3:3" x14ac:dyDescent="0.25">
      <c r="C24" t="s">
        <v>1177</v>
      </c>
    </row>
    <row r="25" spans="3:3" x14ac:dyDescent="0.25">
      <c r="C25" t="s">
        <v>1177</v>
      </c>
    </row>
    <row r="26" spans="3:3" x14ac:dyDescent="0.25">
      <c r="C26" t="s">
        <v>1177</v>
      </c>
    </row>
    <row r="27" spans="3:3" x14ac:dyDescent="0.25">
      <c r="C27" t="s">
        <v>1177</v>
      </c>
    </row>
    <row r="28" spans="3:3" x14ac:dyDescent="0.25">
      <c r="C28" t="s">
        <v>1177</v>
      </c>
    </row>
    <row r="29" spans="3:3" x14ac:dyDescent="0.25">
      <c r="C29" t="s">
        <v>1177</v>
      </c>
    </row>
    <row r="30" spans="3:3" x14ac:dyDescent="0.25">
      <c r="C30" t="s">
        <v>1177</v>
      </c>
    </row>
    <row r="31" spans="3:3" x14ac:dyDescent="0.25">
      <c r="C31" t="s">
        <v>1177</v>
      </c>
    </row>
    <row r="32" spans="3:3" x14ac:dyDescent="0.25">
      <c r="C32" t="s">
        <v>1177</v>
      </c>
    </row>
    <row r="33" spans="3:3" x14ac:dyDescent="0.25">
      <c r="C33" t="s">
        <v>1177</v>
      </c>
    </row>
    <row r="34" spans="3:3" x14ac:dyDescent="0.25">
      <c r="C34" t="s">
        <v>1177</v>
      </c>
    </row>
    <row r="35" spans="3:3" x14ac:dyDescent="0.25">
      <c r="C35" t="s">
        <v>1177</v>
      </c>
    </row>
    <row r="36" spans="3:3" x14ac:dyDescent="0.25">
      <c r="C36" t="s">
        <v>1177</v>
      </c>
    </row>
    <row r="37" spans="3:3" x14ac:dyDescent="0.25">
      <c r="C37" t="s">
        <v>1177</v>
      </c>
    </row>
    <row r="38" spans="3:3" x14ac:dyDescent="0.25">
      <c r="C38" t="s">
        <v>1177</v>
      </c>
    </row>
    <row r="39" spans="3:3" x14ac:dyDescent="0.25">
      <c r="C39" t="s">
        <v>1177</v>
      </c>
    </row>
    <row r="40" spans="3:3" x14ac:dyDescent="0.25">
      <c r="C40" t="s">
        <v>1177</v>
      </c>
    </row>
    <row r="41" spans="3:3" x14ac:dyDescent="0.25">
      <c r="C41" t="s">
        <v>1177</v>
      </c>
    </row>
    <row r="42" spans="3:3" x14ac:dyDescent="0.25">
      <c r="C42" t="s">
        <v>1177</v>
      </c>
    </row>
    <row r="43" spans="3:3" x14ac:dyDescent="0.25">
      <c r="C43" t="s">
        <v>1177</v>
      </c>
    </row>
    <row r="44" spans="3:3" x14ac:dyDescent="0.25">
      <c r="C44" t="s">
        <v>1177</v>
      </c>
    </row>
    <row r="45" spans="3:3" x14ac:dyDescent="0.25">
      <c r="C45" t="s">
        <v>1177</v>
      </c>
    </row>
    <row r="46" spans="3:3" x14ac:dyDescent="0.25">
      <c r="C46" t="s">
        <v>1177</v>
      </c>
    </row>
    <row r="47" spans="3:3" x14ac:dyDescent="0.25">
      <c r="C47" t="s">
        <v>1177</v>
      </c>
    </row>
    <row r="48" spans="3:3" x14ac:dyDescent="0.25">
      <c r="C48" t="s">
        <v>1177</v>
      </c>
    </row>
    <row r="49" spans="3:3" x14ac:dyDescent="0.25">
      <c r="C49" t="s">
        <v>1177</v>
      </c>
    </row>
    <row r="50" spans="3:3" x14ac:dyDescent="0.25">
      <c r="C50" t="s">
        <v>1177</v>
      </c>
    </row>
    <row r="51" spans="3:3" x14ac:dyDescent="0.25">
      <c r="C51" t="s">
        <v>1177</v>
      </c>
    </row>
    <row r="52" spans="3:3" x14ac:dyDescent="0.25">
      <c r="C52" t="s">
        <v>1177</v>
      </c>
    </row>
    <row r="53" spans="3:3" x14ac:dyDescent="0.25">
      <c r="C53" t="s">
        <v>1177</v>
      </c>
    </row>
    <row r="54" spans="3:3" x14ac:dyDescent="0.25">
      <c r="C54" t="s">
        <v>1177</v>
      </c>
    </row>
    <row r="55" spans="3:3" x14ac:dyDescent="0.25">
      <c r="C55" t="s">
        <v>1177</v>
      </c>
    </row>
    <row r="56" spans="3:3" x14ac:dyDescent="0.25">
      <c r="C56" t="s">
        <v>1177</v>
      </c>
    </row>
    <row r="57" spans="3:3" x14ac:dyDescent="0.25">
      <c r="C57" t="s">
        <v>1177</v>
      </c>
    </row>
    <row r="58" spans="3:3" x14ac:dyDescent="0.25">
      <c r="C58" t="s">
        <v>1177</v>
      </c>
    </row>
    <row r="59" spans="3:3" x14ac:dyDescent="0.25">
      <c r="C59" t="s">
        <v>1177</v>
      </c>
    </row>
    <row r="60" spans="3:3" x14ac:dyDescent="0.25">
      <c r="C60" t="s">
        <v>1177</v>
      </c>
    </row>
    <row r="61" spans="3:3" x14ac:dyDescent="0.25">
      <c r="C61" t="s">
        <v>1177</v>
      </c>
    </row>
    <row r="62" spans="3:3" x14ac:dyDescent="0.25">
      <c r="C62" t="s">
        <v>1177</v>
      </c>
    </row>
    <row r="63" spans="3:3" x14ac:dyDescent="0.25">
      <c r="C63" t="s">
        <v>1177</v>
      </c>
    </row>
    <row r="64" spans="3:3" x14ac:dyDescent="0.25">
      <c r="C64" t="s">
        <v>1177</v>
      </c>
    </row>
    <row r="65" spans="3:3" x14ac:dyDescent="0.25">
      <c r="C65" t="s">
        <v>1177</v>
      </c>
    </row>
    <row r="66" spans="3:3" x14ac:dyDescent="0.25">
      <c r="C66" t="s">
        <v>1177</v>
      </c>
    </row>
    <row r="67" spans="3:3" x14ac:dyDescent="0.25">
      <c r="C67" t="s">
        <v>1177</v>
      </c>
    </row>
    <row r="68" spans="3:3" x14ac:dyDescent="0.25">
      <c r="C68" t="s">
        <v>1177</v>
      </c>
    </row>
    <row r="69" spans="3:3" x14ac:dyDescent="0.25">
      <c r="C69" t="s">
        <v>1177</v>
      </c>
    </row>
    <row r="70" spans="3:3" x14ac:dyDescent="0.25">
      <c r="C70" t="s">
        <v>1177</v>
      </c>
    </row>
    <row r="71" spans="3:3" x14ac:dyDescent="0.25">
      <c r="C71" t="s">
        <v>1177</v>
      </c>
    </row>
    <row r="72" spans="3:3" x14ac:dyDescent="0.25">
      <c r="C72" t="s">
        <v>1177</v>
      </c>
    </row>
    <row r="73" spans="3:3" x14ac:dyDescent="0.25">
      <c r="C73" t="s">
        <v>1177</v>
      </c>
    </row>
    <row r="74" spans="3:3" x14ac:dyDescent="0.25">
      <c r="C74" t="s">
        <v>1177</v>
      </c>
    </row>
    <row r="75" spans="3:3" x14ac:dyDescent="0.25">
      <c r="C75" t="s">
        <v>1177</v>
      </c>
    </row>
    <row r="76" spans="3:3" x14ac:dyDescent="0.25">
      <c r="C76" t="s">
        <v>1177</v>
      </c>
    </row>
    <row r="77" spans="3:3" x14ac:dyDescent="0.25">
      <c r="C77" t="s">
        <v>1177</v>
      </c>
    </row>
    <row r="78" spans="3:3" x14ac:dyDescent="0.25">
      <c r="C78" t="s">
        <v>1177</v>
      </c>
    </row>
    <row r="79" spans="3:3" x14ac:dyDescent="0.25">
      <c r="C79" t="s">
        <v>1177</v>
      </c>
    </row>
    <row r="80" spans="3:3" x14ac:dyDescent="0.25">
      <c r="C80" t="s">
        <v>1177</v>
      </c>
    </row>
    <row r="81" spans="3:3" x14ac:dyDescent="0.25">
      <c r="C81" t="s">
        <v>1177</v>
      </c>
    </row>
    <row r="82" spans="3:3" x14ac:dyDescent="0.25">
      <c r="C82" t="s">
        <v>1177</v>
      </c>
    </row>
    <row r="83" spans="3:3" x14ac:dyDescent="0.25">
      <c r="C83" t="s">
        <v>1177</v>
      </c>
    </row>
    <row r="84" spans="3:3" x14ac:dyDescent="0.25">
      <c r="C84" t="s">
        <v>1177</v>
      </c>
    </row>
    <row r="85" spans="3:3" x14ac:dyDescent="0.25">
      <c r="C85" t="s">
        <v>1177</v>
      </c>
    </row>
    <row r="86" spans="3:3" x14ac:dyDescent="0.25">
      <c r="C86" t="s">
        <v>1177</v>
      </c>
    </row>
    <row r="87" spans="3:3" x14ac:dyDescent="0.25">
      <c r="C87" t="s">
        <v>1177</v>
      </c>
    </row>
    <row r="88" spans="3:3" x14ac:dyDescent="0.25">
      <c r="C88" t="s">
        <v>1177</v>
      </c>
    </row>
    <row r="89" spans="3:3" x14ac:dyDescent="0.25">
      <c r="C89" t="s">
        <v>1177</v>
      </c>
    </row>
    <row r="90" spans="3:3" x14ac:dyDescent="0.25">
      <c r="C90" t="s">
        <v>1177</v>
      </c>
    </row>
    <row r="91" spans="3:3" x14ac:dyDescent="0.25">
      <c r="C91" t="s">
        <v>1177</v>
      </c>
    </row>
    <row r="92" spans="3:3" x14ac:dyDescent="0.25">
      <c r="C92" t="s">
        <v>1177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Q35"/>
  <sheetViews>
    <sheetView workbookViewId="0">
      <selection activeCell="H16" sqref="H16"/>
    </sheetView>
  </sheetViews>
  <sheetFormatPr defaultRowHeight="15" x14ac:dyDescent="0.25"/>
  <cols>
    <col min="8" max="8" width="24" bestFit="1" customWidth="1"/>
    <col min="9" max="10" width="6.7109375" customWidth="1"/>
    <col min="11" max="11" width="7.7109375" customWidth="1"/>
    <col min="12" max="12" width="7.5703125" customWidth="1"/>
    <col min="13" max="13" width="16.85546875" bestFit="1" customWidth="1"/>
    <col min="14" max="14" width="9.7109375" bestFit="1" customWidth="1"/>
  </cols>
  <sheetData>
    <row r="3" spans="6:15" x14ac:dyDescent="0.25">
      <c r="F3" s="74" t="s">
        <v>121</v>
      </c>
      <c r="G3" s="74"/>
      <c r="H3" s="74"/>
      <c r="I3" s="74"/>
      <c r="J3" s="74"/>
      <c r="K3" s="74"/>
      <c r="L3" s="74"/>
      <c r="M3" s="74"/>
      <c r="N3" s="74"/>
      <c r="O3" s="74"/>
    </row>
    <row r="4" spans="6:15" x14ac:dyDescent="0.25">
      <c r="G4" s="35" t="s">
        <v>86</v>
      </c>
      <c r="H4" s="35" t="s">
        <v>87</v>
      </c>
      <c r="I4" s="35"/>
      <c r="J4" s="35"/>
      <c r="K4" s="35"/>
      <c r="L4" s="35" t="s">
        <v>88</v>
      </c>
      <c r="M4" s="35" t="s">
        <v>89</v>
      </c>
      <c r="N4" s="35" t="s">
        <v>90</v>
      </c>
      <c r="O4" s="35" t="s">
        <v>91</v>
      </c>
    </row>
    <row r="5" spans="6:15" x14ac:dyDescent="0.25">
      <c r="F5" s="34" t="s">
        <v>72</v>
      </c>
      <c r="G5" s="34" t="s">
        <v>73</v>
      </c>
      <c r="H5" s="34" t="s">
        <v>74</v>
      </c>
      <c r="I5" s="34"/>
      <c r="J5" s="34"/>
      <c r="K5" s="34"/>
      <c r="L5" s="34" t="s">
        <v>75</v>
      </c>
      <c r="M5" s="34" t="s">
        <v>76</v>
      </c>
      <c r="N5" s="34" t="s">
        <v>77</v>
      </c>
      <c r="O5" s="34" t="s">
        <v>92</v>
      </c>
    </row>
    <row r="6" spans="6:15" x14ac:dyDescent="0.25">
      <c r="F6" s="40" t="s">
        <v>1</v>
      </c>
      <c r="G6" s="40" t="s">
        <v>65</v>
      </c>
      <c r="H6" s="40" t="s">
        <v>78</v>
      </c>
      <c r="I6" s="40"/>
      <c r="J6" s="40"/>
      <c r="K6" s="40"/>
      <c r="L6" s="40" t="s">
        <v>79</v>
      </c>
      <c r="M6" s="40" t="s">
        <v>80</v>
      </c>
      <c r="N6" s="37"/>
      <c r="O6" s="37"/>
    </row>
    <row r="7" spans="6:15" x14ac:dyDescent="0.25">
      <c r="F7" s="37" t="s">
        <v>69</v>
      </c>
      <c r="G7" s="37">
        <v>33</v>
      </c>
      <c r="H7" s="37">
        <v>33</v>
      </c>
      <c r="I7" s="37"/>
      <c r="J7" s="37"/>
      <c r="K7" s="37"/>
      <c r="L7" s="37" t="str">
        <f>IF(G7&gt;=H7,"Pass",)</f>
        <v>Pass</v>
      </c>
      <c r="M7" s="37">
        <f t="shared" ref="M7:M13" si="0">IF(H7&lt;=L7,0,"Fail")</f>
        <v>0</v>
      </c>
      <c r="N7" s="37"/>
      <c r="O7" s="37"/>
    </row>
    <row r="8" spans="6:15" x14ac:dyDescent="0.25">
      <c r="F8" s="37" t="s">
        <v>70</v>
      </c>
      <c r="G8" s="37">
        <v>34</v>
      </c>
      <c r="H8" s="37">
        <v>33</v>
      </c>
      <c r="I8" s="37"/>
      <c r="J8" s="37"/>
      <c r="K8" s="37"/>
      <c r="L8" s="37" t="str">
        <f t="shared" ref="L8:L14" si="1">IF(G8&gt;=H8,"Pass",)</f>
        <v>Pass</v>
      </c>
      <c r="M8" s="37">
        <f t="shared" si="0"/>
        <v>0</v>
      </c>
      <c r="N8" s="37"/>
      <c r="O8" s="37"/>
    </row>
    <row r="9" spans="6:15" x14ac:dyDescent="0.25">
      <c r="F9" s="37" t="s">
        <v>71</v>
      </c>
      <c r="G9" s="37">
        <v>32</v>
      </c>
      <c r="H9" s="37">
        <v>33</v>
      </c>
      <c r="I9" s="37"/>
      <c r="J9" s="37"/>
      <c r="K9" s="37"/>
      <c r="L9" s="37">
        <f t="shared" si="1"/>
        <v>0</v>
      </c>
      <c r="M9" s="37" t="str">
        <f t="shared" si="0"/>
        <v>Fail</v>
      </c>
      <c r="N9" s="37"/>
      <c r="O9" s="37"/>
    </row>
    <row r="10" spans="6:15" x14ac:dyDescent="0.25">
      <c r="F10" s="37" t="s">
        <v>81</v>
      </c>
      <c r="G10" s="37">
        <v>30</v>
      </c>
      <c r="H10" s="37">
        <v>33</v>
      </c>
      <c r="I10" s="37"/>
      <c r="J10" s="37"/>
      <c r="K10" s="37"/>
      <c r="L10" s="37">
        <f t="shared" si="1"/>
        <v>0</v>
      </c>
      <c r="M10" s="37" t="str">
        <f>IF(H10&lt;=L10,0,"Fail")</f>
        <v>Fail</v>
      </c>
      <c r="N10" s="37"/>
      <c r="O10" s="37"/>
    </row>
    <row r="11" spans="6:15" x14ac:dyDescent="0.25">
      <c r="F11" s="37" t="s">
        <v>82</v>
      </c>
      <c r="G11" s="37">
        <v>40</v>
      </c>
      <c r="H11" s="37">
        <v>33</v>
      </c>
      <c r="I11" s="37"/>
      <c r="J11" s="37"/>
      <c r="K11" s="37"/>
      <c r="L11" s="37" t="str">
        <f t="shared" si="1"/>
        <v>Pass</v>
      </c>
      <c r="M11" s="37">
        <f t="shared" si="0"/>
        <v>0</v>
      </c>
      <c r="N11" s="37"/>
      <c r="O11" s="37"/>
    </row>
    <row r="12" spans="6:15" x14ac:dyDescent="0.25">
      <c r="F12" s="37" t="s">
        <v>83</v>
      </c>
      <c r="G12" s="37">
        <v>50</v>
      </c>
      <c r="H12" s="37">
        <v>33</v>
      </c>
      <c r="I12" s="37"/>
      <c r="J12" s="37"/>
      <c r="K12" s="37"/>
      <c r="L12" s="37" t="str">
        <f t="shared" si="1"/>
        <v>Pass</v>
      </c>
      <c r="M12" s="37">
        <f t="shared" si="0"/>
        <v>0</v>
      </c>
      <c r="N12" s="37"/>
      <c r="O12" s="37"/>
    </row>
    <row r="13" spans="6:15" x14ac:dyDescent="0.25">
      <c r="F13" s="37" t="s">
        <v>84</v>
      </c>
      <c r="G13" s="37">
        <v>55</v>
      </c>
      <c r="H13" s="37">
        <v>33</v>
      </c>
      <c r="I13" s="37"/>
      <c r="J13" s="37"/>
      <c r="K13" s="37"/>
      <c r="L13" s="37" t="str">
        <f t="shared" si="1"/>
        <v>Pass</v>
      </c>
      <c r="M13" s="37">
        <f t="shared" si="0"/>
        <v>0</v>
      </c>
      <c r="N13" s="37"/>
      <c r="O13" s="37"/>
    </row>
    <row r="14" spans="6:15" x14ac:dyDescent="0.25">
      <c r="F14" s="37" t="s">
        <v>85</v>
      </c>
      <c r="G14" s="37">
        <v>60</v>
      </c>
      <c r="H14" s="37">
        <v>33</v>
      </c>
      <c r="I14" s="37"/>
      <c r="J14" s="37"/>
      <c r="K14" s="37"/>
      <c r="L14" s="37" t="str">
        <f t="shared" si="1"/>
        <v>Pass</v>
      </c>
      <c r="M14" s="37">
        <f>IF(H14&lt;=L14,0,"Fail")</f>
        <v>0</v>
      </c>
      <c r="N14" s="37"/>
      <c r="O14" s="37"/>
    </row>
    <row r="17" spans="6:17" x14ac:dyDescent="0.25">
      <c r="F17" s="74"/>
      <c r="G17" s="74"/>
      <c r="H17" s="74"/>
      <c r="I17" s="74"/>
      <c r="J17" s="74"/>
      <c r="K17" s="74"/>
      <c r="L17" s="74"/>
      <c r="M17" s="74"/>
      <c r="N17" s="74"/>
      <c r="O17" s="74"/>
    </row>
    <row r="20" spans="6:17" x14ac:dyDescent="0.25">
      <c r="F20" s="36" t="s">
        <v>45</v>
      </c>
      <c r="G20" s="36" t="s">
        <v>0</v>
      </c>
      <c r="H20" s="36" t="s">
        <v>1</v>
      </c>
      <c r="I20" s="36" t="s">
        <v>118</v>
      </c>
      <c r="J20" s="36" t="s">
        <v>120</v>
      </c>
      <c r="K20" s="36" t="s">
        <v>119</v>
      </c>
      <c r="L20" s="36" t="s">
        <v>65</v>
      </c>
      <c r="M20" s="36" t="s">
        <v>93</v>
      </c>
      <c r="N20" s="36" t="s">
        <v>94</v>
      </c>
    </row>
    <row r="21" spans="6:17" x14ac:dyDescent="0.25">
      <c r="F21" s="39">
        <v>1</v>
      </c>
      <c r="G21" s="37">
        <v>1281148</v>
      </c>
      <c r="H21" s="25" t="s">
        <v>6</v>
      </c>
      <c r="I21" s="25"/>
      <c r="J21" s="25"/>
      <c r="K21" s="25"/>
      <c r="L21" s="37">
        <v>100</v>
      </c>
      <c r="M21" s="37" t="str">
        <f>IF(L21&lt;=32,"F",IF(L21&lt;=39,"D",IF(L21&lt;=49,"C",IF(L21&lt;=59,"B",IF(L21&lt;=69,"A-",IF(L21&lt;=79,"A","A+"))))))</f>
        <v>A+</v>
      </c>
      <c r="N21" s="37"/>
      <c r="P21" s="37" t="s">
        <v>95</v>
      </c>
      <c r="Q21" s="37" t="s">
        <v>98</v>
      </c>
    </row>
    <row r="22" spans="6:17" x14ac:dyDescent="0.25">
      <c r="F22" s="39">
        <v>2</v>
      </c>
      <c r="G22" s="37">
        <v>1281250</v>
      </c>
      <c r="H22" s="25" t="s">
        <v>9</v>
      </c>
      <c r="I22" s="25"/>
      <c r="J22" s="25"/>
      <c r="K22" s="25"/>
      <c r="L22" s="37">
        <v>51</v>
      </c>
      <c r="M22" s="37" t="str">
        <f t="shared" ref="M22:M35" si="2">IF(L22&lt;=32,"F",IF(L22&lt;=39,"D",IF(L22&lt;=49,"C",IF(L22&lt;=59,"B",IF(L22&lt;=69,"A-",IF(L22&lt;=79,"A","A+"))))))</f>
        <v>B</v>
      </c>
      <c r="N22" s="37"/>
      <c r="P22" s="37" t="s">
        <v>96</v>
      </c>
      <c r="Q22" s="37" t="s">
        <v>99</v>
      </c>
    </row>
    <row r="23" spans="6:17" x14ac:dyDescent="0.25">
      <c r="F23" s="39">
        <v>3</v>
      </c>
      <c r="G23" s="37">
        <v>1281305</v>
      </c>
      <c r="H23" s="25" t="s">
        <v>12</v>
      </c>
      <c r="I23" s="25"/>
      <c r="J23" s="25"/>
      <c r="K23" s="25"/>
      <c r="L23" s="37">
        <v>57</v>
      </c>
      <c r="M23" s="37" t="str">
        <f t="shared" si="2"/>
        <v>B</v>
      </c>
      <c r="N23" s="37"/>
      <c r="P23" s="37" t="s">
        <v>97</v>
      </c>
      <c r="Q23" s="37" t="s">
        <v>100</v>
      </c>
    </row>
    <row r="24" spans="6:17" x14ac:dyDescent="0.25">
      <c r="F24" s="39">
        <v>4</v>
      </c>
      <c r="G24" s="37">
        <v>1281332</v>
      </c>
      <c r="H24" s="25" t="s">
        <v>15</v>
      </c>
      <c r="I24" s="25"/>
      <c r="J24" s="25"/>
      <c r="K24" s="25"/>
      <c r="L24" s="37">
        <v>96</v>
      </c>
      <c r="M24" s="37" t="str">
        <f t="shared" si="2"/>
        <v>A+</v>
      </c>
      <c r="N24" s="37"/>
      <c r="P24" s="37" t="s">
        <v>105</v>
      </c>
      <c r="Q24" s="37" t="s">
        <v>101</v>
      </c>
    </row>
    <row r="25" spans="6:17" x14ac:dyDescent="0.25">
      <c r="F25" s="39">
        <v>5</v>
      </c>
      <c r="G25" s="37">
        <v>1281514</v>
      </c>
      <c r="H25" s="25" t="s">
        <v>18</v>
      </c>
      <c r="I25" s="25"/>
      <c r="J25" s="25"/>
      <c r="K25" s="25"/>
      <c r="L25" s="37">
        <v>79</v>
      </c>
      <c r="M25" s="37" t="str">
        <f t="shared" si="2"/>
        <v>A</v>
      </c>
      <c r="N25" s="37"/>
      <c r="P25" s="37" t="s">
        <v>106</v>
      </c>
      <c r="Q25" s="37" t="s">
        <v>102</v>
      </c>
    </row>
    <row r="26" spans="6:17" x14ac:dyDescent="0.25">
      <c r="F26" s="39">
        <v>6</v>
      </c>
      <c r="G26" s="37">
        <v>1281521</v>
      </c>
      <c r="H26" s="25" t="s">
        <v>21</v>
      </c>
      <c r="I26" s="25"/>
      <c r="J26" s="25"/>
      <c r="K26" s="25"/>
      <c r="L26" s="37">
        <v>37</v>
      </c>
      <c r="M26" s="37" t="str">
        <f t="shared" si="2"/>
        <v>D</v>
      </c>
      <c r="N26" s="37"/>
      <c r="P26" s="37" t="s">
        <v>107</v>
      </c>
      <c r="Q26" s="37" t="s">
        <v>103</v>
      </c>
    </row>
    <row r="27" spans="6:17" x14ac:dyDescent="0.25">
      <c r="F27" s="39">
        <v>7</v>
      </c>
      <c r="G27" s="37">
        <v>1281524</v>
      </c>
      <c r="H27" s="25" t="s">
        <v>24</v>
      </c>
      <c r="I27" s="25"/>
      <c r="J27" s="25"/>
      <c r="K27" s="25"/>
      <c r="L27" s="37">
        <v>61</v>
      </c>
      <c r="M27" s="37" t="str">
        <f t="shared" si="2"/>
        <v>A-</v>
      </c>
      <c r="N27" s="37"/>
      <c r="P27" s="37" t="s">
        <v>108</v>
      </c>
      <c r="Q27" s="37" t="s">
        <v>104</v>
      </c>
    </row>
    <row r="28" spans="6:17" x14ac:dyDescent="0.25">
      <c r="F28" s="39">
        <v>8</v>
      </c>
      <c r="G28" s="37">
        <v>1281525</v>
      </c>
      <c r="H28" s="25" t="s">
        <v>27</v>
      </c>
      <c r="I28" s="25"/>
      <c r="J28" s="25"/>
      <c r="K28" s="25"/>
      <c r="L28" s="37">
        <v>22</v>
      </c>
      <c r="M28" s="37" t="str">
        <f t="shared" si="2"/>
        <v>F</v>
      </c>
      <c r="N28" s="37"/>
    </row>
    <row r="29" spans="6:17" x14ac:dyDescent="0.25">
      <c r="F29" s="39">
        <v>9</v>
      </c>
      <c r="G29" s="37">
        <v>1281539</v>
      </c>
      <c r="H29" s="25" t="s">
        <v>29</v>
      </c>
      <c r="I29" s="25"/>
      <c r="J29" s="25"/>
      <c r="K29" s="25"/>
      <c r="L29" s="37">
        <v>46</v>
      </c>
      <c r="M29" s="37" t="str">
        <f t="shared" si="2"/>
        <v>C</v>
      </c>
      <c r="N29" s="37"/>
    </row>
    <row r="30" spans="6:17" x14ac:dyDescent="0.25">
      <c r="F30" s="39">
        <v>10</v>
      </c>
      <c r="G30" s="37">
        <v>1281573</v>
      </c>
      <c r="H30" s="25" t="s">
        <v>32</v>
      </c>
      <c r="I30" s="25"/>
      <c r="J30" s="25"/>
      <c r="K30" s="25"/>
      <c r="L30" s="37">
        <v>69</v>
      </c>
      <c r="M30" s="37" t="str">
        <f t="shared" si="2"/>
        <v>A-</v>
      </c>
      <c r="N30" s="37"/>
    </row>
    <row r="31" spans="6:17" x14ac:dyDescent="0.25">
      <c r="F31" s="39">
        <v>11</v>
      </c>
      <c r="G31" s="37">
        <v>1281608</v>
      </c>
      <c r="H31" s="25" t="s">
        <v>35</v>
      </c>
      <c r="I31" s="25"/>
      <c r="J31" s="25"/>
      <c r="K31" s="25"/>
      <c r="L31" s="37">
        <v>25</v>
      </c>
      <c r="M31" s="37" t="str">
        <f t="shared" si="2"/>
        <v>F</v>
      </c>
      <c r="N31" s="37"/>
    </row>
    <row r="32" spans="6:17" x14ac:dyDescent="0.25">
      <c r="F32" s="39">
        <v>12</v>
      </c>
      <c r="G32" s="37">
        <v>1281656</v>
      </c>
      <c r="H32" s="25" t="s">
        <v>38</v>
      </c>
      <c r="I32" s="25"/>
      <c r="J32" s="25"/>
      <c r="K32" s="25"/>
      <c r="L32" s="37">
        <v>46</v>
      </c>
      <c r="M32" s="37" t="str">
        <f t="shared" si="2"/>
        <v>C</v>
      </c>
      <c r="N32" s="37"/>
    </row>
    <row r="33" spans="6:14" x14ac:dyDescent="0.25">
      <c r="F33" s="39">
        <v>13</v>
      </c>
      <c r="G33" s="37">
        <v>1281661</v>
      </c>
      <c r="H33" s="25" t="s">
        <v>40</v>
      </c>
      <c r="I33" s="25"/>
      <c r="J33" s="25"/>
      <c r="K33" s="25"/>
      <c r="L33" s="37">
        <v>79</v>
      </c>
      <c r="M33" s="37" t="str">
        <f t="shared" si="2"/>
        <v>A</v>
      </c>
      <c r="N33" s="37"/>
    </row>
    <row r="34" spans="6:14" x14ac:dyDescent="0.25">
      <c r="F34" s="39">
        <v>14</v>
      </c>
      <c r="G34" s="37">
        <v>1281714</v>
      </c>
      <c r="H34" s="25" t="s">
        <v>42</v>
      </c>
      <c r="I34" s="25"/>
      <c r="J34" s="25"/>
      <c r="K34" s="25"/>
      <c r="L34" s="37">
        <v>86</v>
      </c>
      <c r="M34" s="37" t="str">
        <f t="shared" si="2"/>
        <v>A+</v>
      </c>
      <c r="N34" s="37"/>
    </row>
    <row r="35" spans="6:14" x14ac:dyDescent="0.25">
      <c r="F35" s="39">
        <v>15</v>
      </c>
      <c r="G35" s="37">
        <v>1281745</v>
      </c>
      <c r="H35" s="25" t="s">
        <v>43</v>
      </c>
      <c r="I35" s="25"/>
      <c r="J35" s="25"/>
      <c r="K35" s="25"/>
      <c r="L35" s="37">
        <v>58</v>
      </c>
      <c r="M35" s="37" t="str">
        <f t="shared" si="2"/>
        <v>B</v>
      </c>
      <c r="N35" s="37"/>
    </row>
  </sheetData>
  <mergeCells count="2">
    <mergeCell ref="F3:O3"/>
    <mergeCell ref="F17:O17"/>
  </mergeCells>
  <conditionalFormatting sqref="H21:K3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{6A8A1DFD-B75B-4C87-BCAC-44979F920C12}</x14:id>
        </ext>
      </extLst>
    </cfRule>
  </conditionalFormatting>
  <conditionalFormatting sqref="P21:Q27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{62881AB3-E63C-42A4-8C67-17450F746D99}</x14:id>
        </ext>
      </extLst>
    </cfRule>
    <cfRule type="colorScale" priority="2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8A1DFD-B75B-4C87-BCAC-44979F92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H21:K35</xm:sqref>
        </x14:conditionalFormatting>
        <x14:conditionalFormatting xmlns:xm="http://schemas.microsoft.com/office/excel/2006/main">
          <x14:cfRule type="dataBar" id="{62881AB3-E63C-42A4-8C67-17450F746D9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P21:Q27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V30"/>
  <sheetViews>
    <sheetView topLeftCell="A10" workbookViewId="0">
      <selection activeCell="I5" sqref="I5"/>
    </sheetView>
  </sheetViews>
  <sheetFormatPr defaultRowHeight="15" x14ac:dyDescent="0.25"/>
  <cols>
    <col min="3" max="3" width="17.42578125" bestFit="1" customWidth="1"/>
    <col min="4" max="4" width="5.42578125" bestFit="1" customWidth="1"/>
    <col min="5" max="5" width="7.42578125" bestFit="1" customWidth="1"/>
    <col min="6" max="6" width="5.7109375" bestFit="1" customWidth="1"/>
    <col min="7" max="7" width="14.7109375" bestFit="1" customWidth="1"/>
    <col min="8" max="8" width="17" bestFit="1" customWidth="1"/>
    <col min="9" max="9" width="13.42578125" bestFit="1" customWidth="1"/>
    <col min="10" max="10" width="14" bestFit="1" customWidth="1"/>
    <col min="14" max="14" width="11" customWidth="1"/>
    <col min="15" max="15" width="17.85546875" bestFit="1" customWidth="1"/>
    <col min="16" max="16" width="11" customWidth="1"/>
    <col min="17" max="18" width="11.140625" customWidth="1"/>
    <col min="19" max="19" width="14.7109375" bestFit="1" customWidth="1"/>
    <col min="20" max="20" width="17" bestFit="1" customWidth="1"/>
    <col min="21" max="21" width="14.42578125" bestFit="1" customWidth="1"/>
    <col min="22" max="22" width="14" bestFit="1" customWidth="1"/>
  </cols>
  <sheetData>
    <row r="7" spans="8:22" x14ac:dyDescent="0.25">
      <c r="N7" s="65" t="s">
        <v>1168</v>
      </c>
      <c r="O7" s="65" t="s">
        <v>1169</v>
      </c>
      <c r="P7" s="65" t="s">
        <v>1170</v>
      </c>
      <c r="Q7" s="66" t="s">
        <v>1171</v>
      </c>
      <c r="R7" s="67" t="s">
        <v>1172</v>
      </c>
      <c r="S7" s="67" t="s">
        <v>1173</v>
      </c>
      <c r="T7" s="67" t="s">
        <v>1174</v>
      </c>
      <c r="U7" s="67" t="s">
        <v>1175</v>
      </c>
      <c r="V7" s="68" t="s">
        <v>1176</v>
      </c>
    </row>
    <row r="8" spans="8:22" x14ac:dyDescent="0.25">
      <c r="N8" s="60" t="s">
        <v>123</v>
      </c>
      <c r="O8" s="60" t="s">
        <v>124</v>
      </c>
      <c r="P8" s="60" t="s">
        <v>46</v>
      </c>
      <c r="Q8" s="62" t="s">
        <v>1137</v>
      </c>
      <c r="R8" s="63" t="s">
        <v>1138</v>
      </c>
      <c r="S8" s="63" t="s">
        <v>1139</v>
      </c>
      <c r="T8" s="63" t="s">
        <v>1140</v>
      </c>
      <c r="U8" s="63" t="s">
        <v>1141</v>
      </c>
      <c r="V8" s="64" t="s">
        <v>1142</v>
      </c>
    </row>
    <row r="9" spans="8:22" x14ac:dyDescent="0.25">
      <c r="N9" s="61" t="s">
        <v>1143</v>
      </c>
      <c r="O9" t="str">
        <f>VLOOKUP(N9,[1]Orders!$A$5:$W$1043,3,0)</f>
        <v>Christopher Schild</v>
      </c>
      <c r="P9">
        <f>VLOOKUP(N9,[1]Orders!$A$5:$W$1043,23,0)</f>
        <v>335.68999999999994</v>
      </c>
      <c r="Q9" t="str">
        <f>VLOOKUP(N9,[1]Orders!$A$5:$W$1043,5,0)</f>
        <v>Sydney</v>
      </c>
      <c r="R9" t="str">
        <f>VLOOKUP(N9,[1]Orders!$A$5:$W$1043,5,0)</f>
        <v>Sydney</v>
      </c>
      <c r="S9" t="str">
        <f>VLOOKUP(N9,[1]Orders!$A$5:$W$1043,6,0)</f>
        <v>NSW</v>
      </c>
      <c r="T9" t="str">
        <f>VLOOKUP(N9,[1]Orders!$A$5:$W$1043,7,0)</f>
        <v>Corporate</v>
      </c>
      <c r="U9" t="str">
        <f>VLOOKUP(N9,[1]Orders!$A$5:$W$1043,8,0)</f>
        <v>Tina Carlton</v>
      </c>
      <c r="V9" t="str">
        <f>VLOOKUP(N9,[1]Orders!$A$5:$W$1043,9,0)</f>
        <v>Medium</v>
      </c>
    </row>
    <row r="10" spans="8:22" x14ac:dyDescent="0.25">
      <c r="N10" s="61" t="s">
        <v>1144</v>
      </c>
      <c r="O10" t="str">
        <f>VLOOKUP(N10,[1]Orders!$A$5:$W$1043,3,0)</f>
        <v>Christopher Schild</v>
      </c>
      <c r="P10">
        <f>VLOOKUP(N10,[1]Orders!$A$5:$W$1043,23,0)</f>
        <v>14.85</v>
      </c>
      <c r="Q10" t="str">
        <f>VLOOKUP(N10,[1]Orders!$A$5:$W$1043,5,0)</f>
        <v>Sydney</v>
      </c>
      <c r="R10" t="str">
        <f>VLOOKUP(N10,[1]Orders!$A$5:$W$1043,5,0)</f>
        <v>Sydney</v>
      </c>
      <c r="S10" t="str">
        <f>VLOOKUP(N10,[1]Orders!$A$5:$W$1043,6,0)</f>
        <v>NSW</v>
      </c>
      <c r="T10" t="str">
        <f>VLOOKUP(N10,[1]Orders!$A$5:$W$1043,7,0)</f>
        <v>Corporate</v>
      </c>
      <c r="U10" t="str">
        <f>VLOOKUP(N10,[1]Orders!$A$5:$W$1043,8,0)</f>
        <v>Tina Carlton</v>
      </c>
      <c r="V10" t="str">
        <f>VLOOKUP(N10,[1]Orders!$A$5:$W$1043,9,0)</f>
        <v>Medium</v>
      </c>
    </row>
    <row r="11" spans="8:22" x14ac:dyDescent="0.25">
      <c r="N11" s="61" t="s">
        <v>1145</v>
      </c>
      <c r="O11" t="str">
        <f>VLOOKUP(N11,[1]Orders!$A$5:$W$1043,3,0)</f>
        <v>Cyma Kinney</v>
      </c>
      <c r="P11">
        <f>VLOOKUP(N11,[1]Orders!$A$5:$W$1043,23,0)</f>
        <v>7.2</v>
      </c>
      <c r="Q11" t="str">
        <f>VLOOKUP(N11,[1]Orders!$A$5:$W$1043,5,0)</f>
        <v>Sydney</v>
      </c>
      <c r="R11" t="str">
        <f>VLOOKUP(N11,[1]Orders!$A$5:$W$1043,5,0)</f>
        <v>Sydney</v>
      </c>
      <c r="S11" t="str">
        <f>VLOOKUP(N11,[1]Orders!$A$5:$W$1043,6,0)</f>
        <v>NSW</v>
      </c>
      <c r="T11" t="str">
        <f>VLOOKUP(N11,[1]Orders!$A$5:$W$1043,7,0)</f>
        <v>Small Business</v>
      </c>
      <c r="U11" t="str">
        <f>VLOOKUP(N11,[1]Orders!$A$5:$W$1043,8,0)</f>
        <v>Phoebe Gour</v>
      </c>
      <c r="V11" t="str">
        <f>VLOOKUP(N11,[1]Orders!$A$5:$W$1043,9,0)</f>
        <v>Low</v>
      </c>
    </row>
    <row r="12" spans="8:22" x14ac:dyDescent="0.25">
      <c r="N12" s="61" t="s">
        <v>1146</v>
      </c>
      <c r="O12" t="str">
        <f>VLOOKUP(N12,[1]Orders!$A$5:$W$1043,3,0)</f>
        <v>Cyma Kinney</v>
      </c>
      <c r="P12">
        <f>VLOOKUP(N12,[1]Orders!$A$5:$W$1043,23,0)</f>
        <v>24.099999999999998</v>
      </c>
      <c r="Q12" t="str">
        <f>VLOOKUP(N12,[1]Orders!$A$5:$W$1043,5,0)</f>
        <v>Sydney</v>
      </c>
      <c r="R12" t="str">
        <f>VLOOKUP(N12,[1]Orders!$A$5:$W$1043,5,0)</f>
        <v>Sydney</v>
      </c>
      <c r="S12" t="str">
        <f>VLOOKUP(N12,[1]Orders!$A$5:$W$1043,6,0)</f>
        <v>NSW</v>
      </c>
      <c r="T12" t="str">
        <f>VLOOKUP(N12,[1]Orders!$A$5:$W$1043,7,0)</f>
        <v>Small Business</v>
      </c>
      <c r="U12" t="str">
        <f>VLOOKUP(N12,[1]Orders!$A$5:$W$1043,8,0)</f>
        <v>Phoebe Gour</v>
      </c>
      <c r="V12" t="str">
        <f>VLOOKUP(N12,[1]Orders!$A$5:$W$1043,9,0)</f>
        <v>Low</v>
      </c>
    </row>
    <row r="13" spans="8:22" x14ac:dyDescent="0.25">
      <c r="H13" t="s">
        <v>122</v>
      </c>
      <c r="N13" s="61" t="s">
        <v>1147</v>
      </c>
      <c r="O13" t="str">
        <f>VLOOKUP(N13,[1]Orders!$A$5:$W$1043,3,0)</f>
        <v>Berenike Kampe</v>
      </c>
      <c r="P13">
        <f>VLOOKUP(N13,[1]Orders!$A$5:$W$1043,23,0)</f>
        <v>865.37999999999988</v>
      </c>
      <c r="Q13" t="str">
        <f>VLOOKUP(N13,[1]Orders!$A$5:$W$1043,5,0)</f>
        <v>Melbourne</v>
      </c>
      <c r="R13" t="str">
        <f>VLOOKUP(N13,[1]Orders!$A$5:$W$1043,5,0)</f>
        <v>Melbourne</v>
      </c>
      <c r="S13" t="str">
        <f>VLOOKUP(N13,[1]Orders!$A$5:$W$1043,6,0)</f>
        <v>VIC</v>
      </c>
      <c r="T13" t="str">
        <f>VLOOKUP(N13,[1]Orders!$A$5:$W$1043,7,0)</f>
        <v>Corporate</v>
      </c>
      <c r="U13" t="str">
        <f>VLOOKUP(N13,[1]Orders!$A$5:$W$1043,8,0)</f>
        <v>Connor Betts</v>
      </c>
      <c r="V13" t="str">
        <f>VLOOKUP(N13,[1]Orders!$A$5:$W$1043,9,0)</f>
        <v>Not Specified</v>
      </c>
    </row>
    <row r="14" spans="8:22" x14ac:dyDescent="0.25">
      <c r="N14" s="61" t="s">
        <v>1148</v>
      </c>
      <c r="O14" t="str">
        <f>VLOOKUP(N14,[1]Orders!$A$5:$W$1043,3,0)</f>
        <v>Berenike Kampe</v>
      </c>
      <c r="P14">
        <f>VLOOKUP(N14,[1]Orders!$A$5:$W$1043,23,0)</f>
        <v>148.13</v>
      </c>
      <c r="Q14" t="str">
        <f>VLOOKUP(N14,[1]Orders!$A$5:$W$1043,5,0)</f>
        <v>Melbourne</v>
      </c>
      <c r="R14" t="str">
        <f>VLOOKUP(N14,[1]Orders!$A$5:$W$1043,5,0)</f>
        <v>Melbourne</v>
      </c>
      <c r="S14" t="str">
        <f>VLOOKUP(N14,[1]Orders!$A$5:$W$1043,6,0)</f>
        <v>VIC</v>
      </c>
      <c r="T14" t="str">
        <f>VLOOKUP(N14,[1]Orders!$A$5:$W$1043,7,0)</f>
        <v>Corporate</v>
      </c>
      <c r="U14" t="str">
        <f>VLOOKUP(N14,[1]Orders!$A$5:$W$1043,8,0)</f>
        <v>Connor Betts</v>
      </c>
      <c r="V14" t="str">
        <f>VLOOKUP(N14,[1]Orders!$A$5:$W$1043,9,0)</f>
        <v>Not Specified</v>
      </c>
    </row>
    <row r="15" spans="8:22" x14ac:dyDescent="0.25">
      <c r="N15" s="61" t="s">
        <v>1149</v>
      </c>
      <c r="O15" t="str">
        <f>VLOOKUP(N15,[1]Orders!$A$5:$W$1043,3,0)</f>
        <v>Christy Brittain</v>
      </c>
      <c r="P15">
        <f>VLOOKUP(N15,[1]Orders!$A$5:$W$1043,23,0)</f>
        <v>130.6</v>
      </c>
      <c r="Q15" t="str">
        <f>VLOOKUP(N15,[1]Orders!$A$5:$W$1043,5,0)</f>
        <v>Sydney</v>
      </c>
      <c r="R15" t="str">
        <f>VLOOKUP(N15,[1]Orders!$A$5:$W$1043,5,0)</f>
        <v>Sydney</v>
      </c>
      <c r="S15" t="str">
        <f>VLOOKUP(N15,[1]Orders!$A$5:$W$1043,6,0)</f>
        <v>NSW</v>
      </c>
      <c r="T15" t="str">
        <f>VLOOKUP(N15,[1]Orders!$A$5:$W$1043,7,0)</f>
        <v>Consumer</v>
      </c>
      <c r="U15" t="str">
        <f>VLOOKUP(N15,[1]Orders!$A$5:$W$1043,8,0)</f>
        <v>Mihael Khan</v>
      </c>
      <c r="V15" t="str">
        <f>VLOOKUP(N15,[1]Orders!$A$5:$W$1043,9,0)</f>
        <v>Critical</v>
      </c>
    </row>
    <row r="16" spans="8:22" x14ac:dyDescent="0.25">
      <c r="N16" s="61" t="s">
        <v>1150</v>
      </c>
      <c r="O16" t="str">
        <f>VLOOKUP(N16,[1]Orders!$A$5:$W$1043,3,0)</f>
        <v>Christy Brittain</v>
      </c>
      <c r="P16">
        <f>VLOOKUP(N16,[1]Orders!$A$5:$W$1043,23,0)</f>
        <v>111.62</v>
      </c>
      <c r="Q16" t="str">
        <f>VLOOKUP(N16,[1]Orders!$A$5:$W$1043,5,0)</f>
        <v>Sydney</v>
      </c>
      <c r="R16" t="str">
        <f>VLOOKUP(N16,[1]Orders!$A$5:$W$1043,5,0)</f>
        <v>Sydney</v>
      </c>
      <c r="S16" t="str">
        <f>VLOOKUP(N16,[1]Orders!$A$5:$W$1043,6,0)</f>
        <v>NSW</v>
      </c>
      <c r="T16" t="str">
        <f>VLOOKUP(N16,[1]Orders!$A$5:$W$1043,7,0)</f>
        <v>Consumer</v>
      </c>
      <c r="U16" t="str">
        <f>VLOOKUP(N16,[1]Orders!$A$5:$W$1043,8,0)</f>
        <v>Mihael Khan</v>
      </c>
      <c r="V16" t="str">
        <f>VLOOKUP(N16,[1]Orders!$A$5:$W$1043,9,0)</f>
        <v>Critical</v>
      </c>
    </row>
    <row r="17" spans="2:22" x14ac:dyDescent="0.25">
      <c r="N17" s="61" t="s">
        <v>1151</v>
      </c>
      <c r="O17" t="str">
        <f>VLOOKUP(N17,[1]Orders!$A$5:$W$1043,3,0)</f>
        <v>Alex Grayson</v>
      </c>
      <c r="P17">
        <f>VLOOKUP(N17,[1]Orders!$A$5:$W$1043,23,0)</f>
        <v>33.08</v>
      </c>
      <c r="Q17" t="str">
        <f>VLOOKUP(N17,[1]Orders!$A$5:$W$1043,5,0)</f>
        <v>Sydney</v>
      </c>
      <c r="R17" t="str">
        <f>VLOOKUP(N17,[1]Orders!$A$5:$W$1043,5,0)</f>
        <v>Sydney</v>
      </c>
      <c r="S17" t="str">
        <f>VLOOKUP(N17,[1]Orders!$A$5:$W$1043,6,0)</f>
        <v>NSW</v>
      </c>
      <c r="T17" t="str">
        <f>VLOOKUP(N17,[1]Orders!$A$5:$W$1043,7,0)</f>
        <v>Consumer</v>
      </c>
      <c r="U17" t="str">
        <f>VLOOKUP(N17,[1]Orders!$A$5:$W$1043,8,0)</f>
        <v>Radhya Staples</v>
      </c>
      <c r="V17" t="str">
        <f>VLOOKUP(N17,[1]Orders!$A$5:$W$1043,9,0)</f>
        <v>Medium</v>
      </c>
    </row>
    <row r="18" spans="2:22" x14ac:dyDescent="0.25">
      <c r="B18" s="60" t="s">
        <v>123</v>
      </c>
      <c r="C18" s="60" t="s">
        <v>124</v>
      </c>
      <c r="D18" s="60" t="s">
        <v>46</v>
      </c>
      <c r="E18" s="62" t="s">
        <v>1137</v>
      </c>
      <c r="F18" s="63" t="s">
        <v>1138</v>
      </c>
      <c r="G18" s="63" t="s">
        <v>1139</v>
      </c>
      <c r="H18" s="63" t="s">
        <v>1140</v>
      </c>
      <c r="I18" s="63" t="s">
        <v>1141</v>
      </c>
      <c r="J18" s="64" t="s">
        <v>1142</v>
      </c>
      <c r="N18" s="61" t="s">
        <v>1152</v>
      </c>
      <c r="O18" t="str">
        <f>VLOOKUP(N18,[1]Orders!$A$5:$W$1043,3,0)</f>
        <v>Alex Grayson</v>
      </c>
      <c r="P18">
        <f>VLOOKUP(N18,[1]Orders!$A$5:$W$1043,23,0)</f>
        <v>863.04</v>
      </c>
      <c r="Q18" t="str">
        <f>VLOOKUP(N18,[1]Orders!$A$5:$W$1043,5,0)</f>
        <v>Sydney</v>
      </c>
      <c r="R18" t="str">
        <f>VLOOKUP(N18,[1]Orders!$A$5:$W$1043,5,0)</f>
        <v>Sydney</v>
      </c>
      <c r="S18" t="str">
        <f>VLOOKUP(N18,[1]Orders!$A$5:$W$1043,6,0)</f>
        <v>NSW</v>
      </c>
      <c r="T18" t="str">
        <f>VLOOKUP(N18,[1]Orders!$A$5:$W$1043,7,0)</f>
        <v>Consumer</v>
      </c>
      <c r="U18" t="str">
        <f>VLOOKUP(N18,[1]Orders!$A$5:$W$1043,8,0)</f>
        <v>Radhya Staples</v>
      </c>
      <c r="V18" t="str">
        <f>VLOOKUP(N18,[1]Orders!$A$5:$W$1043,9,0)</f>
        <v>Medium</v>
      </c>
    </row>
    <row r="19" spans="2:22" x14ac:dyDescent="0.25">
      <c r="B19" s="70" t="s">
        <v>1143</v>
      </c>
      <c r="C19" t="str">
        <f>VLOOKUP(B19,data[],2,0)</f>
        <v>Christopher Schild</v>
      </c>
      <c r="D19">
        <f>VLOOKUP(B19,data[],3,0)</f>
        <v>335.68999999999994</v>
      </c>
      <c r="E19" t="str">
        <f>VLOOKUP(B19,data[],4,0)</f>
        <v>Sydney</v>
      </c>
      <c r="F19" t="str">
        <f>VLOOKUP(B19,data[],5,0)</f>
        <v>Sydney</v>
      </c>
      <c r="G19" t="str">
        <f>VLOOKUP(B19,data[],6,0)</f>
        <v>NSW</v>
      </c>
      <c r="H19" t="str">
        <f>VLOOKUP(B19,data[],7,0)</f>
        <v>Corporate</v>
      </c>
      <c r="I19" t="str">
        <f>VLOOKUP(B19,data[],8,0)</f>
        <v>Tina Carlton</v>
      </c>
      <c r="J19" t="str">
        <f>VLOOKUP(B19,data[],9,0)</f>
        <v>Medium</v>
      </c>
      <c r="N19" s="61" t="s">
        <v>1153</v>
      </c>
      <c r="O19" t="str">
        <f>VLOOKUP(N19,[1]Orders!$A$5:$W$1043,3,0)</f>
        <v>Stephanie Ulpright</v>
      </c>
      <c r="P19">
        <f>VLOOKUP(N19,[1]Orders!$A$5:$W$1043,23,0)</f>
        <v>14.719999999999999</v>
      </c>
      <c r="Q19" t="str">
        <f>VLOOKUP(N19,[1]Orders!$A$5:$W$1043,5,0)</f>
        <v>Melbourne</v>
      </c>
      <c r="R19" t="str">
        <f>VLOOKUP(N19,[1]Orders!$A$5:$W$1043,5,0)</f>
        <v>Melbourne</v>
      </c>
      <c r="S19" t="str">
        <f>VLOOKUP(N19,[1]Orders!$A$5:$W$1043,6,0)</f>
        <v>VIC</v>
      </c>
      <c r="T19" t="str">
        <f>VLOOKUP(N19,[1]Orders!$A$5:$W$1043,7,0)</f>
        <v>Consumer</v>
      </c>
      <c r="U19" t="str">
        <f>VLOOKUP(N19,[1]Orders!$A$5:$W$1043,8,0)</f>
        <v>Yvette Biti</v>
      </c>
      <c r="V19" t="str">
        <f>VLOOKUP(N19,[1]Orders!$A$5:$W$1043,9,0)</f>
        <v>Not Specified</v>
      </c>
    </row>
    <row r="20" spans="2:22" x14ac:dyDescent="0.25">
      <c r="B20" s="69" t="s">
        <v>1144</v>
      </c>
      <c r="C20" t="str">
        <f>VLOOKUP(B20,data[],2,0)</f>
        <v>Christopher Schild</v>
      </c>
      <c r="D20">
        <f>VLOOKUP(B20,data[],3,0)</f>
        <v>14.85</v>
      </c>
      <c r="E20" t="str">
        <f>VLOOKUP(B20,data[],4,0)</f>
        <v>Sydney</v>
      </c>
      <c r="F20" t="str">
        <f>VLOOKUP(B20,data[],5,0)</f>
        <v>Sydney</v>
      </c>
      <c r="G20" t="str">
        <f>VLOOKUP(B20,data[],6,0)</f>
        <v>NSW</v>
      </c>
      <c r="H20" t="str">
        <f>VLOOKUP(B20,data[],7,0)</f>
        <v>Corporate</v>
      </c>
      <c r="I20" t="str">
        <f>VLOOKUP(B20,data[],8,0)</f>
        <v>Tina Carlton</v>
      </c>
      <c r="J20" t="str">
        <f>VLOOKUP(B20,data[],9,0)</f>
        <v>Medium</v>
      </c>
      <c r="N20" s="61" t="s">
        <v>1154</v>
      </c>
      <c r="O20" t="str">
        <f>VLOOKUP(N20,[1]Orders!$A$5:$W$1043,3,0)</f>
        <v>Stephanie Ulpright</v>
      </c>
      <c r="P20">
        <f>VLOOKUP(N20,[1]Orders!$A$5:$W$1043,23,0)</f>
        <v>1011.0999999999999</v>
      </c>
      <c r="Q20" t="str">
        <f>VLOOKUP(N20,[1]Orders!$A$5:$W$1043,5,0)</f>
        <v>Melbourne</v>
      </c>
      <c r="R20" t="str">
        <f>VLOOKUP(N20,[1]Orders!$A$5:$W$1043,5,0)</f>
        <v>Melbourne</v>
      </c>
      <c r="S20" t="str">
        <f>VLOOKUP(N20,[1]Orders!$A$5:$W$1043,6,0)</f>
        <v>VIC</v>
      </c>
      <c r="T20" t="str">
        <f>VLOOKUP(N20,[1]Orders!$A$5:$W$1043,7,0)</f>
        <v>Consumer</v>
      </c>
      <c r="U20" t="str">
        <f>VLOOKUP(N20,[1]Orders!$A$5:$W$1043,8,0)</f>
        <v>Yvette Biti</v>
      </c>
      <c r="V20" t="str">
        <f>VLOOKUP(N20,[1]Orders!$A$5:$W$1043,9,0)</f>
        <v>Not Specified</v>
      </c>
    </row>
    <row r="21" spans="2:22" x14ac:dyDescent="0.25">
      <c r="B21" s="70" t="s">
        <v>1145</v>
      </c>
      <c r="C21" t="str">
        <f>VLOOKUP(B21,data[],2,0)</f>
        <v>Cyma Kinney</v>
      </c>
      <c r="D21">
        <f>VLOOKUP(B21,data[],3,0)</f>
        <v>7.2</v>
      </c>
      <c r="E21" t="str">
        <f>VLOOKUP(B21,data[],4,0)</f>
        <v>Sydney</v>
      </c>
      <c r="F21" t="str">
        <f>VLOOKUP(B21,data[],5,0)</f>
        <v>Sydney</v>
      </c>
      <c r="G21" t="str">
        <f>VLOOKUP(B21,data[],6,0)</f>
        <v>NSW</v>
      </c>
      <c r="H21" t="str">
        <f>VLOOKUP(B21,data[],7,0)</f>
        <v>Small Business</v>
      </c>
      <c r="I21" t="str">
        <f>VLOOKUP(B21,data[],8,0)</f>
        <v>Phoebe Gour</v>
      </c>
      <c r="J21" t="str">
        <f>VLOOKUP(B21,data[],9,0)</f>
        <v>Low</v>
      </c>
    </row>
    <row r="22" spans="2:22" x14ac:dyDescent="0.25">
      <c r="B22" s="69" t="s">
        <v>1146</v>
      </c>
      <c r="C22" t="str">
        <f>VLOOKUP(B22,data[],2,0)</f>
        <v>Cyma Kinney</v>
      </c>
      <c r="D22">
        <f>VLOOKUP(B22,data[],3,0)</f>
        <v>24.099999999999998</v>
      </c>
      <c r="E22" t="str">
        <f>VLOOKUP(B22,data[],4,0)</f>
        <v>Sydney</v>
      </c>
      <c r="F22" t="str">
        <f>VLOOKUP(B22,data[],5,0)</f>
        <v>Sydney</v>
      </c>
      <c r="G22" t="str">
        <f>VLOOKUP(B22,data[],6,0)</f>
        <v>NSW</v>
      </c>
      <c r="H22" t="str">
        <f>VLOOKUP(B22,data[],7,0)</f>
        <v>Small Business</v>
      </c>
      <c r="I22" t="str">
        <f>VLOOKUP(B22,data[],8,0)</f>
        <v>Phoebe Gour</v>
      </c>
      <c r="J22" t="str">
        <f>VLOOKUP(B22,data[],9,0)</f>
        <v>Low</v>
      </c>
    </row>
    <row r="23" spans="2:22" x14ac:dyDescent="0.25">
      <c r="B23" s="70" t="s">
        <v>1147</v>
      </c>
      <c r="C23" t="str">
        <f>VLOOKUP(B23,data[],2,0)</f>
        <v>Berenike Kampe</v>
      </c>
      <c r="D23">
        <f>VLOOKUP(B23,data[],3,0)</f>
        <v>865.37999999999988</v>
      </c>
      <c r="E23" t="str">
        <f>VLOOKUP(B23,data[],4,0)</f>
        <v>Melbourne</v>
      </c>
      <c r="F23" t="str">
        <f>VLOOKUP(B23,data[],5,0)</f>
        <v>Melbourne</v>
      </c>
      <c r="G23" t="str">
        <f>VLOOKUP(B23,data[],6,0)</f>
        <v>VIC</v>
      </c>
      <c r="H23" t="str">
        <f>VLOOKUP(B23,data[],7,0)</f>
        <v>Corporate</v>
      </c>
      <c r="I23" t="str">
        <f>VLOOKUP(B23,data[],8,0)</f>
        <v>Connor Betts</v>
      </c>
      <c r="J23" t="str">
        <f>VLOOKUP(B23,data[],9,0)</f>
        <v>Not Specified</v>
      </c>
    </row>
    <row r="24" spans="2:22" x14ac:dyDescent="0.25">
      <c r="B24" s="69" t="s">
        <v>1148</v>
      </c>
      <c r="C24" t="str">
        <f>VLOOKUP(B24,data[],2,0)</f>
        <v>Berenike Kampe</v>
      </c>
      <c r="D24">
        <f>VLOOKUP(B24,data[],3,0)</f>
        <v>148.13</v>
      </c>
      <c r="E24" t="str">
        <f>VLOOKUP(B24,data[],4,0)</f>
        <v>Melbourne</v>
      </c>
      <c r="F24" t="str">
        <f>VLOOKUP(B24,data[],5,0)</f>
        <v>Melbourne</v>
      </c>
      <c r="G24" t="str">
        <f>VLOOKUP(B24,data[],6,0)</f>
        <v>VIC</v>
      </c>
      <c r="H24" t="str">
        <f>VLOOKUP(B24,data[],7,0)</f>
        <v>Corporate</v>
      </c>
      <c r="I24" t="str">
        <f>VLOOKUP(B24,data[],8,0)</f>
        <v>Connor Betts</v>
      </c>
      <c r="J24" t="str">
        <f>VLOOKUP(B24,data[],9,0)</f>
        <v>Not Specified</v>
      </c>
    </row>
    <row r="25" spans="2:22" x14ac:dyDescent="0.25">
      <c r="B25" s="70" t="s">
        <v>1149</v>
      </c>
      <c r="C25" t="str">
        <f>VLOOKUP(B25,data[],2,0)</f>
        <v>Christy Brittain</v>
      </c>
      <c r="D25">
        <f>VLOOKUP(B25,data[],3,0)</f>
        <v>130.6</v>
      </c>
      <c r="E25" t="str">
        <f>VLOOKUP(B25,data[],4,0)</f>
        <v>Sydney</v>
      </c>
      <c r="F25" t="str">
        <f>VLOOKUP(B25,data[],5,0)</f>
        <v>Sydney</v>
      </c>
      <c r="G25" t="str">
        <f>VLOOKUP(B25,data[],6,0)</f>
        <v>NSW</v>
      </c>
      <c r="H25" t="str">
        <f>VLOOKUP(B25,data[],7,0)</f>
        <v>Consumer</v>
      </c>
      <c r="I25" t="str">
        <f>VLOOKUP(B25,data[],8,0)</f>
        <v>Mihael Khan</v>
      </c>
      <c r="J25" t="str">
        <f>VLOOKUP(B25,data[],9,0)</f>
        <v>Critical</v>
      </c>
    </row>
    <row r="26" spans="2:22" x14ac:dyDescent="0.25">
      <c r="B26" s="69" t="s">
        <v>1150</v>
      </c>
      <c r="C26" t="str">
        <f>VLOOKUP(B26,data[],2,0)</f>
        <v>Christy Brittain</v>
      </c>
      <c r="D26">
        <f>VLOOKUP(B26,data[],3,0)</f>
        <v>111.62</v>
      </c>
      <c r="E26" t="str">
        <f>VLOOKUP(B26,data[],4,0)</f>
        <v>Sydney</v>
      </c>
      <c r="F26" t="str">
        <f>VLOOKUP(B26,data[],5,0)</f>
        <v>Sydney</v>
      </c>
      <c r="G26" t="str">
        <f>VLOOKUP(B26,data[],6,0)</f>
        <v>NSW</v>
      </c>
      <c r="H26" t="str">
        <f>VLOOKUP(B26,data[],7,0)</f>
        <v>Consumer</v>
      </c>
      <c r="I26" t="str">
        <f>VLOOKUP(B26,data[],8,0)</f>
        <v>Mihael Khan</v>
      </c>
      <c r="J26" t="str">
        <f>VLOOKUP(B26,data[],9,0)</f>
        <v>Critical</v>
      </c>
    </row>
    <row r="27" spans="2:22" x14ac:dyDescent="0.25">
      <c r="B27" s="70" t="s">
        <v>1151</v>
      </c>
      <c r="C27" t="str">
        <f>VLOOKUP(B27,data[],2,0)</f>
        <v>Alex Grayson</v>
      </c>
      <c r="D27">
        <f>VLOOKUP(B27,data[],3,0)</f>
        <v>33.08</v>
      </c>
      <c r="E27" t="str">
        <f>VLOOKUP(B27,data[],4,0)</f>
        <v>Sydney</v>
      </c>
      <c r="F27" t="str">
        <f>VLOOKUP(B27,data[],5,0)</f>
        <v>Sydney</v>
      </c>
      <c r="G27" t="str">
        <f>VLOOKUP(B27,data[],6,0)</f>
        <v>NSW</v>
      </c>
      <c r="H27" t="str">
        <f>VLOOKUP(B27,data[],7,0)</f>
        <v>Consumer</v>
      </c>
      <c r="I27" t="str">
        <f>VLOOKUP(B27,data[],8,0)</f>
        <v>Radhya Staples</v>
      </c>
      <c r="J27" t="str">
        <f>VLOOKUP(B27,data[],9,0)</f>
        <v>Medium</v>
      </c>
    </row>
    <row r="28" spans="2:22" x14ac:dyDescent="0.25">
      <c r="B28" s="69" t="s">
        <v>1152</v>
      </c>
      <c r="C28" t="str">
        <f>VLOOKUP(B28,data[],2,0)</f>
        <v>Alex Grayson</v>
      </c>
      <c r="D28">
        <f>VLOOKUP(B28,data[],3,0)</f>
        <v>863.04</v>
      </c>
      <c r="E28" t="str">
        <f>VLOOKUP(B28,data[],4,0)</f>
        <v>Sydney</v>
      </c>
      <c r="F28" t="str">
        <f>VLOOKUP(B28,data[],5,0)</f>
        <v>Sydney</v>
      </c>
      <c r="G28" t="str">
        <f>VLOOKUP(B28,data[],6,0)</f>
        <v>NSW</v>
      </c>
      <c r="H28" t="str">
        <f>VLOOKUP(B28,data[],7,0)</f>
        <v>Consumer</v>
      </c>
      <c r="I28" t="str">
        <f>VLOOKUP(B28,data[],8,0)</f>
        <v>Radhya Staples</v>
      </c>
      <c r="J28" t="str">
        <f>VLOOKUP(B28,data[],9,0)</f>
        <v>Medium</v>
      </c>
    </row>
    <row r="29" spans="2:22" x14ac:dyDescent="0.25">
      <c r="B29" s="70" t="s">
        <v>1153</v>
      </c>
      <c r="C29" t="str">
        <f>VLOOKUP(B29,data[],2,0)</f>
        <v>Stephanie Ulpright</v>
      </c>
      <c r="D29">
        <f>VLOOKUP(B29,data[],3,0)</f>
        <v>14.719999999999999</v>
      </c>
      <c r="E29" t="str">
        <f>VLOOKUP(B29,data[],4,0)</f>
        <v>Melbourne</v>
      </c>
      <c r="F29" t="str">
        <f>VLOOKUP(B29,data[],5,0)</f>
        <v>Melbourne</v>
      </c>
      <c r="G29" t="str">
        <f>VLOOKUP(B29,data[],6,0)</f>
        <v>VIC</v>
      </c>
      <c r="H29" t="str">
        <f>VLOOKUP(B29,data[],7,0)</f>
        <v>Consumer</v>
      </c>
      <c r="I29" t="str">
        <f>VLOOKUP(B29,data[],8,0)</f>
        <v>Yvette Biti</v>
      </c>
      <c r="J29" t="str">
        <f>VLOOKUP(B29,data[],9,0)</f>
        <v>Not Specified</v>
      </c>
    </row>
    <row r="30" spans="2:22" x14ac:dyDescent="0.25">
      <c r="B30" s="69" t="s">
        <v>1154</v>
      </c>
      <c r="C30" t="str">
        <f>VLOOKUP(B30,data[],2,0)</f>
        <v>Stephanie Ulpright</v>
      </c>
      <c r="D30">
        <f>VLOOKUP(B30,data[],3,0)</f>
        <v>1011.0999999999999</v>
      </c>
      <c r="E30" t="str">
        <f>VLOOKUP(B30,data[],4,0)</f>
        <v>Melbourne</v>
      </c>
      <c r="F30" t="str">
        <f>VLOOKUP(B30,data[],5,0)</f>
        <v>Melbourne</v>
      </c>
      <c r="G30" t="str">
        <f>VLOOKUP(B30,data[],6,0)</f>
        <v>VIC</v>
      </c>
      <c r="H30" t="str">
        <f>VLOOKUP(B30,data[],7,0)</f>
        <v>Consumer</v>
      </c>
      <c r="I30" t="str">
        <f>VLOOKUP(B30,data[],8,0)</f>
        <v>Yvette Biti</v>
      </c>
      <c r="J30" t="str">
        <f>VLOOKUP(B30,data[],9,0)</f>
        <v>Not Specified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O1044"/>
  <sheetViews>
    <sheetView topLeftCell="A5" workbookViewId="0">
      <selection activeCell="N17" sqref="N17"/>
    </sheetView>
  </sheetViews>
  <sheetFormatPr defaultRowHeight="15" x14ac:dyDescent="0.25"/>
  <cols>
    <col min="4" max="4" width="17.42578125" bestFit="1" customWidth="1"/>
    <col min="6" max="6" width="13.140625" bestFit="1" customWidth="1"/>
    <col min="9" max="9" width="17" bestFit="1" customWidth="1"/>
    <col min="10" max="10" width="15.7109375" bestFit="1" customWidth="1"/>
    <col min="11" max="11" width="14" bestFit="1" customWidth="1"/>
    <col min="14" max="14" width="10.85546875" bestFit="1" customWidth="1"/>
    <col min="15" max="15" width="14.140625" bestFit="1" customWidth="1"/>
  </cols>
  <sheetData>
    <row r="5" spans="3:15" x14ac:dyDescent="0.25">
      <c r="C5" s="60" t="s">
        <v>123</v>
      </c>
      <c r="D5" s="60" t="s">
        <v>124</v>
      </c>
      <c r="E5" s="60" t="s">
        <v>46</v>
      </c>
      <c r="F5" s="62" t="s">
        <v>1137</v>
      </c>
      <c r="G5" s="63" t="s">
        <v>1138</v>
      </c>
      <c r="H5" s="63" t="s">
        <v>1139</v>
      </c>
      <c r="I5" s="63" t="s">
        <v>1140</v>
      </c>
      <c r="J5" s="63" t="s">
        <v>1141</v>
      </c>
      <c r="K5" s="64" t="s">
        <v>1142</v>
      </c>
    </row>
    <row r="6" spans="3:15" x14ac:dyDescent="0.25">
      <c r="C6" s="61" t="s">
        <v>1143</v>
      </c>
      <c r="D6" t="str">
        <f>VLOOKUP(C6,[1]Orders!$A$5:$W$1043,3,0)</f>
        <v>Christopher Schild</v>
      </c>
      <c r="E6">
        <f>VLOOKUP(C6,[1]Orders!$A$5:$W$1043,23,0)</f>
        <v>335.68999999999994</v>
      </c>
      <c r="F6" t="str">
        <f>VLOOKUP(C6,[1]Orders!$A$5:$W$1043,5,0)</f>
        <v>Sydney</v>
      </c>
      <c r="G6" t="str">
        <f>VLOOKUP(C6,[1]Orders!$A$5:$W$1043,5,0)</f>
        <v>Sydney</v>
      </c>
      <c r="H6" t="str">
        <f>VLOOKUP(C6,[1]Orders!$A$5:$W$1043,6,0)</f>
        <v>NSW</v>
      </c>
      <c r="I6" t="str">
        <f>VLOOKUP(C6,[1]Orders!$A$5:$W$1043,7,0)</f>
        <v>Corporate</v>
      </c>
      <c r="J6" t="str">
        <f>VLOOKUP(C6,[1]Orders!$A$5:$W$1043,8,0)</f>
        <v>Tina Carlton</v>
      </c>
      <c r="K6" t="str">
        <f>VLOOKUP(C6,[1]Orders!$A$5:$W$1043,9,0)</f>
        <v>Medium</v>
      </c>
    </row>
    <row r="7" spans="3:15" x14ac:dyDescent="0.25">
      <c r="C7" s="61" t="s">
        <v>1144</v>
      </c>
      <c r="D7" t="str">
        <f>VLOOKUP(C7,[1]Orders!$A$5:$W$1043,3,0)</f>
        <v>Christopher Schild</v>
      </c>
      <c r="E7">
        <f>VLOOKUP(C7,[1]Orders!$A$5:$W$1043,23,0)</f>
        <v>14.85</v>
      </c>
      <c r="F7" t="str">
        <f>VLOOKUP(C7,[1]Orders!$A$5:$W$1043,5,0)</f>
        <v>Sydney</v>
      </c>
      <c r="G7" t="str">
        <f>VLOOKUP(C7,[1]Orders!$A$5:$W$1043,5,0)</f>
        <v>Sydney</v>
      </c>
      <c r="H7" t="str">
        <f>VLOOKUP(C7,[1]Orders!$A$5:$W$1043,6,0)</f>
        <v>NSW</v>
      </c>
      <c r="I7" t="str">
        <f>VLOOKUP(C7,[1]Orders!$A$5:$W$1043,7,0)</f>
        <v>Corporate</v>
      </c>
      <c r="J7" t="str">
        <f>VLOOKUP(C7,[1]Orders!$A$5:$W$1043,8,0)</f>
        <v>Tina Carlton</v>
      </c>
      <c r="K7" t="str">
        <f>VLOOKUP(C7,[1]Orders!$A$5:$W$1043,9,0)</f>
        <v>Medium</v>
      </c>
    </row>
    <row r="8" spans="3:15" x14ac:dyDescent="0.25">
      <c r="C8" s="61" t="s">
        <v>1145</v>
      </c>
      <c r="D8" t="str">
        <f>VLOOKUP(C8,[1]Orders!$A$5:$W$1043,3,0)</f>
        <v>Cyma Kinney</v>
      </c>
      <c r="E8">
        <f>VLOOKUP(C8,[1]Orders!$A$5:$W$1043,23,0)</f>
        <v>7.2</v>
      </c>
      <c r="F8" t="str">
        <f>VLOOKUP(C8,[1]Orders!$A$5:$W$1043,5,0)</f>
        <v>Sydney</v>
      </c>
      <c r="G8" t="str">
        <f>VLOOKUP(C8,[1]Orders!$A$5:$W$1043,5,0)</f>
        <v>Sydney</v>
      </c>
      <c r="H8" t="str">
        <f>VLOOKUP(C8,[1]Orders!$A$5:$W$1043,6,0)</f>
        <v>NSW</v>
      </c>
      <c r="I8" t="str">
        <f>VLOOKUP(C8,[1]Orders!$A$5:$W$1043,7,0)</f>
        <v>Small Business</v>
      </c>
      <c r="J8" t="str">
        <f>VLOOKUP(C8,[1]Orders!$A$5:$W$1043,8,0)</f>
        <v>Phoebe Gour</v>
      </c>
      <c r="K8" t="str">
        <f>VLOOKUP(C8,[1]Orders!$A$5:$W$1043,9,0)</f>
        <v>Low</v>
      </c>
      <c r="N8" s="87" t="s">
        <v>1195</v>
      </c>
      <c r="O8" s="87" t="s">
        <v>1196</v>
      </c>
    </row>
    <row r="9" spans="3:15" x14ac:dyDescent="0.25">
      <c r="C9" s="61" t="s">
        <v>1146</v>
      </c>
      <c r="D9" t="str">
        <f>VLOOKUP(C9,[1]Orders!$A$5:$W$1043,3,0)</f>
        <v>Cyma Kinney</v>
      </c>
      <c r="E9">
        <f>VLOOKUP(C9,[1]Orders!$A$5:$W$1043,23,0)</f>
        <v>24.099999999999998</v>
      </c>
      <c r="F9" t="str">
        <f>VLOOKUP(C9,[1]Orders!$A$5:$W$1043,5,0)</f>
        <v>Sydney</v>
      </c>
      <c r="G9" t="str">
        <f>VLOOKUP(C9,[1]Orders!$A$5:$W$1043,5,0)</f>
        <v>Sydney</v>
      </c>
      <c r="H9" t="str">
        <f>VLOOKUP(C9,[1]Orders!$A$5:$W$1043,6,0)</f>
        <v>NSW</v>
      </c>
      <c r="I9" t="str">
        <f>VLOOKUP(C9,[1]Orders!$A$5:$W$1043,7,0)</f>
        <v>Small Business</v>
      </c>
      <c r="J9" t="str">
        <f>VLOOKUP(C9,[1]Orders!$A$5:$W$1043,8,0)</f>
        <v>Phoebe Gour</v>
      </c>
      <c r="K9" t="str">
        <f>VLOOKUP(C9,[1]Orders!$A$5:$W$1043,9,0)</f>
        <v>Low</v>
      </c>
      <c r="N9" t="s">
        <v>1198</v>
      </c>
      <c r="O9" t="s">
        <v>1200</v>
      </c>
    </row>
    <row r="10" spans="3:15" x14ac:dyDescent="0.25">
      <c r="C10" s="61" t="s">
        <v>1147</v>
      </c>
      <c r="D10" t="str">
        <f>VLOOKUP(C10,[1]Orders!$A$5:$W$1043,3,0)</f>
        <v>Berenike Kampe</v>
      </c>
      <c r="E10">
        <f>VLOOKUP(C10,[1]Orders!$A$5:$W$1043,23,0)</f>
        <v>865.37999999999988</v>
      </c>
      <c r="F10" t="str">
        <f>VLOOKUP(C10,[1]Orders!$A$5:$W$1043,5,0)</f>
        <v>Melbourne</v>
      </c>
      <c r="G10" t="str">
        <f>VLOOKUP(C10,[1]Orders!$A$5:$W$1043,5,0)</f>
        <v>Melbourne</v>
      </c>
      <c r="H10" t="str">
        <f>VLOOKUP(C10,[1]Orders!$A$5:$W$1043,6,0)</f>
        <v>VIC</v>
      </c>
      <c r="I10" t="str">
        <f>VLOOKUP(C10,[1]Orders!$A$5:$W$1043,7,0)</f>
        <v>Corporate</v>
      </c>
      <c r="J10" t="str">
        <f>VLOOKUP(C10,[1]Orders!$A$5:$W$1043,8,0)</f>
        <v>Connor Betts</v>
      </c>
      <c r="K10" t="str">
        <f>VLOOKUP(C10,[1]Orders!$A$5:$W$1043,9,0)</f>
        <v>Not Specified</v>
      </c>
      <c r="N10" t="s">
        <v>1199</v>
      </c>
      <c r="O10" t="s">
        <v>1201</v>
      </c>
    </row>
    <row r="11" spans="3:15" x14ac:dyDescent="0.25">
      <c r="C11" s="61" t="s">
        <v>1148</v>
      </c>
      <c r="D11" t="str">
        <f>VLOOKUP(C11,[1]Orders!$A$5:$W$1043,3,0)</f>
        <v>Berenike Kampe</v>
      </c>
      <c r="E11">
        <f>VLOOKUP(C11,[1]Orders!$A$5:$W$1043,23,0)</f>
        <v>148.13</v>
      </c>
      <c r="F11" t="str">
        <f>VLOOKUP(C11,[1]Orders!$A$5:$W$1043,5,0)</f>
        <v>Melbourne</v>
      </c>
      <c r="G11" t="str">
        <f>VLOOKUP(C11,[1]Orders!$A$5:$W$1043,5,0)</f>
        <v>Melbourne</v>
      </c>
      <c r="H11" t="str">
        <f>VLOOKUP(C11,[1]Orders!$A$5:$W$1043,6,0)</f>
        <v>VIC</v>
      </c>
      <c r="I11" t="str">
        <f>VLOOKUP(C11,[1]Orders!$A$5:$W$1043,7,0)</f>
        <v>Corporate</v>
      </c>
      <c r="J11" t="str">
        <f>VLOOKUP(C11,[1]Orders!$A$5:$W$1043,8,0)</f>
        <v>Connor Betts</v>
      </c>
      <c r="K11" t="str">
        <f>VLOOKUP(C11,[1]Orders!$A$5:$W$1043,9,0)</f>
        <v>Not Specified</v>
      </c>
      <c r="O11" t="s">
        <v>1202</v>
      </c>
    </row>
    <row r="12" spans="3:15" x14ac:dyDescent="0.25">
      <c r="C12" s="61" t="s">
        <v>1149</v>
      </c>
      <c r="D12" t="str">
        <f>VLOOKUP(C12,[1]Orders!$A$5:$W$1043,3,0)</f>
        <v>Christy Brittain</v>
      </c>
      <c r="E12">
        <f>VLOOKUP(C12,[1]Orders!$A$5:$W$1043,23,0)</f>
        <v>130.6</v>
      </c>
      <c r="F12" t="str">
        <f>VLOOKUP(C12,[1]Orders!$A$5:$W$1043,5,0)</f>
        <v>Sydney</v>
      </c>
      <c r="G12" t="str">
        <f>VLOOKUP(C12,[1]Orders!$A$5:$W$1043,5,0)</f>
        <v>Sydney</v>
      </c>
      <c r="H12" t="str">
        <f>VLOOKUP(C12,[1]Orders!$A$5:$W$1043,6,0)</f>
        <v>NSW</v>
      </c>
      <c r="I12" t="str">
        <f>VLOOKUP(C12,[1]Orders!$A$5:$W$1043,7,0)</f>
        <v>Consumer</v>
      </c>
      <c r="J12" t="str">
        <f>VLOOKUP(C12,[1]Orders!$A$5:$W$1043,8,0)</f>
        <v>Mihael Khan</v>
      </c>
      <c r="K12" t="str">
        <f>VLOOKUP(C12,[1]Orders!$A$5:$W$1043,9,0)</f>
        <v>Critical</v>
      </c>
      <c r="O12" t="s">
        <v>1203</v>
      </c>
    </row>
    <row r="13" spans="3:15" x14ac:dyDescent="0.25">
      <c r="C13" s="61" t="s">
        <v>1150</v>
      </c>
      <c r="D13" t="str">
        <f>VLOOKUP(C13,[1]Orders!$A$5:$W$1043,3,0)</f>
        <v>Christy Brittain</v>
      </c>
      <c r="E13">
        <f>VLOOKUP(C13,[1]Orders!$A$5:$W$1043,23,0)</f>
        <v>111.62</v>
      </c>
      <c r="F13" t="str">
        <f>VLOOKUP(C13,[1]Orders!$A$5:$W$1043,5,0)</f>
        <v>Sydney</v>
      </c>
      <c r="G13" t="str">
        <f>VLOOKUP(C13,[1]Orders!$A$5:$W$1043,5,0)</f>
        <v>Sydney</v>
      </c>
      <c r="H13" t="str">
        <f>VLOOKUP(C13,[1]Orders!$A$5:$W$1043,6,0)</f>
        <v>NSW</v>
      </c>
      <c r="I13" t="str">
        <f>VLOOKUP(C13,[1]Orders!$A$5:$W$1043,7,0)</f>
        <v>Consumer</v>
      </c>
      <c r="J13" t="str">
        <f>VLOOKUP(C13,[1]Orders!$A$5:$W$1043,8,0)</f>
        <v>Mihael Khan</v>
      </c>
      <c r="K13" t="str">
        <f>VLOOKUP(C13,[1]Orders!$A$5:$W$1043,9,0)</f>
        <v>Critical</v>
      </c>
    </row>
    <row r="14" spans="3:15" x14ac:dyDescent="0.25">
      <c r="C14" s="61" t="s">
        <v>1151</v>
      </c>
      <c r="D14" t="str">
        <f>VLOOKUP(C14,[1]Orders!$A$5:$W$1043,3,0)</f>
        <v>Alex Grayson</v>
      </c>
      <c r="E14">
        <f>VLOOKUP(C14,[1]Orders!$A$5:$W$1043,23,0)</f>
        <v>33.08</v>
      </c>
      <c r="F14" t="str">
        <f>VLOOKUP(C14,[1]Orders!$A$5:$W$1043,5,0)</f>
        <v>Sydney</v>
      </c>
      <c r="G14" t="str">
        <f>VLOOKUP(C14,[1]Orders!$A$5:$W$1043,5,0)</f>
        <v>Sydney</v>
      </c>
      <c r="H14" t="str">
        <f>VLOOKUP(C14,[1]Orders!$A$5:$W$1043,6,0)</f>
        <v>NSW</v>
      </c>
      <c r="I14" t="str">
        <f>VLOOKUP(C14,[1]Orders!$A$5:$W$1043,7,0)</f>
        <v>Consumer</v>
      </c>
      <c r="J14" t="str">
        <f>VLOOKUP(C14,[1]Orders!$A$5:$W$1043,8,0)</f>
        <v>Radhya Staples</v>
      </c>
      <c r="K14" t="str">
        <f>VLOOKUP(C14,[1]Orders!$A$5:$W$1043,9,0)</f>
        <v>Medium</v>
      </c>
    </row>
    <row r="15" spans="3:15" x14ac:dyDescent="0.25">
      <c r="C15" s="61" t="s">
        <v>1152</v>
      </c>
      <c r="D15" t="str">
        <f>VLOOKUP(C15,[1]Orders!$A$5:$W$1043,3,0)</f>
        <v>Alex Grayson</v>
      </c>
      <c r="E15">
        <f>VLOOKUP(C15,[1]Orders!$A$5:$W$1043,23,0)</f>
        <v>863.04</v>
      </c>
      <c r="F15" t="str">
        <f>VLOOKUP(C15,[1]Orders!$A$5:$W$1043,5,0)</f>
        <v>Sydney</v>
      </c>
      <c r="G15" t="str">
        <f>VLOOKUP(C15,[1]Orders!$A$5:$W$1043,5,0)</f>
        <v>Sydney</v>
      </c>
      <c r="H15" t="str">
        <f>VLOOKUP(C15,[1]Orders!$A$5:$W$1043,6,0)</f>
        <v>NSW</v>
      </c>
      <c r="I15" t="str">
        <f>VLOOKUP(C15,[1]Orders!$A$5:$W$1043,7,0)</f>
        <v>Consumer</v>
      </c>
      <c r="J15" t="str">
        <f>VLOOKUP(C15,[1]Orders!$A$5:$W$1043,8,0)</f>
        <v>Radhya Staples</v>
      </c>
      <c r="K15" t="str">
        <f>VLOOKUP(C15,[1]Orders!$A$5:$W$1043,9,0)</f>
        <v>Medium</v>
      </c>
    </row>
    <row r="16" spans="3:15" x14ac:dyDescent="0.25">
      <c r="C16" s="61" t="s">
        <v>1153</v>
      </c>
      <c r="D16" t="str">
        <f>VLOOKUP(C16,[1]Orders!$A$5:$W$1043,3,0)</f>
        <v>Stephanie Ulpright</v>
      </c>
      <c r="E16">
        <f>VLOOKUP(C16,[1]Orders!$A$5:$W$1043,23,0)</f>
        <v>14.719999999999999</v>
      </c>
      <c r="F16" t="str">
        <f>VLOOKUP(C16,[1]Orders!$A$5:$W$1043,5,0)</f>
        <v>Melbourne</v>
      </c>
      <c r="G16" t="str">
        <f>VLOOKUP(C16,[1]Orders!$A$5:$W$1043,5,0)</f>
        <v>Melbourne</v>
      </c>
      <c r="H16" t="str">
        <f>VLOOKUP(C16,[1]Orders!$A$5:$W$1043,6,0)</f>
        <v>VIC</v>
      </c>
      <c r="I16" t="str">
        <f>VLOOKUP(C16,[1]Orders!$A$5:$W$1043,7,0)</f>
        <v>Consumer</v>
      </c>
      <c r="J16" t="str">
        <f>VLOOKUP(C16,[1]Orders!$A$5:$W$1043,8,0)</f>
        <v>Yvette Biti</v>
      </c>
      <c r="K16" t="str">
        <f>VLOOKUP(C16,[1]Orders!$A$5:$W$1043,9,0)</f>
        <v>Not Specified</v>
      </c>
    </row>
    <row r="17" spans="3:11" x14ac:dyDescent="0.25">
      <c r="C17" s="61" t="s">
        <v>1154</v>
      </c>
      <c r="D17" t="str">
        <f>VLOOKUP(C17,[1]Orders!$A$5:$W$1043,3,0)</f>
        <v>Stephanie Ulpright</v>
      </c>
      <c r="E17">
        <f>VLOOKUP(C17,[1]Orders!$A$5:$W$1043,23,0)</f>
        <v>1011.0999999999999</v>
      </c>
      <c r="F17" t="str">
        <f>VLOOKUP(C17,[1]Orders!$A$5:$W$1043,5,0)</f>
        <v>Melbourne</v>
      </c>
      <c r="G17" t="str">
        <f>VLOOKUP(C17,[1]Orders!$A$5:$W$1043,5,0)</f>
        <v>Melbourne</v>
      </c>
      <c r="H17" t="str">
        <f>VLOOKUP(C17,[1]Orders!$A$5:$W$1043,6,0)</f>
        <v>VIC</v>
      </c>
      <c r="I17" t="str">
        <f>VLOOKUP(C17,[1]Orders!$A$5:$W$1043,7,0)</f>
        <v>Consumer</v>
      </c>
      <c r="J17" t="str">
        <f>VLOOKUP(C17,[1]Orders!$A$5:$W$1043,8,0)</f>
        <v>Yvette Biti</v>
      </c>
      <c r="K17" t="str">
        <f>VLOOKUP(C17,[1]Orders!$A$5:$W$1043,9,0)</f>
        <v>Not Specified</v>
      </c>
    </row>
    <row r="18" spans="3:11" x14ac:dyDescent="0.25">
      <c r="C18" s="61" t="s">
        <v>1155</v>
      </c>
      <c r="D18" t="str">
        <f>VLOOKUP(C18,[1]Orders!$A$5:$W$1043,3,0)</f>
        <v>Sylvia Foulston</v>
      </c>
      <c r="E18">
        <f>VLOOKUP(C18,[1]Orders!$A$5:$W$1043,23,0)</f>
        <v>7495.56</v>
      </c>
      <c r="F18" t="str">
        <f>VLOOKUP(C18,[1]Orders!$A$5:$W$1043,5,0)</f>
        <v>Sydney</v>
      </c>
      <c r="G18" t="str">
        <f>VLOOKUP(C18,[1]Orders!$A$5:$W$1043,5,0)</f>
        <v>Sydney</v>
      </c>
      <c r="H18" t="str">
        <f>VLOOKUP(C18,[1]Orders!$A$5:$W$1043,6,0)</f>
        <v>NSW</v>
      </c>
      <c r="I18" t="str">
        <f>VLOOKUP(C18,[1]Orders!$A$5:$W$1043,7,0)</f>
        <v>Corporate</v>
      </c>
      <c r="J18" t="str">
        <f>VLOOKUP(C18,[1]Orders!$A$5:$W$1043,8,0)</f>
        <v>Tina Carlton</v>
      </c>
      <c r="K18" t="str">
        <f>VLOOKUP(C18,[1]Orders!$A$5:$W$1043,9,0)</f>
        <v>Critical</v>
      </c>
    </row>
    <row r="19" spans="3:11" x14ac:dyDescent="0.25">
      <c r="C19" s="61" t="s">
        <v>1156</v>
      </c>
      <c r="D19" t="str">
        <f>VLOOKUP(C19,[1]Orders!$A$5:$W$1043,3,0)</f>
        <v>Sylvia Foulston</v>
      </c>
      <c r="E19">
        <f>VLOOKUP(C19,[1]Orders!$A$5:$W$1043,23,0)</f>
        <v>50.900000000000006</v>
      </c>
      <c r="F19" t="str">
        <f>VLOOKUP(C19,[1]Orders!$A$5:$W$1043,5,0)</f>
        <v>Sydney</v>
      </c>
      <c r="G19" t="str">
        <f>VLOOKUP(C19,[1]Orders!$A$5:$W$1043,5,0)</f>
        <v>Sydney</v>
      </c>
      <c r="H19" t="str">
        <f>VLOOKUP(C19,[1]Orders!$A$5:$W$1043,6,0)</f>
        <v>NSW</v>
      </c>
      <c r="I19" t="str">
        <f>VLOOKUP(C19,[1]Orders!$A$5:$W$1043,7,0)</f>
        <v>Corporate</v>
      </c>
      <c r="J19" t="str">
        <f>VLOOKUP(C19,[1]Orders!$A$5:$W$1043,8,0)</f>
        <v>Tina Carlton</v>
      </c>
      <c r="K19" t="str">
        <f>VLOOKUP(C19,[1]Orders!$A$5:$W$1043,9,0)</f>
        <v>Critical</v>
      </c>
    </row>
    <row r="20" spans="3:11" x14ac:dyDescent="0.25">
      <c r="C20" s="61" t="s">
        <v>1157</v>
      </c>
      <c r="D20" t="str">
        <f>VLOOKUP(C20,[1]Orders!$A$5:$W$1043,3,0)</f>
        <v>Patrick Jones</v>
      </c>
      <c r="E20">
        <f>VLOOKUP(C20,[1]Orders!$A$5:$W$1043,23,0)</f>
        <v>57.749999999999993</v>
      </c>
      <c r="F20" t="str">
        <f>VLOOKUP(C20,[1]Orders!$A$5:$W$1043,5,0)</f>
        <v>Melbourne</v>
      </c>
      <c r="G20" t="str">
        <f>VLOOKUP(C20,[1]Orders!$A$5:$W$1043,5,0)</f>
        <v>Melbourne</v>
      </c>
      <c r="H20" t="str">
        <f>VLOOKUP(C20,[1]Orders!$A$5:$W$1043,6,0)</f>
        <v>VIC</v>
      </c>
      <c r="I20" t="str">
        <f>VLOOKUP(C20,[1]Orders!$A$5:$W$1043,7,0)</f>
        <v>Home Office</v>
      </c>
      <c r="J20" t="str">
        <f>VLOOKUP(C20,[1]Orders!$A$5:$W$1043,8,0)</f>
        <v>Yvette Biti</v>
      </c>
      <c r="K20" t="str">
        <f>VLOOKUP(C20,[1]Orders!$A$5:$W$1043,9,0)</f>
        <v>Low</v>
      </c>
    </row>
    <row r="21" spans="3:11" x14ac:dyDescent="0.25">
      <c r="C21" s="61" t="s">
        <v>1158</v>
      </c>
      <c r="D21" t="str">
        <f>VLOOKUP(C21,[1]Orders!$A$5:$W$1043,3,0)</f>
        <v>Patrick Jones</v>
      </c>
      <c r="E21">
        <f>VLOOKUP(C21,[1]Orders!$A$5:$W$1043,23,0)</f>
        <v>109.02</v>
      </c>
      <c r="F21" t="str">
        <f>VLOOKUP(C21,[1]Orders!$A$5:$W$1043,5,0)</f>
        <v>Melbourne</v>
      </c>
      <c r="G21" t="str">
        <f>VLOOKUP(C21,[1]Orders!$A$5:$W$1043,5,0)</f>
        <v>Melbourne</v>
      </c>
      <c r="H21" t="str">
        <f>VLOOKUP(C21,[1]Orders!$A$5:$W$1043,6,0)</f>
        <v>VIC</v>
      </c>
      <c r="I21" t="str">
        <f>VLOOKUP(C21,[1]Orders!$A$5:$W$1043,7,0)</f>
        <v>Home Office</v>
      </c>
      <c r="J21" t="str">
        <f>VLOOKUP(C21,[1]Orders!$A$5:$W$1043,8,0)</f>
        <v>Yvette Biti</v>
      </c>
      <c r="K21" t="str">
        <f>VLOOKUP(C21,[1]Orders!$A$5:$W$1043,9,0)</f>
        <v>Low</v>
      </c>
    </row>
    <row r="22" spans="3:11" x14ac:dyDescent="0.25">
      <c r="C22" s="61" t="s">
        <v>1159</v>
      </c>
      <c r="D22" t="str">
        <f>VLOOKUP(C22,[1]Orders!$A$5:$W$1043,3,0)</f>
        <v>Saphhira Shifley</v>
      </c>
      <c r="E22">
        <f>VLOOKUP(C22,[1]Orders!$A$5:$W$1043,23,0)</f>
        <v>276.39000000000004</v>
      </c>
      <c r="F22" t="str">
        <f>VLOOKUP(C22,[1]Orders!$A$5:$W$1043,5,0)</f>
        <v>Sydney</v>
      </c>
      <c r="G22" t="str">
        <f>VLOOKUP(C22,[1]Orders!$A$5:$W$1043,5,0)</f>
        <v>Sydney</v>
      </c>
      <c r="H22" t="str">
        <f>VLOOKUP(C22,[1]Orders!$A$5:$W$1043,6,0)</f>
        <v>NSW</v>
      </c>
      <c r="I22" t="str">
        <f>VLOOKUP(C22,[1]Orders!$A$5:$W$1043,7,0)</f>
        <v>Consumer</v>
      </c>
      <c r="J22" t="str">
        <f>VLOOKUP(C22,[1]Orders!$A$5:$W$1043,8,0)</f>
        <v>Preston Senome</v>
      </c>
      <c r="K22" t="str">
        <f>VLOOKUP(C22,[1]Orders!$A$5:$W$1043,9,0)</f>
        <v>Critical</v>
      </c>
    </row>
    <row r="23" spans="3:11" x14ac:dyDescent="0.25">
      <c r="C23" s="61" t="s">
        <v>1160</v>
      </c>
      <c r="D23" t="str">
        <f>VLOOKUP(C23,[1]Orders!$A$5:$W$1043,3,0)</f>
        <v>Saphhira Shifley</v>
      </c>
      <c r="E23">
        <f>VLOOKUP(C23,[1]Orders!$A$5:$W$1043,23,0)</f>
        <v>2292.17</v>
      </c>
      <c r="F23" t="str">
        <f>VLOOKUP(C23,[1]Orders!$A$5:$W$1043,5,0)</f>
        <v>Sydney</v>
      </c>
      <c r="G23" t="str">
        <f>VLOOKUP(C23,[1]Orders!$A$5:$W$1043,5,0)</f>
        <v>Sydney</v>
      </c>
      <c r="H23" t="str">
        <f>VLOOKUP(C23,[1]Orders!$A$5:$W$1043,6,0)</f>
        <v>NSW</v>
      </c>
      <c r="I23" t="str">
        <f>VLOOKUP(C23,[1]Orders!$A$5:$W$1043,7,0)</f>
        <v>Consumer</v>
      </c>
      <c r="J23" t="str">
        <f>VLOOKUP(C23,[1]Orders!$A$5:$W$1043,8,0)</f>
        <v>Preston Senome</v>
      </c>
      <c r="K23" t="str">
        <f>VLOOKUP(C23,[1]Orders!$A$5:$W$1043,9,0)</f>
        <v>Critical</v>
      </c>
    </row>
    <row r="24" spans="3:11" x14ac:dyDescent="0.25">
      <c r="C24" s="61" t="s">
        <v>1161</v>
      </c>
      <c r="D24" t="str">
        <f>VLOOKUP(C24,[1]Orders!$A$5:$W$1043,3,0)</f>
        <v>Anne Pryor</v>
      </c>
      <c r="E24">
        <f>VLOOKUP(C24,[1]Orders!$A$5:$W$1043,23,0)</f>
        <v>56.29</v>
      </c>
      <c r="F24" t="str">
        <f>VLOOKUP(C24,[1]Orders!$A$5:$W$1043,5,0)</f>
        <v>Sydney</v>
      </c>
      <c r="G24" t="str">
        <f>VLOOKUP(C24,[1]Orders!$A$5:$W$1043,5,0)</f>
        <v>Sydney</v>
      </c>
      <c r="H24" t="str">
        <f>VLOOKUP(C24,[1]Orders!$A$5:$W$1043,6,0)</f>
        <v>NSW</v>
      </c>
      <c r="I24" t="str">
        <f>VLOOKUP(C24,[1]Orders!$A$5:$W$1043,7,0)</f>
        <v>Home Office</v>
      </c>
      <c r="J24" t="str">
        <f>VLOOKUP(C24,[1]Orders!$A$5:$W$1043,8,0)</f>
        <v>Aanya Zhang</v>
      </c>
      <c r="K24" t="str">
        <f>VLOOKUP(C24,[1]Orders!$A$5:$W$1043,9,0)</f>
        <v>Medium</v>
      </c>
    </row>
    <row r="25" spans="3:11" x14ac:dyDescent="0.25">
      <c r="C25" s="61" t="s">
        <v>1162</v>
      </c>
      <c r="D25" t="str">
        <f>VLOOKUP(C25,[1]Orders!$A$5:$W$1043,3,0)</f>
        <v>Anne Pryor</v>
      </c>
      <c r="E25">
        <f>VLOOKUP(C25,[1]Orders!$A$5:$W$1043,23,0)</f>
        <v>91.95</v>
      </c>
      <c r="F25" t="str">
        <f>VLOOKUP(C25,[1]Orders!$A$5:$W$1043,5,0)</f>
        <v>Sydney</v>
      </c>
      <c r="G25" t="str">
        <f>VLOOKUP(C25,[1]Orders!$A$5:$W$1043,5,0)</f>
        <v>Sydney</v>
      </c>
      <c r="H25" t="str">
        <f>VLOOKUP(C25,[1]Orders!$A$5:$W$1043,6,0)</f>
        <v>NSW</v>
      </c>
      <c r="I25" t="str">
        <f>VLOOKUP(C25,[1]Orders!$A$5:$W$1043,7,0)</f>
        <v>Home Office</v>
      </c>
      <c r="J25" t="str">
        <f>VLOOKUP(C25,[1]Orders!$A$5:$W$1043,8,0)</f>
        <v>Aanya Zhang</v>
      </c>
      <c r="K25" t="str">
        <f>VLOOKUP(C25,[1]Orders!$A$5:$W$1043,9,0)</f>
        <v>Medium</v>
      </c>
    </row>
    <row r="26" spans="3:11" x14ac:dyDescent="0.25">
      <c r="C26" s="61" t="s">
        <v>1163</v>
      </c>
      <c r="D26" t="str">
        <f>VLOOKUP(C26,[1]Orders!$A$5:$W$1043,3,0)</f>
        <v>Logan Haushalter</v>
      </c>
      <c r="E26">
        <f>VLOOKUP(C26,[1]Orders!$A$5:$W$1043,23,0)</f>
        <v>28823.93</v>
      </c>
      <c r="F26" t="str">
        <f>VLOOKUP(C26,[1]Orders!$A$5:$W$1043,5,0)</f>
        <v>Melbourne</v>
      </c>
      <c r="G26" t="str">
        <f>VLOOKUP(C26,[1]Orders!$A$5:$W$1043,5,0)</f>
        <v>Melbourne</v>
      </c>
      <c r="H26" t="str">
        <f>VLOOKUP(C26,[1]Orders!$A$5:$W$1043,6,0)</f>
        <v>VIC</v>
      </c>
      <c r="I26" t="str">
        <f>VLOOKUP(C26,[1]Orders!$A$5:$W$1043,7,0)</f>
        <v>Corporate</v>
      </c>
      <c r="J26" t="str">
        <f>VLOOKUP(C26,[1]Orders!$A$5:$W$1043,8,0)</f>
        <v>Yvette Biti</v>
      </c>
      <c r="K26" t="str">
        <f>VLOOKUP(C26,[1]Orders!$A$5:$W$1043,9,0)</f>
        <v>Low</v>
      </c>
    </row>
    <row r="27" spans="3:11" x14ac:dyDescent="0.25">
      <c r="C27" s="61" t="s">
        <v>1164</v>
      </c>
      <c r="D27" t="str">
        <f>VLOOKUP(C27,[1]Orders!$A$5:$W$1043,3,0)</f>
        <v>Logan Haushalter</v>
      </c>
      <c r="E27">
        <f>VLOOKUP(C27,[1]Orders!$A$5:$W$1043,23,0)</f>
        <v>46.65</v>
      </c>
      <c r="F27" t="str">
        <f>VLOOKUP(C27,[1]Orders!$A$5:$W$1043,5,0)</f>
        <v>Melbourne</v>
      </c>
      <c r="G27" t="str">
        <f>VLOOKUP(C27,[1]Orders!$A$5:$W$1043,5,0)</f>
        <v>Melbourne</v>
      </c>
      <c r="H27" t="str">
        <f>VLOOKUP(C27,[1]Orders!$A$5:$W$1043,6,0)</f>
        <v>VIC</v>
      </c>
      <c r="I27" t="str">
        <f>VLOOKUP(C27,[1]Orders!$A$5:$W$1043,7,0)</f>
        <v>Corporate</v>
      </c>
      <c r="J27" t="str">
        <f>VLOOKUP(C27,[1]Orders!$A$5:$W$1043,8,0)</f>
        <v>Yvette Biti</v>
      </c>
      <c r="K27" t="str">
        <f>VLOOKUP(C27,[1]Orders!$A$5:$W$1043,9,0)</f>
        <v>Low</v>
      </c>
    </row>
    <row r="28" spans="3:11" x14ac:dyDescent="0.25">
      <c r="C28" s="61" t="s">
        <v>1165</v>
      </c>
      <c r="D28" t="str">
        <f>VLOOKUP(C28,[1]Orders!$A$5:$W$1043,3,0)</f>
        <v>Tracy Blumstein</v>
      </c>
      <c r="E28">
        <f>VLOOKUP(C28,[1]Orders!$A$5:$W$1043,23,0)</f>
        <v>94.97</v>
      </c>
      <c r="F28" t="str">
        <f>VLOOKUP(C28,[1]Orders!$A$5:$W$1043,5,0)</f>
        <v>Sydney</v>
      </c>
      <c r="G28" t="str">
        <f>VLOOKUP(C28,[1]Orders!$A$5:$W$1043,5,0)</f>
        <v>Sydney</v>
      </c>
      <c r="H28" t="str">
        <f>VLOOKUP(C28,[1]Orders!$A$5:$W$1043,6,0)</f>
        <v>NSW</v>
      </c>
      <c r="I28" t="str">
        <f>VLOOKUP(C28,[1]Orders!$A$5:$W$1043,7,0)</f>
        <v>Home Office</v>
      </c>
      <c r="J28" t="str">
        <f>VLOOKUP(C28,[1]Orders!$A$5:$W$1043,8,0)</f>
        <v>Tina Carlton</v>
      </c>
      <c r="K28" t="str">
        <f>VLOOKUP(C28,[1]Orders!$A$5:$W$1043,9,0)</f>
        <v>Not Specified</v>
      </c>
    </row>
    <row r="29" spans="3:11" x14ac:dyDescent="0.25">
      <c r="C29" s="61" t="s">
        <v>1166</v>
      </c>
      <c r="D29" t="str">
        <f>VLOOKUP(C29,[1]Orders!$A$5:$W$1043,3,0)</f>
        <v>Tracy Blumstein</v>
      </c>
      <c r="E29">
        <f>VLOOKUP(C29,[1]Orders!$A$5:$W$1043,23,0)</f>
        <v>82.12</v>
      </c>
      <c r="F29" t="str">
        <f>VLOOKUP(C29,[1]Orders!$A$5:$W$1043,5,0)</f>
        <v>Sydney</v>
      </c>
      <c r="G29" t="str">
        <f>VLOOKUP(C29,[1]Orders!$A$5:$W$1043,5,0)</f>
        <v>Sydney</v>
      </c>
      <c r="H29" t="str">
        <f>VLOOKUP(C29,[1]Orders!$A$5:$W$1043,6,0)</f>
        <v>NSW</v>
      </c>
      <c r="I29" t="str">
        <f>VLOOKUP(C29,[1]Orders!$A$5:$W$1043,7,0)</f>
        <v>Home Office</v>
      </c>
      <c r="J29" t="str">
        <f>VLOOKUP(C29,[1]Orders!$A$5:$W$1043,8,0)</f>
        <v>Tina Carlton</v>
      </c>
      <c r="K29" t="str">
        <f>VLOOKUP(C29,[1]Orders!$A$5:$W$1043,9,0)</f>
        <v>Not Specified</v>
      </c>
    </row>
    <row r="30" spans="3:11" x14ac:dyDescent="0.25">
      <c r="C30" s="61" t="s">
        <v>1167</v>
      </c>
      <c r="D30" t="str">
        <f>VLOOKUP(C30,[1]Orders!$A$5:$W$1043,3,0)</f>
        <v>Daniel Byrd</v>
      </c>
      <c r="E30">
        <f>VLOOKUP(C30,[1]Orders!$A$5:$W$1043,23,0)</f>
        <v>372.70000000000005</v>
      </c>
      <c r="F30" t="str">
        <f>VLOOKUP(C30,[1]Orders!$A$5:$W$1043,5,0)</f>
        <v>Sydney</v>
      </c>
      <c r="G30" t="str">
        <f>VLOOKUP(C30,[1]Orders!$A$5:$W$1043,5,0)</f>
        <v>Sydney</v>
      </c>
      <c r="H30" t="str">
        <f>VLOOKUP(C30,[1]Orders!$A$5:$W$1043,6,0)</f>
        <v>NSW</v>
      </c>
      <c r="I30" t="str">
        <f>VLOOKUP(C30,[1]Orders!$A$5:$W$1043,7,0)</f>
        <v>Home Office</v>
      </c>
      <c r="J30" t="str">
        <f>VLOOKUP(C30,[1]Orders!$A$5:$W$1043,8,0)</f>
        <v>Samantha Chairs</v>
      </c>
      <c r="K30" t="str">
        <f>VLOOKUP(C30,[1]Orders!$A$5:$W$1043,9,0)</f>
        <v>Not Specified</v>
      </c>
    </row>
    <row r="31" spans="3:11" x14ac:dyDescent="0.25">
      <c r="C31" s="61" t="s">
        <v>125</v>
      </c>
      <c r="D31" t="str">
        <f>VLOOKUP(C31,[1]Orders!$A$5:$W$1043,3,0)</f>
        <v>Daniel Byrd</v>
      </c>
      <c r="E31">
        <f>VLOOKUP(C31,[1]Orders!$A$5:$W$1043,23,0)</f>
        <v>107.21000000000001</v>
      </c>
      <c r="F31" t="str">
        <f>VLOOKUP(C31,[1]Orders!$A$5:$W$1043,5,0)</f>
        <v>Sydney</v>
      </c>
      <c r="G31" t="str">
        <f>VLOOKUP(C31,[1]Orders!$A$5:$W$1043,5,0)</f>
        <v>Sydney</v>
      </c>
      <c r="H31" t="str">
        <f>VLOOKUP(C31,[1]Orders!$A$5:$W$1043,6,0)</f>
        <v>NSW</v>
      </c>
      <c r="I31" t="str">
        <f>VLOOKUP(C31,[1]Orders!$A$5:$W$1043,7,0)</f>
        <v>Home Office</v>
      </c>
      <c r="J31" t="str">
        <f>VLOOKUP(C31,[1]Orders!$A$5:$W$1043,8,0)</f>
        <v>Samantha Chairs</v>
      </c>
      <c r="K31" t="str">
        <f>VLOOKUP(C31,[1]Orders!$A$5:$W$1043,9,0)</f>
        <v>Not Specified</v>
      </c>
    </row>
    <row r="32" spans="3:11" x14ac:dyDescent="0.25">
      <c r="C32" s="61" t="s">
        <v>126</v>
      </c>
      <c r="D32" t="str">
        <f>VLOOKUP(C32,[1]Orders!$A$5:$W$1043,3,0)</f>
        <v>Julia Dunbar</v>
      </c>
      <c r="E32">
        <f>VLOOKUP(C32,[1]Orders!$A$5:$W$1043,23,0)</f>
        <v>15.99</v>
      </c>
      <c r="F32" t="str">
        <f>VLOOKUP(C32,[1]Orders!$A$5:$W$1043,5,0)</f>
        <v>Sydney</v>
      </c>
      <c r="G32" t="str">
        <f>VLOOKUP(C32,[1]Orders!$A$5:$W$1043,5,0)</f>
        <v>Sydney</v>
      </c>
      <c r="H32" t="str">
        <f>VLOOKUP(C32,[1]Orders!$A$5:$W$1043,6,0)</f>
        <v>NSW</v>
      </c>
      <c r="I32" t="str">
        <f>VLOOKUP(C32,[1]Orders!$A$5:$W$1043,7,0)</f>
        <v>Consumer</v>
      </c>
      <c r="J32" t="str">
        <f>VLOOKUP(C32,[1]Orders!$A$5:$W$1043,8,0)</f>
        <v>Phoebe Gour</v>
      </c>
      <c r="K32" t="str">
        <f>VLOOKUP(C32,[1]Orders!$A$5:$W$1043,9,0)</f>
        <v>Low</v>
      </c>
    </row>
    <row r="33" spans="3:11" x14ac:dyDescent="0.25">
      <c r="C33" s="61" t="s">
        <v>127</v>
      </c>
      <c r="D33" t="str">
        <f>VLOOKUP(C33,[1]Orders!$A$5:$W$1043,3,0)</f>
        <v>Julia Dunbar</v>
      </c>
      <c r="E33">
        <f>VLOOKUP(C33,[1]Orders!$A$5:$W$1043,23,0)</f>
        <v>136.37999999999997</v>
      </c>
      <c r="F33" t="str">
        <f>VLOOKUP(C33,[1]Orders!$A$5:$W$1043,5,0)</f>
        <v>Sydney</v>
      </c>
      <c r="G33" t="str">
        <f>VLOOKUP(C33,[1]Orders!$A$5:$W$1043,5,0)</f>
        <v>Sydney</v>
      </c>
      <c r="H33" t="str">
        <f>VLOOKUP(C33,[1]Orders!$A$5:$W$1043,6,0)</f>
        <v>NSW</v>
      </c>
      <c r="I33" t="str">
        <f>VLOOKUP(C33,[1]Orders!$A$5:$W$1043,7,0)</f>
        <v>Consumer</v>
      </c>
      <c r="J33" t="str">
        <f>VLOOKUP(C33,[1]Orders!$A$5:$W$1043,8,0)</f>
        <v>Phoebe Gour</v>
      </c>
      <c r="K33" t="str">
        <f>VLOOKUP(C33,[1]Orders!$A$5:$W$1043,9,0)</f>
        <v>Low</v>
      </c>
    </row>
    <row r="34" spans="3:11" x14ac:dyDescent="0.25">
      <c r="C34" s="61" t="s">
        <v>128</v>
      </c>
      <c r="D34" t="str">
        <f>VLOOKUP(C34,[1]Orders!$A$5:$W$1043,3,0)</f>
        <v>Victoria Wilson</v>
      </c>
      <c r="E34">
        <f>VLOOKUP(C34,[1]Orders!$A$5:$W$1043,23,0)</f>
        <v>15024.17</v>
      </c>
      <c r="F34" t="str">
        <f>VLOOKUP(C34,[1]Orders!$A$5:$W$1043,5,0)</f>
        <v>Sydney</v>
      </c>
      <c r="G34" t="str">
        <f>VLOOKUP(C34,[1]Orders!$A$5:$W$1043,5,0)</f>
        <v>Sydney</v>
      </c>
      <c r="H34" t="str">
        <f>VLOOKUP(C34,[1]Orders!$A$5:$W$1043,6,0)</f>
        <v>NSW</v>
      </c>
      <c r="I34" t="str">
        <f>VLOOKUP(C34,[1]Orders!$A$5:$W$1043,7,0)</f>
        <v>Home Office</v>
      </c>
      <c r="J34" t="str">
        <f>VLOOKUP(C34,[1]Orders!$A$5:$W$1043,8,0)</f>
        <v>Natasha Song</v>
      </c>
      <c r="K34" t="str">
        <f>VLOOKUP(C34,[1]Orders!$A$5:$W$1043,9,0)</f>
        <v>Low</v>
      </c>
    </row>
    <row r="35" spans="3:11" x14ac:dyDescent="0.25">
      <c r="C35" s="61" t="s">
        <v>129</v>
      </c>
      <c r="D35" t="str">
        <f>VLOOKUP(C35,[1]Orders!$A$5:$W$1043,3,0)</f>
        <v>Victoria Wilson</v>
      </c>
      <c r="E35">
        <f>VLOOKUP(C35,[1]Orders!$A$5:$W$1043,23,0)</f>
        <v>26.920000000000005</v>
      </c>
      <c r="F35" t="str">
        <f>VLOOKUP(C35,[1]Orders!$A$5:$W$1043,5,0)</f>
        <v>Sydney</v>
      </c>
      <c r="G35" t="str">
        <f>VLOOKUP(C35,[1]Orders!$A$5:$W$1043,5,0)</f>
        <v>Sydney</v>
      </c>
      <c r="H35" t="str">
        <f>VLOOKUP(C35,[1]Orders!$A$5:$W$1043,6,0)</f>
        <v>NSW</v>
      </c>
      <c r="I35" t="str">
        <f>VLOOKUP(C35,[1]Orders!$A$5:$W$1043,7,0)</f>
        <v>Home Office</v>
      </c>
      <c r="J35" t="str">
        <f>VLOOKUP(C35,[1]Orders!$A$5:$W$1043,8,0)</f>
        <v>Natasha Song</v>
      </c>
      <c r="K35" t="str">
        <f>VLOOKUP(C35,[1]Orders!$A$5:$W$1043,9,0)</f>
        <v>Low</v>
      </c>
    </row>
    <row r="36" spans="3:11" x14ac:dyDescent="0.25">
      <c r="C36" s="61" t="s">
        <v>130</v>
      </c>
      <c r="D36" t="str">
        <f>VLOOKUP(C36,[1]Orders!$A$5:$W$1043,3,0)</f>
        <v>Ruben Ausman</v>
      </c>
      <c r="E36">
        <f>VLOOKUP(C36,[1]Orders!$A$5:$W$1043,23,0)</f>
        <v>6798.81</v>
      </c>
      <c r="F36" t="str">
        <f>VLOOKUP(C36,[1]Orders!$A$5:$W$1043,5,0)</f>
        <v>Melbourne</v>
      </c>
      <c r="G36" t="str">
        <f>VLOOKUP(C36,[1]Orders!$A$5:$W$1043,5,0)</f>
        <v>Melbourne</v>
      </c>
      <c r="H36" t="str">
        <f>VLOOKUP(C36,[1]Orders!$A$5:$W$1043,6,0)</f>
        <v>VIC</v>
      </c>
      <c r="I36" t="str">
        <f>VLOOKUP(C36,[1]Orders!$A$5:$W$1043,7,0)</f>
        <v>Corporate</v>
      </c>
      <c r="J36" t="str">
        <f>VLOOKUP(C36,[1]Orders!$A$5:$W$1043,8,0)</f>
        <v>Yvette Biti</v>
      </c>
      <c r="K36" t="str">
        <f>VLOOKUP(C36,[1]Orders!$A$5:$W$1043,9,0)</f>
        <v>High</v>
      </c>
    </row>
    <row r="37" spans="3:11" x14ac:dyDescent="0.25">
      <c r="C37" s="61" t="s">
        <v>131</v>
      </c>
      <c r="D37" t="str">
        <f>VLOOKUP(C37,[1]Orders!$A$5:$W$1043,3,0)</f>
        <v>Ruben Ausman</v>
      </c>
      <c r="E37">
        <f>VLOOKUP(C37,[1]Orders!$A$5:$W$1043,23,0)</f>
        <v>57.239999999999995</v>
      </c>
      <c r="F37" t="str">
        <f>VLOOKUP(C37,[1]Orders!$A$5:$W$1043,5,0)</f>
        <v>Melbourne</v>
      </c>
      <c r="G37" t="str">
        <f>VLOOKUP(C37,[1]Orders!$A$5:$W$1043,5,0)</f>
        <v>Melbourne</v>
      </c>
      <c r="H37" t="str">
        <f>VLOOKUP(C37,[1]Orders!$A$5:$W$1043,6,0)</f>
        <v>VIC</v>
      </c>
      <c r="I37" t="str">
        <f>VLOOKUP(C37,[1]Orders!$A$5:$W$1043,7,0)</f>
        <v>Corporate</v>
      </c>
      <c r="J37" t="str">
        <f>VLOOKUP(C37,[1]Orders!$A$5:$W$1043,8,0)</f>
        <v>Yvette Biti</v>
      </c>
      <c r="K37" t="str">
        <f>VLOOKUP(C37,[1]Orders!$A$5:$W$1043,9,0)</f>
        <v>High</v>
      </c>
    </row>
    <row r="38" spans="3:11" x14ac:dyDescent="0.25">
      <c r="C38" s="61" t="s">
        <v>132</v>
      </c>
      <c r="D38" t="str">
        <f>VLOOKUP(C38,[1]Orders!$A$5:$W$1043,3,0)</f>
        <v>Eugene Moren</v>
      </c>
      <c r="E38">
        <f>VLOOKUP(C38,[1]Orders!$A$5:$W$1043,23,0)</f>
        <v>89.789999999999992</v>
      </c>
      <c r="F38" t="str">
        <f>VLOOKUP(C38,[1]Orders!$A$5:$W$1043,5,0)</f>
        <v>Sydney</v>
      </c>
      <c r="G38" t="str">
        <f>VLOOKUP(C38,[1]Orders!$A$5:$W$1043,5,0)</f>
        <v>Sydney</v>
      </c>
      <c r="H38" t="str">
        <f>VLOOKUP(C38,[1]Orders!$A$5:$W$1043,6,0)</f>
        <v>NSW</v>
      </c>
      <c r="I38" t="str">
        <f>VLOOKUP(C38,[1]Orders!$A$5:$W$1043,7,0)</f>
        <v>Home Office</v>
      </c>
      <c r="J38" t="str">
        <f>VLOOKUP(C38,[1]Orders!$A$5:$W$1043,8,0)</f>
        <v>Mihael Khan</v>
      </c>
      <c r="K38" t="str">
        <f>VLOOKUP(C38,[1]Orders!$A$5:$W$1043,9,0)</f>
        <v>Not Specified</v>
      </c>
    </row>
    <row r="39" spans="3:11" x14ac:dyDescent="0.25">
      <c r="C39" s="61" t="s">
        <v>133</v>
      </c>
      <c r="D39" t="str">
        <f>VLOOKUP(C39,[1]Orders!$A$5:$W$1043,3,0)</f>
        <v>Eugene Moren</v>
      </c>
      <c r="E39">
        <f>VLOOKUP(C39,[1]Orders!$A$5:$W$1043,23,0)</f>
        <v>111.61</v>
      </c>
      <c r="F39" t="str">
        <f>VLOOKUP(C39,[1]Orders!$A$5:$W$1043,5,0)</f>
        <v>Sydney</v>
      </c>
      <c r="G39" t="str">
        <f>VLOOKUP(C39,[1]Orders!$A$5:$W$1043,5,0)</f>
        <v>Sydney</v>
      </c>
      <c r="H39" t="str">
        <f>VLOOKUP(C39,[1]Orders!$A$5:$W$1043,6,0)</f>
        <v>NSW</v>
      </c>
      <c r="I39" t="str">
        <f>VLOOKUP(C39,[1]Orders!$A$5:$W$1043,7,0)</f>
        <v>Home Office</v>
      </c>
      <c r="J39" t="str">
        <f>VLOOKUP(C39,[1]Orders!$A$5:$W$1043,8,0)</f>
        <v>Mihael Khan</v>
      </c>
      <c r="K39" t="str">
        <f>VLOOKUP(C39,[1]Orders!$A$5:$W$1043,9,0)</f>
        <v>Not Specified</v>
      </c>
    </row>
    <row r="40" spans="3:11" x14ac:dyDescent="0.25">
      <c r="C40" s="61" t="s">
        <v>134</v>
      </c>
      <c r="D40" t="str">
        <f>VLOOKUP(C40,[1]Orders!$A$5:$W$1043,3,0)</f>
        <v>George Ashbrook</v>
      </c>
      <c r="E40">
        <f>VLOOKUP(C40,[1]Orders!$A$5:$W$1043,23,0)</f>
        <v>1062.6600000000001</v>
      </c>
      <c r="F40" t="str">
        <f>VLOOKUP(C40,[1]Orders!$A$5:$W$1043,5,0)</f>
        <v>Melbourne</v>
      </c>
      <c r="G40" t="str">
        <f>VLOOKUP(C40,[1]Orders!$A$5:$W$1043,5,0)</f>
        <v>Melbourne</v>
      </c>
      <c r="H40" t="str">
        <f>VLOOKUP(C40,[1]Orders!$A$5:$W$1043,6,0)</f>
        <v>VIC</v>
      </c>
      <c r="I40" t="str">
        <f>VLOOKUP(C40,[1]Orders!$A$5:$W$1043,7,0)</f>
        <v>Consumer</v>
      </c>
      <c r="J40" t="str">
        <f>VLOOKUP(C40,[1]Orders!$A$5:$W$1043,8,0)</f>
        <v>Connor Betts</v>
      </c>
      <c r="K40" t="str">
        <f>VLOOKUP(C40,[1]Orders!$A$5:$W$1043,9,0)</f>
        <v>Medium</v>
      </c>
    </row>
    <row r="41" spans="3:11" x14ac:dyDescent="0.25">
      <c r="C41" s="61" t="s">
        <v>135</v>
      </c>
      <c r="D41" t="str">
        <f>VLOOKUP(C41,[1]Orders!$A$5:$W$1043,3,0)</f>
        <v>George Ashbrook</v>
      </c>
      <c r="E41">
        <f>VLOOKUP(C41,[1]Orders!$A$5:$W$1043,23,0)</f>
        <v>49.48</v>
      </c>
      <c r="F41" t="str">
        <f>VLOOKUP(C41,[1]Orders!$A$5:$W$1043,5,0)</f>
        <v>Melbourne</v>
      </c>
      <c r="G41" t="str">
        <f>VLOOKUP(C41,[1]Orders!$A$5:$W$1043,5,0)</f>
        <v>Melbourne</v>
      </c>
      <c r="H41" t="str">
        <f>VLOOKUP(C41,[1]Orders!$A$5:$W$1043,6,0)</f>
        <v>VIC</v>
      </c>
      <c r="I41" t="str">
        <f>VLOOKUP(C41,[1]Orders!$A$5:$W$1043,7,0)</f>
        <v>Consumer</v>
      </c>
      <c r="J41" t="str">
        <f>VLOOKUP(C41,[1]Orders!$A$5:$W$1043,8,0)</f>
        <v>Connor Betts</v>
      </c>
      <c r="K41" t="str">
        <f>VLOOKUP(C41,[1]Orders!$A$5:$W$1043,9,0)</f>
        <v>Medium</v>
      </c>
    </row>
    <row r="42" spans="3:11" x14ac:dyDescent="0.25">
      <c r="C42" s="61" t="s">
        <v>136</v>
      </c>
      <c r="D42" t="str">
        <f>VLOOKUP(C42,[1]Orders!$A$5:$W$1043,3,0)</f>
        <v>Sam Craven</v>
      </c>
      <c r="E42">
        <f>VLOOKUP(C42,[1]Orders!$A$5:$W$1043,23,0)</f>
        <v>145.83999999999997</v>
      </c>
      <c r="F42" t="str">
        <f>VLOOKUP(C42,[1]Orders!$A$5:$W$1043,5,0)</f>
        <v>Melbourne</v>
      </c>
      <c r="G42" t="str">
        <f>VLOOKUP(C42,[1]Orders!$A$5:$W$1043,5,0)</f>
        <v>Melbourne</v>
      </c>
      <c r="H42" t="str">
        <f>VLOOKUP(C42,[1]Orders!$A$5:$W$1043,6,0)</f>
        <v>VIC</v>
      </c>
      <c r="I42" t="str">
        <f>VLOOKUP(C42,[1]Orders!$A$5:$W$1043,7,0)</f>
        <v>Home Office</v>
      </c>
      <c r="J42" t="str">
        <f>VLOOKUP(C42,[1]Orders!$A$5:$W$1043,8,0)</f>
        <v>Connor Betts</v>
      </c>
      <c r="K42" t="str">
        <f>VLOOKUP(C42,[1]Orders!$A$5:$W$1043,9,0)</f>
        <v>Medium</v>
      </c>
    </row>
    <row r="43" spans="3:11" x14ac:dyDescent="0.25">
      <c r="C43" s="61" t="s">
        <v>137</v>
      </c>
      <c r="D43" t="str">
        <f>VLOOKUP(C43,[1]Orders!$A$5:$W$1043,3,0)</f>
        <v>Sam Craven</v>
      </c>
      <c r="E43">
        <f>VLOOKUP(C43,[1]Orders!$A$5:$W$1043,23,0)</f>
        <v>77.289999999999992</v>
      </c>
      <c r="F43" t="str">
        <f>VLOOKUP(C43,[1]Orders!$A$5:$W$1043,5,0)</f>
        <v>Melbourne</v>
      </c>
      <c r="G43" t="str">
        <f>VLOOKUP(C43,[1]Orders!$A$5:$W$1043,5,0)</f>
        <v>Melbourne</v>
      </c>
      <c r="H43" t="str">
        <f>VLOOKUP(C43,[1]Orders!$A$5:$W$1043,6,0)</f>
        <v>VIC</v>
      </c>
      <c r="I43" t="str">
        <f>VLOOKUP(C43,[1]Orders!$A$5:$W$1043,7,0)</f>
        <v>Home Office</v>
      </c>
      <c r="J43" t="str">
        <f>VLOOKUP(C43,[1]Orders!$A$5:$W$1043,8,0)</f>
        <v>Connor Betts</v>
      </c>
      <c r="K43" t="str">
        <f>VLOOKUP(C43,[1]Orders!$A$5:$W$1043,9,0)</f>
        <v>Medium</v>
      </c>
    </row>
    <row r="44" spans="3:11" x14ac:dyDescent="0.25">
      <c r="C44" s="61" t="s">
        <v>138</v>
      </c>
      <c r="D44" t="str">
        <f>VLOOKUP(C44,[1]Orders!$A$5:$W$1043,3,0)</f>
        <v>Todd Boyes</v>
      </c>
      <c r="E44">
        <f>VLOOKUP(C44,[1]Orders!$A$5:$W$1043,23,0)</f>
        <v>355.79</v>
      </c>
      <c r="F44" t="str">
        <f>VLOOKUP(C44,[1]Orders!$A$5:$W$1043,5,0)</f>
        <v>Sydney</v>
      </c>
      <c r="G44" t="str">
        <f>VLOOKUP(C44,[1]Orders!$A$5:$W$1043,5,0)</f>
        <v>Sydney</v>
      </c>
      <c r="H44" t="str">
        <f>VLOOKUP(C44,[1]Orders!$A$5:$W$1043,6,0)</f>
        <v>NSW</v>
      </c>
      <c r="I44" t="str">
        <f>VLOOKUP(C44,[1]Orders!$A$5:$W$1043,7,0)</f>
        <v>Small Business</v>
      </c>
      <c r="J44" t="str">
        <f>VLOOKUP(C44,[1]Orders!$A$5:$W$1043,8,0)</f>
        <v>Preston Senome</v>
      </c>
      <c r="K44" t="str">
        <f>VLOOKUP(C44,[1]Orders!$A$5:$W$1043,9,0)</f>
        <v>High</v>
      </c>
    </row>
    <row r="45" spans="3:11" x14ac:dyDescent="0.25">
      <c r="C45" s="61" t="s">
        <v>139</v>
      </c>
      <c r="D45" t="str">
        <f>VLOOKUP(C45,[1]Orders!$A$5:$W$1043,3,0)</f>
        <v>Todd Boyes</v>
      </c>
      <c r="E45">
        <f>VLOOKUP(C45,[1]Orders!$A$5:$W$1043,23,0)</f>
        <v>155.66999999999999</v>
      </c>
      <c r="F45" t="str">
        <f>VLOOKUP(C45,[1]Orders!$A$5:$W$1043,5,0)</f>
        <v>Sydney</v>
      </c>
      <c r="G45" t="str">
        <f>VLOOKUP(C45,[1]Orders!$A$5:$W$1043,5,0)</f>
        <v>Sydney</v>
      </c>
      <c r="H45" t="str">
        <f>VLOOKUP(C45,[1]Orders!$A$5:$W$1043,6,0)</f>
        <v>NSW</v>
      </c>
      <c r="I45" t="str">
        <f>VLOOKUP(C45,[1]Orders!$A$5:$W$1043,7,0)</f>
        <v>Small Business</v>
      </c>
      <c r="J45" t="str">
        <f>VLOOKUP(C45,[1]Orders!$A$5:$W$1043,8,0)</f>
        <v>Preston Senome</v>
      </c>
      <c r="K45" t="str">
        <f>VLOOKUP(C45,[1]Orders!$A$5:$W$1043,9,0)</f>
        <v>High</v>
      </c>
    </row>
    <row r="46" spans="3:11" x14ac:dyDescent="0.25">
      <c r="C46" s="61" t="s">
        <v>140</v>
      </c>
      <c r="D46" t="str">
        <f>VLOOKUP(C46,[1]Orders!$A$5:$W$1043,3,0)</f>
        <v>Saphhira Shifley</v>
      </c>
      <c r="E46">
        <f>VLOOKUP(C46,[1]Orders!$A$5:$W$1043,23,0)</f>
        <v>190.27000000000004</v>
      </c>
      <c r="F46" t="str">
        <f>VLOOKUP(C46,[1]Orders!$A$5:$W$1043,5,0)</f>
        <v>Sydney</v>
      </c>
      <c r="G46" t="str">
        <f>VLOOKUP(C46,[1]Orders!$A$5:$W$1043,5,0)</f>
        <v>Sydney</v>
      </c>
      <c r="H46" t="str">
        <f>VLOOKUP(C46,[1]Orders!$A$5:$W$1043,6,0)</f>
        <v>NSW</v>
      </c>
      <c r="I46" t="str">
        <f>VLOOKUP(C46,[1]Orders!$A$5:$W$1043,7,0)</f>
        <v>Consumer</v>
      </c>
      <c r="J46" t="str">
        <f>VLOOKUP(C46,[1]Orders!$A$5:$W$1043,8,0)</f>
        <v>Preston Senome</v>
      </c>
      <c r="K46" t="str">
        <f>VLOOKUP(C46,[1]Orders!$A$5:$W$1043,9,0)</f>
        <v>Not Specified</v>
      </c>
    </row>
    <row r="47" spans="3:11" x14ac:dyDescent="0.25">
      <c r="C47" s="61" t="s">
        <v>141</v>
      </c>
      <c r="D47" t="str">
        <f>VLOOKUP(C47,[1]Orders!$A$5:$W$1043,3,0)</f>
        <v>Saphhira Shifley</v>
      </c>
      <c r="E47">
        <f>VLOOKUP(C47,[1]Orders!$A$5:$W$1043,23,0)</f>
        <v>63.480000000000004</v>
      </c>
      <c r="F47" t="str">
        <f>VLOOKUP(C47,[1]Orders!$A$5:$W$1043,5,0)</f>
        <v>Sydney</v>
      </c>
      <c r="G47" t="str">
        <f>VLOOKUP(C47,[1]Orders!$A$5:$W$1043,5,0)</f>
        <v>Sydney</v>
      </c>
      <c r="H47" t="str">
        <f>VLOOKUP(C47,[1]Orders!$A$5:$W$1043,6,0)</f>
        <v>NSW</v>
      </c>
      <c r="I47" t="str">
        <f>VLOOKUP(C47,[1]Orders!$A$5:$W$1043,7,0)</f>
        <v>Consumer</v>
      </c>
      <c r="J47" t="str">
        <f>VLOOKUP(C47,[1]Orders!$A$5:$W$1043,8,0)</f>
        <v>Preston Senome</v>
      </c>
      <c r="K47" t="str">
        <f>VLOOKUP(C47,[1]Orders!$A$5:$W$1043,9,0)</f>
        <v>Not Specified</v>
      </c>
    </row>
    <row r="48" spans="3:11" x14ac:dyDescent="0.25">
      <c r="C48" s="61" t="s">
        <v>142</v>
      </c>
      <c r="D48" t="str">
        <f>VLOOKUP(C48,[1]Orders!$A$5:$W$1043,3,0)</f>
        <v>Bill Donatelli</v>
      </c>
      <c r="E48">
        <f>VLOOKUP(C48,[1]Orders!$A$5:$W$1043,23,0)</f>
        <v>67.77</v>
      </c>
      <c r="F48" t="str">
        <f>VLOOKUP(C48,[1]Orders!$A$5:$W$1043,5,0)</f>
        <v>Sydney</v>
      </c>
      <c r="G48" t="str">
        <f>VLOOKUP(C48,[1]Orders!$A$5:$W$1043,5,0)</f>
        <v>Sydney</v>
      </c>
      <c r="H48" t="str">
        <f>VLOOKUP(C48,[1]Orders!$A$5:$W$1043,6,0)</f>
        <v>NSW</v>
      </c>
      <c r="I48" t="str">
        <f>VLOOKUP(C48,[1]Orders!$A$5:$W$1043,7,0)</f>
        <v>Corporate</v>
      </c>
      <c r="J48" t="str">
        <f>VLOOKUP(C48,[1]Orders!$A$5:$W$1043,8,0)</f>
        <v>Phoebe Gour</v>
      </c>
      <c r="K48" t="str">
        <f>VLOOKUP(C48,[1]Orders!$A$5:$W$1043,9,0)</f>
        <v>Critical</v>
      </c>
    </row>
    <row r="49" spans="3:11" x14ac:dyDescent="0.25">
      <c r="C49" s="61" t="s">
        <v>143</v>
      </c>
      <c r="D49" t="str">
        <f>VLOOKUP(C49,[1]Orders!$A$5:$W$1043,3,0)</f>
        <v>Bill Donatelli</v>
      </c>
      <c r="E49">
        <f>VLOOKUP(C49,[1]Orders!$A$5:$W$1043,23,0)</f>
        <v>954.9899999999999</v>
      </c>
      <c r="F49" t="str">
        <f>VLOOKUP(C49,[1]Orders!$A$5:$W$1043,5,0)</f>
        <v>Sydney</v>
      </c>
      <c r="G49" t="str">
        <f>VLOOKUP(C49,[1]Orders!$A$5:$W$1043,5,0)</f>
        <v>Sydney</v>
      </c>
      <c r="H49" t="str">
        <f>VLOOKUP(C49,[1]Orders!$A$5:$W$1043,6,0)</f>
        <v>NSW</v>
      </c>
      <c r="I49" t="str">
        <f>VLOOKUP(C49,[1]Orders!$A$5:$W$1043,7,0)</f>
        <v>Corporate</v>
      </c>
      <c r="J49" t="str">
        <f>VLOOKUP(C49,[1]Orders!$A$5:$W$1043,8,0)</f>
        <v>Phoebe Gour</v>
      </c>
      <c r="K49" t="str">
        <f>VLOOKUP(C49,[1]Orders!$A$5:$W$1043,9,0)</f>
        <v>Critical</v>
      </c>
    </row>
    <row r="50" spans="3:11" x14ac:dyDescent="0.25">
      <c r="C50" s="61" t="s">
        <v>143</v>
      </c>
      <c r="D50" t="str">
        <f>VLOOKUP(C50,[1]Orders!$A$5:$W$1043,3,0)</f>
        <v>Bill Donatelli</v>
      </c>
      <c r="E50">
        <f>VLOOKUP(C50,[1]Orders!$A$5:$W$1043,23,0)</f>
        <v>954.9899999999999</v>
      </c>
      <c r="F50" t="str">
        <f>VLOOKUP(C50,[1]Orders!$A$5:$W$1043,5,0)</f>
        <v>Sydney</v>
      </c>
      <c r="G50" t="str">
        <f>VLOOKUP(C50,[1]Orders!$A$5:$W$1043,5,0)</f>
        <v>Sydney</v>
      </c>
      <c r="H50" t="str">
        <f>VLOOKUP(C50,[1]Orders!$A$5:$W$1043,6,0)</f>
        <v>NSW</v>
      </c>
      <c r="I50" t="str">
        <f>VLOOKUP(C50,[1]Orders!$A$5:$W$1043,7,0)</f>
        <v>Corporate</v>
      </c>
      <c r="J50" t="str">
        <f>VLOOKUP(C50,[1]Orders!$A$5:$W$1043,8,0)</f>
        <v>Phoebe Gour</v>
      </c>
      <c r="K50" t="str">
        <f>VLOOKUP(C50,[1]Orders!$A$5:$W$1043,9,0)</f>
        <v>Critical</v>
      </c>
    </row>
    <row r="51" spans="3:11" x14ac:dyDescent="0.25">
      <c r="C51" s="61" t="s">
        <v>144</v>
      </c>
      <c r="D51" t="str">
        <f>VLOOKUP(C51,[1]Orders!$A$5:$W$1043,3,0)</f>
        <v>Sandra Glassco</v>
      </c>
      <c r="E51">
        <f>VLOOKUP(C51,[1]Orders!$A$5:$W$1043,23,0)</f>
        <v>73.28</v>
      </c>
      <c r="F51" t="str">
        <f>VLOOKUP(C51,[1]Orders!$A$5:$W$1043,5,0)</f>
        <v>Melbourne</v>
      </c>
      <c r="G51" t="str">
        <f>VLOOKUP(C51,[1]Orders!$A$5:$W$1043,5,0)</f>
        <v>Melbourne</v>
      </c>
      <c r="H51" t="str">
        <f>VLOOKUP(C51,[1]Orders!$A$5:$W$1043,6,0)</f>
        <v>VIC</v>
      </c>
      <c r="I51" t="str">
        <f>VLOOKUP(C51,[1]Orders!$A$5:$W$1043,7,0)</f>
        <v>Home Office</v>
      </c>
      <c r="J51" t="str">
        <f>VLOOKUP(C51,[1]Orders!$A$5:$W$1043,8,0)</f>
        <v>Connor Betts</v>
      </c>
      <c r="K51" t="str">
        <f>VLOOKUP(C51,[1]Orders!$A$5:$W$1043,9,0)</f>
        <v>High</v>
      </c>
    </row>
    <row r="52" spans="3:11" x14ac:dyDescent="0.25">
      <c r="C52" s="61" t="s">
        <v>145</v>
      </c>
      <c r="D52" t="str">
        <f>VLOOKUP(C52,[1]Orders!$A$5:$W$1043,3,0)</f>
        <v>Sandra Glassco</v>
      </c>
      <c r="E52">
        <f>VLOOKUP(C52,[1]Orders!$A$5:$W$1043,23,0)</f>
        <v>46.800000000000004</v>
      </c>
      <c r="F52" t="str">
        <f>VLOOKUP(C52,[1]Orders!$A$5:$W$1043,5,0)</f>
        <v>Melbourne</v>
      </c>
      <c r="G52" t="str">
        <f>VLOOKUP(C52,[1]Orders!$A$5:$W$1043,5,0)</f>
        <v>Melbourne</v>
      </c>
      <c r="H52" t="str">
        <f>VLOOKUP(C52,[1]Orders!$A$5:$W$1043,6,0)</f>
        <v>VIC</v>
      </c>
      <c r="I52" t="str">
        <f>VLOOKUP(C52,[1]Orders!$A$5:$W$1043,7,0)</f>
        <v>Home Office</v>
      </c>
      <c r="J52" t="str">
        <f>VLOOKUP(C52,[1]Orders!$A$5:$W$1043,8,0)</f>
        <v>Connor Betts</v>
      </c>
      <c r="K52" t="str">
        <f>VLOOKUP(C52,[1]Orders!$A$5:$W$1043,9,0)</f>
        <v>High</v>
      </c>
    </row>
    <row r="53" spans="3:11" x14ac:dyDescent="0.25">
      <c r="C53" s="61" t="s">
        <v>146</v>
      </c>
      <c r="D53" t="str">
        <f>VLOOKUP(C53,[1]Orders!$A$5:$W$1043,3,0)</f>
        <v>Peter McVee</v>
      </c>
      <c r="E53">
        <f>VLOOKUP(C53,[1]Orders!$A$5:$W$1043,23,0)</f>
        <v>44.7</v>
      </c>
      <c r="F53" t="str">
        <f>VLOOKUP(C53,[1]Orders!$A$5:$W$1043,5,0)</f>
        <v>Melbourne</v>
      </c>
      <c r="G53" t="str">
        <f>VLOOKUP(C53,[1]Orders!$A$5:$W$1043,5,0)</f>
        <v>Melbourne</v>
      </c>
      <c r="H53" t="str">
        <f>VLOOKUP(C53,[1]Orders!$A$5:$W$1043,6,0)</f>
        <v>VIC</v>
      </c>
      <c r="I53" t="str">
        <f>VLOOKUP(C53,[1]Orders!$A$5:$W$1043,7,0)</f>
        <v>Small Business</v>
      </c>
      <c r="J53" t="str">
        <f>VLOOKUP(C53,[1]Orders!$A$5:$W$1043,8,0)</f>
        <v>Connor Betts</v>
      </c>
      <c r="K53" t="str">
        <f>VLOOKUP(C53,[1]Orders!$A$5:$W$1043,9,0)</f>
        <v>Critical</v>
      </c>
    </row>
    <row r="54" spans="3:11" x14ac:dyDescent="0.25">
      <c r="C54" s="61" t="s">
        <v>147</v>
      </c>
      <c r="D54" t="str">
        <f>VLOOKUP(C54,[1]Orders!$A$5:$W$1043,3,0)</f>
        <v>Peter McVee</v>
      </c>
      <c r="E54">
        <f>VLOOKUP(C54,[1]Orders!$A$5:$W$1043,23,0)</f>
        <v>35.18</v>
      </c>
      <c r="F54" t="str">
        <f>VLOOKUP(C54,[1]Orders!$A$5:$W$1043,5,0)</f>
        <v>Melbourne</v>
      </c>
      <c r="G54" t="str">
        <f>VLOOKUP(C54,[1]Orders!$A$5:$W$1043,5,0)</f>
        <v>Melbourne</v>
      </c>
      <c r="H54" t="str">
        <f>VLOOKUP(C54,[1]Orders!$A$5:$W$1043,6,0)</f>
        <v>VIC</v>
      </c>
      <c r="I54" t="str">
        <f>VLOOKUP(C54,[1]Orders!$A$5:$W$1043,7,0)</f>
        <v>Small Business</v>
      </c>
      <c r="J54" t="str">
        <f>VLOOKUP(C54,[1]Orders!$A$5:$W$1043,8,0)</f>
        <v>Connor Betts</v>
      </c>
      <c r="K54" t="str">
        <f>VLOOKUP(C54,[1]Orders!$A$5:$W$1043,9,0)</f>
        <v>Critical</v>
      </c>
    </row>
    <row r="55" spans="3:11" x14ac:dyDescent="0.25">
      <c r="C55" s="61" t="s">
        <v>148</v>
      </c>
      <c r="D55" t="str">
        <f>VLOOKUP(C55,[1]Orders!$A$5:$W$1043,3,0)</f>
        <v>Bill Stewart</v>
      </c>
      <c r="E55">
        <f>VLOOKUP(C55,[1]Orders!$A$5:$W$1043,23,0)</f>
        <v>475.21000000000004</v>
      </c>
      <c r="F55" t="str">
        <f>VLOOKUP(C55,[1]Orders!$A$5:$W$1043,5,0)</f>
        <v>Sydney</v>
      </c>
      <c r="G55" t="str">
        <f>VLOOKUP(C55,[1]Orders!$A$5:$W$1043,5,0)</f>
        <v>Sydney</v>
      </c>
      <c r="H55" t="str">
        <f>VLOOKUP(C55,[1]Orders!$A$5:$W$1043,6,0)</f>
        <v>NSW</v>
      </c>
      <c r="I55" t="str">
        <f>VLOOKUP(C55,[1]Orders!$A$5:$W$1043,7,0)</f>
        <v>Corporate</v>
      </c>
      <c r="J55" t="str">
        <f>VLOOKUP(C55,[1]Orders!$A$5:$W$1043,8,0)</f>
        <v>Tina Carlton</v>
      </c>
      <c r="K55" t="str">
        <f>VLOOKUP(C55,[1]Orders!$A$5:$W$1043,9,0)</f>
        <v>Medium</v>
      </c>
    </row>
    <row r="56" spans="3:11" x14ac:dyDescent="0.25">
      <c r="C56" s="61" t="s">
        <v>149</v>
      </c>
      <c r="D56" t="str">
        <f>VLOOKUP(C56,[1]Orders!$A$5:$W$1043,3,0)</f>
        <v>Bill Stewart</v>
      </c>
      <c r="E56">
        <f>VLOOKUP(C56,[1]Orders!$A$5:$W$1043,23,0)</f>
        <v>25.34</v>
      </c>
      <c r="F56" t="str">
        <f>VLOOKUP(C56,[1]Orders!$A$5:$W$1043,5,0)</f>
        <v>Sydney</v>
      </c>
      <c r="G56" t="str">
        <f>VLOOKUP(C56,[1]Orders!$A$5:$W$1043,5,0)</f>
        <v>Sydney</v>
      </c>
      <c r="H56" t="str">
        <f>VLOOKUP(C56,[1]Orders!$A$5:$W$1043,6,0)</f>
        <v>NSW</v>
      </c>
      <c r="I56" t="str">
        <f>VLOOKUP(C56,[1]Orders!$A$5:$W$1043,7,0)</f>
        <v>Corporate</v>
      </c>
      <c r="J56" t="str">
        <f>VLOOKUP(C56,[1]Orders!$A$5:$W$1043,8,0)</f>
        <v>Tina Carlton</v>
      </c>
      <c r="K56" t="str">
        <f>VLOOKUP(C56,[1]Orders!$A$5:$W$1043,9,0)</f>
        <v>Medium</v>
      </c>
    </row>
    <row r="57" spans="3:11" x14ac:dyDescent="0.25">
      <c r="C57" s="61" t="s">
        <v>150</v>
      </c>
      <c r="D57" t="str">
        <f>VLOOKUP(C57,[1]Orders!$A$5:$W$1043,3,0)</f>
        <v>Denise Monton</v>
      </c>
      <c r="E57">
        <f>VLOOKUP(C57,[1]Orders!$A$5:$W$1043,23,0)</f>
        <v>69.920000000000016</v>
      </c>
      <c r="F57" t="str">
        <f>VLOOKUP(C57,[1]Orders!$A$5:$W$1043,5,0)</f>
        <v>Sydney</v>
      </c>
      <c r="G57" t="str">
        <f>VLOOKUP(C57,[1]Orders!$A$5:$W$1043,5,0)</f>
        <v>Sydney</v>
      </c>
      <c r="H57" t="str">
        <f>VLOOKUP(C57,[1]Orders!$A$5:$W$1043,6,0)</f>
        <v>NSW</v>
      </c>
      <c r="I57" t="str">
        <f>VLOOKUP(C57,[1]Orders!$A$5:$W$1043,7,0)</f>
        <v>Home Office</v>
      </c>
      <c r="J57" t="str">
        <f>VLOOKUP(C57,[1]Orders!$A$5:$W$1043,8,0)</f>
        <v>Samantha Chairs</v>
      </c>
      <c r="K57" t="str">
        <f>VLOOKUP(C57,[1]Orders!$A$5:$W$1043,9,0)</f>
        <v>Medium</v>
      </c>
    </row>
    <row r="58" spans="3:11" x14ac:dyDescent="0.25">
      <c r="C58" s="61" t="s">
        <v>151</v>
      </c>
      <c r="D58" t="str">
        <f>VLOOKUP(C58,[1]Orders!$A$5:$W$1043,3,0)</f>
        <v>Denise Monton</v>
      </c>
      <c r="E58">
        <f>VLOOKUP(C58,[1]Orders!$A$5:$W$1043,23,0)</f>
        <v>2760.48</v>
      </c>
      <c r="F58" t="str">
        <f>VLOOKUP(C58,[1]Orders!$A$5:$W$1043,5,0)</f>
        <v>Sydney</v>
      </c>
      <c r="G58" t="str">
        <f>VLOOKUP(C58,[1]Orders!$A$5:$W$1043,5,0)</f>
        <v>Sydney</v>
      </c>
      <c r="H58" t="str">
        <f>VLOOKUP(C58,[1]Orders!$A$5:$W$1043,6,0)</f>
        <v>NSW</v>
      </c>
      <c r="I58" t="str">
        <f>VLOOKUP(C58,[1]Orders!$A$5:$W$1043,7,0)</f>
        <v>Home Office</v>
      </c>
      <c r="J58" t="str">
        <f>VLOOKUP(C58,[1]Orders!$A$5:$W$1043,8,0)</f>
        <v>Samantha Chairs</v>
      </c>
      <c r="K58" t="str">
        <f>VLOOKUP(C58,[1]Orders!$A$5:$W$1043,9,0)</f>
        <v>Medium</v>
      </c>
    </row>
    <row r="59" spans="3:11" x14ac:dyDescent="0.25">
      <c r="C59" s="61" t="s">
        <v>152</v>
      </c>
      <c r="D59" t="str">
        <f>VLOOKUP(C59,[1]Orders!$A$5:$W$1043,3,0)</f>
        <v>Annie Thurman</v>
      </c>
      <c r="E59">
        <f>VLOOKUP(C59,[1]Orders!$A$5:$W$1043,23,0)</f>
        <v>136.09</v>
      </c>
      <c r="F59" t="str">
        <f>VLOOKUP(C59,[1]Orders!$A$5:$W$1043,5,0)</f>
        <v>Melbourne</v>
      </c>
      <c r="G59" t="str">
        <f>VLOOKUP(C59,[1]Orders!$A$5:$W$1043,5,0)</f>
        <v>Melbourne</v>
      </c>
      <c r="H59" t="str">
        <f>VLOOKUP(C59,[1]Orders!$A$5:$W$1043,6,0)</f>
        <v>VIC</v>
      </c>
      <c r="I59" t="str">
        <f>VLOOKUP(C59,[1]Orders!$A$5:$W$1043,7,0)</f>
        <v>Home Office</v>
      </c>
      <c r="J59" t="str">
        <f>VLOOKUP(C59,[1]Orders!$A$5:$W$1043,8,0)</f>
        <v>Yvette Biti</v>
      </c>
      <c r="K59" t="str">
        <f>VLOOKUP(C59,[1]Orders!$A$5:$W$1043,9,0)</f>
        <v>High</v>
      </c>
    </row>
    <row r="60" spans="3:11" x14ac:dyDescent="0.25">
      <c r="C60" s="61" t="s">
        <v>153</v>
      </c>
      <c r="D60" t="str">
        <f>VLOOKUP(C60,[1]Orders!$A$5:$W$1043,3,0)</f>
        <v>Annie Thurman</v>
      </c>
      <c r="E60">
        <f>VLOOKUP(C60,[1]Orders!$A$5:$W$1043,23,0)</f>
        <v>71.92</v>
      </c>
      <c r="F60" t="str">
        <f>VLOOKUP(C60,[1]Orders!$A$5:$W$1043,5,0)</f>
        <v>Melbourne</v>
      </c>
      <c r="G60" t="str">
        <f>VLOOKUP(C60,[1]Orders!$A$5:$W$1043,5,0)</f>
        <v>Melbourne</v>
      </c>
      <c r="H60" t="str">
        <f>VLOOKUP(C60,[1]Orders!$A$5:$W$1043,6,0)</f>
        <v>VIC</v>
      </c>
      <c r="I60" t="str">
        <f>VLOOKUP(C60,[1]Orders!$A$5:$W$1043,7,0)</f>
        <v>Home Office</v>
      </c>
      <c r="J60" t="str">
        <f>VLOOKUP(C60,[1]Orders!$A$5:$W$1043,8,0)</f>
        <v>Yvette Biti</v>
      </c>
      <c r="K60" t="str">
        <f>VLOOKUP(C60,[1]Orders!$A$5:$W$1043,9,0)</f>
        <v>High</v>
      </c>
    </row>
    <row r="61" spans="3:11" x14ac:dyDescent="0.25">
      <c r="C61" s="61" t="s">
        <v>154</v>
      </c>
      <c r="D61" t="str">
        <f>VLOOKUP(C61,[1]Orders!$A$5:$W$1043,3,0)</f>
        <v>Michael Oakman</v>
      </c>
      <c r="E61">
        <f>VLOOKUP(C61,[1]Orders!$A$5:$W$1043,23,0)</f>
        <v>55.42</v>
      </c>
      <c r="F61" t="str">
        <f>VLOOKUP(C61,[1]Orders!$A$5:$W$1043,5,0)</f>
        <v>Melbourne</v>
      </c>
      <c r="G61" t="str">
        <f>VLOOKUP(C61,[1]Orders!$A$5:$W$1043,5,0)</f>
        <v>Melbourne</v>
      </c>
      <c r="H61" t="str">
        <f>VLOOKUP(C61,[1]Orders!$A$5:$W$1043,6,0)</f>
        <v>VIC</v>
      </c>
      <c r="I61" t="str">
        <f>VLOOKUP(C61,[1]Orders!$A$5:$W$1043,7,0)</f>
        <v>Small Business</v>
      </c>
      <c r="J61" t="str">
        <f>VLOOKUP(C61,[1]Orders!$A$5:$W$1043,8,0)</f>
        <v>Connor Betts</v>
      </c>
      <c r="K61" t="str">
        <f>VLOOKUP(C61,[1]Orders!$A$5:$W$1043,9,0)</f>
        <v>Low</v>
      </c>
    </row>
    <row r="62" spans="3:11" x14ac:dyDescent="0.25">
      <c r="C62" s="61" t="s">
        <v>155</v>
      </c>
      <c r="D62" t="str">
        <f>VLOOKUP(C62,[1]Orders!$A$5:$W$1043,3,0)</f>
        <v>Michael Oakman</v>
      </c>
      <c r="E62">
        <f>VLOOKUP(C62,[1]Orders!$A$5:$W$1043,23,0)</f>
        <v>559.54</v>
      </c>
      <c r="F62" t="str">
        <f>VLOOKUP(C62,[1]Orders!$A$5:$W$1043,5,0)</f>
        <v>Melbourne</v>
      </c>
      <c r="G62" t="str">
        <f>VLOOKUP(C62,[1]Orders!$A$5:$W$1043,5,0)</f>
        <v>Melbourne</v>
      </c>
      <c r="H62" t="str">
        <f>VLOOKUP(C62,[1]Orders!$A$5:$W$1043,6,0)</f>
        <v>VIC</v>
      </c>
      <c r="I62" t="str">
        <f>VLOOKUP(C62,[1]Orders!$A$5:$W$1043,7,0)</f>
        <v>Small Business</v>
      </c>
      <c r="J62" t="str">
        <f>VLOOKUP(C62,[1]Orders!$A$5:$W$1043,8,0)</f>
        <v>Connor Betts</v>
      </c>
      <c r="K62" t="str">
        <f>VLOOKUP(C62,[1]Orders!$A$5:$W$1043,9,0)</f>
        <v>Low</v>
      </c>
    </row>
    <row r="63" spans="3:11" x14ac:dyDescent="0.25">
      <c r="C63" s="61" t="s">
        <v>156</v>
      </c>
      <c r="D63" t="str">
        <f>VLOOKUP(C63,[1]Orders!$A$5:$W$1043,3,0)</f>
        <v>Nora Price</v>
      </c>
      <c r="E63">
        <f>VLOOKUP(C63,[1]Orders!$A$5:$W$1043,23,0)</f>
        <v>111.31</v>
      </c>
      <c r="F63" t="str">
        <f>VLOOKUP(C63,[1]Orders!$A$5:$W$1043,5,0)</f>
        <v>Sydney</v>
      </c>
      <c r="G63" t="str">
        <f>VLOOKUP(C63,[1]Orders!$A$5:$W$1043,5,0)</f>
        <v>Sydney</v>
      </c>
      <c r="H63" t="str">
        <f>VLOOKUP(C63,[1]Orders!$A$5:$W$1043,6,0)</f>
        <v>NSW</v>
      </c>
      <c r="I63" t="str">
        <f>VLOOKUP(C63,[1]Orders!$A$5:$W$1043,7,0)</f>
        <v>Small Business</v>
      </c>
      <c r="J63" t="str">
        <f>VLOOKUP(C63,[1]Orders!$A$5:$W$1043,8,0)</f>
        <v>Preston Senome</v>
      </c>
      <c r="K63" t="str">
        <f>VLOOKUP(C63,[1]Orders!$A$5:$W$1043,9,0)</f>
        <v>Not Specified</v>
      </c>
    </row>
    <row r="64" spans="3:11" x14ac:dyDescent="0.25">
      <c r="C64" s="61" t="s">
        <v>157</v>
      </c>
      <c r="D64" t="str">
        <f>VLOOKUP(C64,[1]Orders!$A$5:$W$1043,3,0)</f>
        <v>Nora Price</v>
      </c>
      <c r="E64">
        <f>VLOOKUP(C64,[1]Orders!$A$5:$W$1043,23,0)</f>
        <v>283.25000000000006</v>
      </c>
      <c r="F64" t="str">
        <f>VLOOKUP(C64,[1]Orders!$A$5:$W$1043,5,0)</f>
        <v>Sydney</v>
      </c>
      <c r="G64" t="str">
        <f>VLOOKUP(C64,[1]Orders!$A$5:$W$1043,5,0)</f>
        <v>Sydney</v>
      </c>
      <c r="H64" t="str">
        <f>VLOOKUP(C64,[1]Orders!$A$5:$W$1043,6,0)</f>
        <v>NSW</v>
      </c>
      <c r="I64" t="str">
        <f>VLOOKUP(C64,[1]Orders!$A$5:$W$1043,7,0)</f>
        <v>Small Business</v>
      </c>
      <c r="J64" t="str">
        <f>VLOOKUP(C64,[1]Orders!$A$5:$W$1043,8,0)</f>
        <v>Preston Senome</v>
      </c>
      <c r="K64" t="str">
        <f>VLOOKUP(C64,[1]Orders!$A$5:$W$1043,9,0)</f>
        <v>Not Specified</v>
      </c>
    </row>
    <row r="65" spans="3:11" x14ac:dyDescent="0.25">
      <c r="C65" s="61" t="s">
        <v>158</v>
      </c>
      <c r="D65" t="str">
        <f>VLOOKUP(C65,[1]Orders!$A$5:$W$1043,3,0)</f>
        <v>Lisa DeCherney</v>
      </c>
      <c r="E65">
        <f>VLOOKUP(C65,[1]Orders!$A$5:$W$1043,23,0)</f>
        <v>112.10000000000001</v>
      </c>
      <c r="F65" t="str">
        <f>VLOOKUP(C65,[1]Orders!$A$5:$W$1043,5,0)</f>
        <v>Sydney</v>
      </c>
      <c r="G65" t="str">
        <f>VLOOKUP(C65,[1]Orders!$A$5:$W$1043,5,0)</f>
        <v>Sydney</v>
      </c>
      <c r="H65" t="str">
        <f>VLOOKUP(C65,[1]Orders!$A$5:$W$1043,6,0)</f>
        <v>NSW</v>
      </c>
      <c r="I65" t="str">
        <f>VLOOKUP(C65,[1]Orders!$A$5:$W$1043,7,0)</f>
        <v>Consumer</v>
      </c>
      <c r="J65" t="str">
        <f>VLOOKUP(C65,[1]Orders!$A$5:$W$1043,8,0)</f>
        <v>Mihael Khan</v>
      </c>
      <c r="K65" t="str">
        <f>VLOOKUP(C65,[1]Orders!$A$5:$W$1043,9,0)</f>
        <v>Low</v>
      </c>
    </row>
    <row r="66" spans="3:11" x14ac:dyDescent="0.25">
      <c r="C66" s="61" t="s">
        <v>159</v>
      </c>
      <c r="D66" t="str">
        <f>VLOOKUP(C66,[1]Orders!$A$5:$W$1043,3,0)</f>
        <v>Lisa DeCherney</v>
      </c>
      <c r="E66">
        <f>VLOOKUP(C66,[1]Orders!$A$5:$W$1043,23,0)</f>
        <v>60.68</v>
      </c>
      <c r="F66" t="str">
        <f>VLOOKUP(C66,[1]Orders!$A$5:$W$1043,5,0)</f>
        <v>Sydney</v>
      </c>
      <c r="G66" t="str">
        <f>VLOOKUP(C66,[1]Orders!$A$5:$W$1043,5,0)</f>
        <v>Sydney</v>
      </c>
      <c r="H66" t="str">
        <f>VLOOKUP(C66,[1]Orders!$A$5:$W$1043,6,0)</f>
        <v>NSW</v>
      </c>
      <c r="I66" t="str">
        <f>VLOOKUP(C66,[1]Orders!$A$5:$W$1043,7,0)</f>
        <v>Consumer</v>
      </c>
      <c r="J66" t="str">
        <f>VLOOKUP(C66,[1]Orders!$A$5:$W$1043,8,0)</f>
        <v>Mihael Khan</v>
      </c>
      <c r="K66" t="str">
        <f>VLOOKUP(C66,[1]Orders!$A$5:$W$1043,9,0)</f>
        <v>Low</v>
      </c>
    </row>
    <row r="67" spans="3:11" x14ac:dyDescent="0.25">
      <c r="C67" s="61" t="s">
        <v>160</v>
      </c>
      <c r="D67" t="str">
        <f>VLOOKUP(C67,[1]Orders!$A$5:$W$1043,3,0)</f>
        <v>Bobby Trafton</v>
      </c>
      <c r="E67">
        <f>VLOOKUP(C67,[1]Orders!$A$5:$W$1043,23,0)</f>
        <v>201.35</v>
      </c>
      <c r="F67" t="str">
        <f>VLOOKUP(C67,[1]Orders!$A$5:$W$1043,5,0)</f>
        <v>Sydney</v>
      </c>
      <c r="G67" t="str">
        <f>VLOOKUP(C67,[1]Orders!$A$5:$W$1043,5,0)</f>
        <v>Sydney</v>
      </c>
      <c r="H67" t="str">
        <f>VLOOKUP(C67,[1]Orders!$A$5:$W$1043,6,0)</f>
        <v>NSW</v>
      </c>
      <c r="I67" t="str">
        <f>VLOOKUP(C67,[1]Orders!$A$5:$W$1043,7,0)</f>
        <v>Small Business</v>
      </c>
      <c r="J67" t="str">
        <f>VLOOKUP(C67,[1]Orders!$A$5:$W$1043,8,0)</f>
        <v>Mihael Khan</v>
      </c>
      <c r="K67" t="str">
        <f>VLOOKUP(C67,[1]Orders!$A$5:$W$1043,9,0)</f>
        <v>Low</v>
      </c>
    </row>
    <row r="68" spans="3:11" x14ac:dyDescent="0.25">
      <c r="C68" s="61" t="s">
        <v>161</v>
      </c>
      <c r="D68" t="str">
        <f>VLOOKUP(C68,[1]Orders!$A$5:$W$1043,3,0)</f>
        <v>Bobby Trafton</v>
      </c>
      <c r="E68">
        <f>VLOOKUP(C68,[1]Orders!$A$5:$W$1043,23,0)</f>
        <v>49.879999999999995</v>
      </c>
      <c r="F68" t="str">
        <f>VLOOKUP(C68,[1]Orders!$A$5:$W$1043,5,0)</f>
        <v>Sydney</v>
      </c>
      <c r="G68" t="str">
        <f>VLOOKUP(C68,[1]Orders!$A$5:$W$1043,5,0)</f>
        <v>Sydney</v>
      </c>
      <c r="H68" t="str">
        <f>VLOOKUP(C68,[1]Orders!$A$5:$W$1043,6,0)</f>
        <v>NSW</v>
      </c>
      <c r="I68" t="str">
        <f>VLOOKUP(C68,[1]Orders!$A$5:$W$1043,7,0)</f>
        <v>Small Business</v>
      </c>
      <c r="J68" t="str">
        <f>VLOOKUP(C68,[1]Orders!$A$5:$W$1043,8,0)</f>
        <v>Mihael Khan</v>
      </c>
      <c r="K68" t="str">
        <f>VLOOKUP(C68,[1]Orders!$A$5:$W$1043,9,0)</f>
        <v>Low</v>
      </c>
    </row>
    <row r="69" spans="3:11" x14ac:dyDescent="0.25">
      <c r="C69" s="61" t="s">
        <v>162</v>
      </c>
      <c r="D69" t="str">
        <f>VLOOKUP(C69,[1]Orders!$A$5:$W$1043,3,0)</f>
        <v>Patrick OBrill</v>
      </c>
      <c r="E69">
        <f>VLOOKUP(C69,[1]Orders!$A$5:$W$1043,23,0)</f>
        <v>363.59999999999997</v>
      </c>
      <c r="F69" t="str">
        <f>VLOOKUP(C69,[1]Orders!$A$5:$W$1043,5,0)</f>
        <v>Sydney</v>
      </c>
      <c r="G69" t="str">
        <f>VLOOKUP(C69,[1]Orders!$A$5:$W$1043,5,0)</f>
        <v>Sydney</v>
      </c>
      <c r="H69" t="str">
        <f>VLOOKUP(C69,[1]Orders!$A$5:$W$1043,6,0)</f>
        <v>NSW</v>
      </c>
      <c r="I69" t="str">
        <f>VLOOKUP(C69,[1]Orders!$A$5:$W$1043,7,0)</f>
        <v>Home Office</v>
      </c>
      <c r="J69" t="str">
        <f>VLOOKUP(C69,[1]Orders!$A$5:$W$1043,8,0)</f>
        <v>Tina Carlton</v>
      </c>
      <c r="K69" t="str">
        <f>VLOOKUP(C69,[1]Orders!$A$5:$W$1043,9,0)</f>
        <v>Critical</v>
      </c>
    </row>
    <row r="70" spans="3:11" x14ac:dyDescent="0.25">
      <c r="C70" s="61" t="s">
        <v>163</v>
      </c>
      <c r="D70" t="str">
        <f>VLOOKUP(C70,[1]Orders!$A$5:$W$1043,3,0)</f>
        <v>Patrick OBrill</v>
      </c>
      <c r="E70">
        <f>VLOOKUP(C70,[1]Orders!$A$5:$W$1043,23,0)</f>
        <v>1607.09</v>
      </c>
      <c r="F70" t="str">
        <f>VLOOKUP(C70,[1]Orders!$A$5:$W$1043,5,0)</f>
        <v>Sydney</v>
      </c>
      <c r="G70" t="str">
        <f>VLOOKUP(C70,[1]Orders!$A$5:$W$1043,5,0)</f>
        <v>Sydney</v>
      </c>
      <c r="H70" t="str">
        <f>VLOOKUP(C70,[1]Orders!$A$5:$W$1043,6,0)</f>
        <v>NSW</v>
      </c>
      <c r="I70" t="str">
        <f>VLOOKUP(C70,[1]Orders!$A$5:$W$1043,7,0)</f>
        <v>Home Office</v>
      </c>
      <c r="J70" t="str">
        <f>VLOOKUP(C70,[1]Orders!$A$5:$W$1043,8,0)</f>
        <v>Tina Carlton</v>
      </c>
      <c r="K70" t="str">
        <f>VLOOKUP(C70,[1]Orders!$A$5:$W$1043,9,0)</f>
        <v>Critical</v>
      </c>
    </row>
    <row r="71" spans="3:11" x14ac:dyDescent="0.25">
      <c r="C71" s="61" t="s">
        <v>164</v>
      </c>
      <c r="D71" t="str">
        <f>VLOOKUP(C71,[1]Orders!$A$5:$W$1043,3,0)</f>
        <v>Matt Collister</v>
      </c>
      <c r="E71">
        <f>VLOOKUP(C71,[1]Orders!$A$5:$W$1043,23,0)</f>
        <v>285.07</v>
      </c>
      <c r="F71" t="str">
        <f>VLOOKUP(C71,[1]Orders!$A$5:$W$1043,5,0)</f>
        <v>Sydney</v>
      </c>
      <c r="G71" t="str">
        <f>VLOOKUP(C71,[1]Orders!$A$5:$W$1043,5,0)</f>
        <v>Sydney</v>
      </c>
      <c r="H71" t="str">
        <f>VLOOKUP(C71,[1]Orders!$A$5:$W$1043,6,0)</f>
        <v>NSW</v>
      </c>
      <c r="I71" t="str">
        <f>VLOOKUP(C71,[1]Orders!$A$5:$W$1043,7,0)</f>
        <v>Home Office</v>
      </c>
      <c r="J71" t="str">
        <f>VLOOKUP(C71,[1]Orders!$A$5:$W$1043,8,0)</f>
        <v>Natasha Song</v>
      </c>
      <c r="K71" t="str">
        <f>VLOOKUP(C71,[1]Orders!$A$5:$W$1043,9,0)</f>
        <v>High</v>
      </c>
    </row>
    <row r="72" spans="3:11" x14ac:dyDescent="0.25">
      <c r="C72" s="61" t="s">
        <v>165</v>
      </c>
      <c r="D72" t="str">
        <f>VLOOKUP(C72,[1]Orders!$A$5:$W$1043,3,0)</f>
        <v>Matt Collister</v>
      </c>
      <c r="E72">
        <f>VLOOKUP(C72,[1]Orders!$A$5:$W$1043,23,0)</f>
        <v>151.78</v>
      </c>
      <c r="F72" t="str">
        <f>VLOOKUP(C72,[1]Orders!$A$5:$W$1043,5,0)</f>
        <v>Sydney</v>
      </c>
      <c r="G72" t="str">
        <f>VLOOKUP(C72,[1]Orders!$A$5:$W$1043,5,0)</f>
        <v>Sydney</v>
      </c>
      <c r="H72" t="str">
        <f>VLOOKUP(C72,[1]Orders!$A$5:$W$1043,6,0)</f>
        <v>NSW</v>
      </c>
      <c r="I72" t="str">
        <f>VLOOKUP(C72,[1]Orders!$A$5:$W$1043,7,0)</f>
        <v>Home Office</v>
      </c>
      <c r="J72" t="str">
        <f>VLOOKUP(C72,[1]Orders!$A$5:$W$1043,8,0)</f>
        <v>Natasha Song</v>
      </c>
      <c r="K72" t="str">
        <f>VLOOKUP(C72,[1]Orders!$A$5:$W$1043,9,0)</f>
        <v>Medium</v>
      </c>
    </row>
    <row r="73" spans="3:11" x14ac:dyDescent="0.25">
      <c r="C73" s="61" t="s">
        <v>165</v>
      </c>
      <c r="D73" t="str">
        <f>VLOOKUP(C73,[1]Orders!$A$5:$W$1043,3,0)</f>
        <v>Matt Collister</v>
      </c>
      <c r="E73">
        <f>VLOOKUP(C73,[1]Orders!$A$5:$W$1043,23,0)</f>
        <v>151.78</v>
      </c>
      <c r="F73" t="str">
        <f>VLOOKUP(C73,[1]Orders!$A$5:$W$1043,5,0)</f>
        <v>Sydney</v>
      </c>
      <c r="G73" t="str">
        <f>VLOOKUP(C73,[1]Orders!$A$5:$W$1043,5,0)</f>
        <v>Sydney</v>
      </c>
      <c r="H73" t="str">
        <f>VLOOKUP(C73,[1]Orders!$A$5:$W$1043,6,0)</f>
        <v>NSW</v>
      </c>
      <c r="I73" t="str">
        <f>VLOOKUP(C73,[1]Orders!$A$5:$W$1043,7,0)</f>
        <v>Home Office</v>
      </c>
      <c r="J73" t="str">
        <f>VLOOKUP(C73,[1]Orders!$A$5:$W$1043,8,0)</f>
        <v>Natasha Song</v>
      </c>
      <c r="K73" t="str">
        <f>VLOOKUP(C73,[1]Orders!$A$5:$W$1043,9,0)</f>
        <v>Medium</v>
      </c>
    </row>
    <row r="74" spans="3:11" x14ac:dyDescent="0.25">
      <c r="C74" s="61" t="s">
        <v>166</v>
      </c>
      <c r="D74" t="str">
        <f>VLOOKUP(C74,[1]Orders!$A$5:$W$1043,3,0)</f>
        <v>Alejandro Ballentine</v>
      </c>
      <c r="E74">
        <f>VLOOKUP(C74,[1]Orders!$A$5:$W$1043,23,0)</f>
        <v>477.53</v>
      </c>
      <c r="F74" t="str">
        <f>VLOOKUP(C74,[1]Orders!$A$5:$W$1043,5,0)</f>
        <v>Melbourne</v>
      </c>
      <c r="G74" t="str">
        <f>VLOOKUP(C74,[1]Orders!$A$5:$W$1043,5,0)</f>
        <v>Melbourne</v>
      </c>
      <c r="H74" t="str">
        <f>VLOOKUP(C74,[1]Orders!$A$5:$W$1043,6,0)</f>
        <v>VIC</v>
      </c>
      <c r="I74" t="str">
        <f>VLOOKUP(C74,[1]Orders!$A$5:$W$1043,7,0)</f>
        <v>Small Business</v>
      </c>
      <c r="J74" t="str">
        <f>VLOOKUP(C74,[1]Orders!$A$5:$W$1043,8,0)</f>
        <v>Connor Betts</v>
      </c>
      <c r="K74" t="str">
        <f>VLOOKUP(C74,[1]Orders!$A$5:$W$1043,9,0)</f>
        <v>Critical</v>
      </c>
    </row>
    <row r="75" spans="3:11" x14ac:dyDescent="0.25">
      <c r="C75" s="61" t="s">
        <v>167</v>
      </c>
      <c r="D75" t="str">
        <f>VLOOKUP(C75,[1]Orders!$A$5:$W$1043,3,0)</f>
        <v>Alejandro Ballentine</v>
      </c>
      <c r="E75">
        <f>VLOOKUP(C75,[1]Orders!$A$5:$W$1043,23,0)</f>
        <v>53.720000000000006</v>
      </c>
      <c r="F75" t="str">
        <f>VLOOKUP(C75,[1]Orders!$A$5:$W$1043,5,0)</f>
        <v>Melbourne</v>
      </c>
      <c r="G75" t="str">
        <f>VLOOKUP(C75,[1]Orders!$A$5:$W$1043,5,0)</f>
        <v>Melbourne</v>
      </c>
      <c r="H75" t="str">
        <f>VLOOKUP(C75,[1]Orders!$A$5:$W$1043,6,0)</f>
        <v>VIC</v>
      </c>
      <c r="I75" t="str">
        <f>VLOOKUP(C75,[1]Orders!$A$5:$W$1043,7,0)</f>
        <v>Small Business</v>
      </c>
      <c r="J75" t="str">
        <f>VLOOKUP(C75,[1]Orders!$A$5:$W$1043,8,0)</f>
        <v>Connor Betts</v>
      </c>
      <c r="K75" t="str">
        <f>VLOOKUP(C75,[1]Orders!$A$5:$W$1043,9,0)</f>
        <v>Critical</v>
      </c>
    </row>
    <row r="76" spans="3:11" x14ac:dyDescent="0.25">
      <c r="C76" s="61" t="s">
        <v>168</v>
      </c>
      <c r="D76" t="str">
        <f>VLOOKUP(C76,[1]Orders!$A$5:$W$1043,3,0)</f>
        <v>Don Weiss</v>
      </c>
      <c r="E76">
        <f>VLOOKUP(C76,[1]Orders!$A$5:$W$1043,23,0)</f>
        <v>1942.2099999999998</v>
      </c>
      <c r="F76" t="str">
        <f>VLOOKUP(C76,[1]Orders!$A$5:$W$1043,5,0)</f>
        <v>Sydney</v>
      </c>
      <c r="G76" t="str">
        <f>VLOOKUP(C76,[1]Orders!$A$5:$W$1043,5,0)</f>
        <v>Sydney</v>
      </c>
      <c r="H76" t="str">
        <f>VLOOKUP(C76,[1]Orders!$A$5:$W$1043,6,0)</f>
        <v>NSW</v>
      </c>
      <c r="I76" t="str">
        <f>VLOOKUP(C76,[1]Orders!$A$5:$W$1043,7,0)</f>
        <v>Corporate</v>
      </c>
      <c r="J76" t="str">
        <f>VLOOKUP(C76,[1]Orders!$A$5:$W$1043,8,0)</f>
        <v>Aanya Zhang</v>
      </c>
      <c r="K76" t="str">
        <f>VLOOKUP(C76,[1]Orders!$A$5:$W$1043,9,0)</f>
        <v>Medium</v>
      </c>
    </row>
    <row r="77" spans="3:11" x14ac:dyDescent="0.25">
      <c r="C77" s="61" t="s">
        <v>169</v>
      </c>
      <c r="D77" t="str">
        <f>VLOOKUP(C77,[1]Orders!$A$5:$W$1043,3,0)</f>
        <v>Don Weiss</v>
      </c>
      <c r="E77">
        <f>VLOOKUP(C77,[1]Orders!$A$5:$W$1043,23,0)</f>
        <v>5.04</v>
      </c>
      <c r="F77" t="str">
        <f>VLOOKUP(C77,[1]Orders!$A$5:$W$1043,5,0)</f>
        <v>Sydney</v>
      </c>
      <c r="G77" t="str">
        <f>VLOOKUP(C77,[1]Orders!$A$5:$W$1043,5,0)</f>
        <v>Sydney</v>
      </c>
      <c r="H77" t="str">
        <f>VLOOKUP(C77,[1]Orders!$A$5:$W$1043,6,0)</f>
        <v>NSW</v>
      </c>
      <c r="I77" t="str">
        <f>VLOOKUP(C77,[1]Orders!$A$5:$W$1043,7,0)</f>
        <v>Corporate</v>
      </c>
      <c r="J77" t="str">
        <f>VLOOKUP(C77,[1]Orders!$A$5:$W$1043,8,0)</f>
        <v>Aanya Zhang</v>
      </c>
      <c r="K77" t="str">
        <f>VLOOKUP(C77,[1]Orders!$A$5:$W$1043,9,0)</f>
        <v>Medium</v>
      </c>
    </row>
    <row r="78" spans="3:11" x14ac:dyDescent="0.25">
      <c r="C78" s="61" t="s">
        <v>170</v>
      </c>
      <c r="D78" t="str">
        <f>VLOOKUP(C78,[1]Orders!$A$5:$W$1043,3,0)</f>
        <v>Sally Knutson</v>
      </c>
      <c r="E78">
        <f>VLOOKUP(C78,[1]Orders!$A$5:$W$1043,23,0)</f>
        <v>131.07</v>
      </c>
      <c r="F78" t="str">
        <f>VLOOKUP(C78,[1]Orders!$A$5:$W$1043,5,0)</f>
        <v>Sydney</v>
      </c>
      <c r="G78" t="str">
        <f>VLOOKUP(C78,[1]Orders!$A$5:$W$1043,5,0)</f>
        <v>Sydney</v>
      </c>
      <c r="H78" t="str">
        <f>VLOOKUP(C78,[1]Orders!$A$5:$W$1043,6,0)</f>
        <v>NSW</v>
      </c>
      <c r="I78" t="str">
        <f>VLOOKUP(C78,[1]Orders!$A$5:$W$1043,7,0)</f>
        <v>Consumer</v>
      </c>
      <c r="J78" t="str">
        <f>VLOOKUP(C78,[1]Orders!$A$5:$W$1043,8,0)</f>
        <v>Mihael Khan</v>
      </c>
      <c r="K78" t="str">
        <f>VLOOKUP(C78,[1]Orders!$A$5:$W$1043,9,0)</f>
        <v>Not Specified</v>
      </c>
    </row>
    <row r="79" spans="3:11" x14ac:dyDescent="0.25">
      <c r="C79" s="61" t="s">
        <v>171</v>
      </c>
      <c r="D79" t="str">
        <f>VLOOKUP(C79,[1]Orders!$A$5:$W$1043,3,0)</f>
        <v>Sally Knutson</v>
      </c>
      <c r="E79">
        <f>VLOOKUP(C79,[1]Orders!$A$5:$W$1043,23,0)</f>
        <v>429.15000000000003</v>
      </c>
      <c r="F79" t="str">
        <f>VLOOKUP(C79,[1]Orders!$A$5:$W$1043,5,0)</f>
        <v>Sydney</v>
      </c>
      <c r="G79" t="str">
        <f>VLOOKUP(C79,[1]Orders!$A$5:$W$1043,5,0)</f>
        <v>Sydney</v>
      </c>
      <c r="H79" t="str">
        <f>VLOOKUP(C79,[1]Orders!$A$5:$W$1043,6,0)</f>
        <v>NSW</v>
      </c>
      <c r="I79" t="str">
        <f>VLOOKUP(C79,[1]Orders!$A$5:$W$1043,7,0)</f>
        <v>Consumer</v>
      </c>
      <c r="J79" t="str">
        <f>VLOOKUP(C79,[1]Orders!$A$5:$W$1043,8,0)</f>
        <v>Mihael Khan</v>
      </c>
      <c r="K79" t="str">
        <f>VLOOKUP(C79,[1]Orders!$A$5:$W$1043,9,0)</f>
        <v>Not Specified</v>
      </c>
    </row>
    <row r="80" spans="3:11" x14ac:dyDescent="0.25">
      <c r="C80" s="61" t="s">
        <v>172</v>
      </c>
      <c r="D80" t="str">
        <f>VLOOKUP(C80,[1]Orders!$A$5:$W$1043,3,0)</f>
        <v>Greg Hansen</v>
      </c>
      <c r="E80">
        <f>VLOOKUP(C80,[1]Orders!$A$5:$W$1043,23,0)</f>
        <v>564.91000000000008</v>
      </c>
      <c r="F80" t="str">
        <f>VLOOKUP(C80,[1]Orders!$A$5:$W$1043,5,0)</f>
        <v>Melbourne</v>
      </c>
      <c r="G80" t="str">
        <f>VLOOKUP(C80,[1]Orders!$A$5:$W$1043,5,0)</f>
        <v>Melbourne</v>
      </c>
      <c r="H80" t="str">
        <f>VLOOKUP(C80,[1]Orders!$A$5:$W$1043,6,0)</f>
        <v>VIC</v>
      </c>
      <c r="I80" t="str">
        <f>VLOOKUP(C80,[1]Orders!$A$5:$W$1043,7,0)</f>
        <v>Home Office</v>
      </c>
      <c r="J80" t="str">
        <f>VLOOKUP(C80,[1]Orders!$A$5:$W$1043,8,0)</f>
        <v>Yvette Biti</v>
      </c>
      <c r="K80" t="str">
        <f>VLOOKUP(C80,[1]Orders!$A$5:$W$1043,9,0)</f>
        <v>High</v>
      </c>
    </row>
    <row r="81" spans="3:11" x14ac:dyDescent="0.25">
      <c r="C81" s="61" t="s">
        <v>173</v>
      </c>
      <c r="D81" t="str">
        <f>VLOOKUP(C81,[1]Orders!$A$5:$W$1043,3,0)</f>
        <v>Greg Hansen</v>
      </c>
      <c r="E81">
        <f>VLOOKUP(C81,[1]Orders!$A$5:$W$1043,23,0)</f>
        <v>34.020000000000003</v>
      </c>
      <c r="F81" t="str">
        <f>VLOOKUP(C81,[1]Orders!$A$5:$W$1043,5,0)</f>
        <v>Melbourne</v>
      </c>
      <c r="G81" t="str">
        <f>VLOOKUP(C81,[1]Orders!$A$5:$W$1043,5,0)</f>
        <v>Melbourne</v>
      </c>
      <c r="H81" t="str">
        <f>VLOOKUP(C81,[1]Orders!$A$5:$W$1043,6,0)</f>
        <v>VIC</v>
      </c>
      <c r="I81" t="str">
        <f>VLOOKUP(C81,[1]Orders!$A$5:$W$1043,7,0)</f>
        <v>Home Office</v>
      </c>
      <c r="J81" t="str">
        <f>VLOOKUP(C81,[1]Orders!$A$5:$W$1043,8,0)</f>
        <v>Yvette Biti</v>
      </c>
      <c r="K81" t="str">
        <f>VLOOKUP(C81,[1]Orders!$A$5:$W$1043,9,0)</f>
        <v>High</v>
      </c>
    </row>
    <row r="82" spans="3:11" x14ac:dyDescent="0.25">
      <c r="C82" s="61" t="s">
        <v>174</v>
      </c>
      <c r="D82" t="str">
        <f>VLOOKUP(C82,[1]Orders!$A$5:$W$1043,3,0)</f>
        <v>Vivek Grady</v>
      </c>
      <c r="E82">
        <f>VLOOKUP(C82,[1]Orders!$A$5:$W$1043,23,0)</f>
        <v>46.78</v>
      </c>
      <c r="F82" t="str">
        <f>VLOOKUP(C82,[1]Orders!$A$5:$W$1043,5,0)</f>
        <v>Melbourne</v>
      </c>
      <c r="G82" t="str">
        <f>VLOOKUP(C82,[1]Orders!$A$5:$W$1043,5,0)</f>
        <v>Melbourne</v>
      </c>
      <c r="H82" t="str">
        <f>VLOOKUP(C82,[1]Orders!$A$5:$W$1043,6,0)</f>
        <v>VIC</v>
      </c>
      <c r="I82" t="str">
        <f>VLOOKUP(C82,[1]Orders!$A$5:$W$1043,7,0)</f>
        <v>Home Office</v>
      </c>
      <c r="J82" t="str">
        <f>VLOOKUP(C82,[1]Orders!$A$5:$W$1043,8,0)</f>
        <v>Connor Betts</v>
      </c>
      <c r="K82" t="str">
        <f>VLOOKUP(C82,[1]Orders!$A$5:$W$1043,9,0)</f>
        <v>Low</v>
      </c>
    </row>
    <row r="83" spans="3:11" x14ac:dyDescent="0.25">
      <c r="C83" s="61" t="s">
        <v>175</v>
      </c>
      <c r="D83" t="str">
        <f>VLOOKUP(C83,[1]Orders!$A$5:$W$1043,3,0)</f>
        <v>Edward Nazzal</v>
      </c>
      <c r="E83">
        <f>VLOOKUP(C83,[1]Orders!$A$5:$W$1043,23,0)</f>
        <v>5645.6599999999989</v>
      </c>
      <c r="F83" t="str">
        <f>VLOOKUP(C83,[1]Orders!$A$5:$W$1043,5,0)</f>
        <v>Sydney</v>
      </c>
      <c r="G83" t="str">
        <f>VLOOKUP(C83,[1]Orders!$A$5:$W$1043,5,0)</f>
        <v>Sydney</v>
      </c>
      <c r="H83" t="str">
        <f>VLOOKUP(C83,[1]Orders!$A$5:$W$1043,6,0)</f>
        <v>NSW</v>
      </c>
      <c r="I83" t="str">
        <f>VLOOKUP(C83,[1]Orders!$A$5:$W$1043,7,0)</f>
        <v>Home Office</v>
      </c>
      <c r="J83" t="str">
        <f>VLOOKUP(C83,[1]Orders!$A$5:$W$1043,8,0)</f>
        <v>Phoebe Gour</v>
      </c>
      <c r="K83" t="str">
        <f>VLOOKUP(C83,[1]Orders!$A$5:$W$1043,9,0)</f>
        <v>High</v>
      </c>
    </row>
    <row r="84" spans="3:11" x14ac:dyDescent="0.25">
      <c r="C84" s="61" t="s">
        <v>176</v>
      </c>
      <c r="D84" t="str">
        <f>VLOOKUP(C84,[1]Orders!$A$5:$W$1043,3,0)</f>
        <v>Edward Nazzal</v>
      </c>
      <c r="E84">
        <f>VLOOKUP(C84,[1]Orders!$A$5:$W$1043,23,0)</f>
        <v>1064.21</v>
      </c>
      <c r="F84" t="str">
        <f>VLOOKUP(C84,[1]Orders!$A$5:$W$1043,5,0)</f>
        <v>Sydney</v>
      </c>
      <c r="G84" t="str">
        <f>VLOOKUP(C84,[1]Orders!$A$5:$W$1043,5,0)</f>
        <v>Sydney</v>
      </c>
      <c r="H84" t="str">
        <f>VLOOKUP(C84,[1]Orders!$A$5:$W$1043,6,0)</f>
        <v>NSW</v>
      </c>
      <c r="I84" t="str">
        <f>VLOOKUP(C84,[1]Orders!$A$5:$W$1043,7,0)</f>
        <v>Home Office</v>
      </c>
      <c r="J84" t="str">
        <f>VLOOKUP(C84,[1]Orders!$A$5:$W$1043,8,0)</f>
        <v>Phoebe Gour</v>
      </c>
      <c r="K84" t="str">
        <f>VLOOKUP(C84,[1]Orders!$A$5:$W$1043,9,0)</f>
        <v>High</v>
      </c>
    </row>
    <row r="85" spans="3:11" x14ac:dyDescent="0.25">
      <c r="C85" s="61" t="s">
        <v>177</v>
      </c>
      <c r="D85" t="str">
        <f>VLOOKUP(C85,[1]Orders!$A$5:$W$1043,3,0)</f>
        <v>Vivek Grady</v>
      </c>
      <c r="E85">
        <f>VLOOKUP(C85,[1]Orders!$A$5:$W$1043,23,0)</f>
        <v>35.97</v>
      </c>
      <c r="F85" t="str">
        <f>VLOOKUP(C85,[1]Orders!$A$5:$W$1043,5,0)</f>
        <v>Melbourne</v>
      </c>
      <c r="G85" t="str">
        <f>VLOOKUP(C85,[1]Orders!$A$5:$W$1043,5,0)</f>
        <v>Melbourne</v>
      </c>
      <c r="H85" t="str">
        <f>VLOOKUP(C85,[1]Orders!$A$5:$W$1043,6,0)</f>
        <v>VIC</v>
      </c>
      <c r="I85" t="str">
        <f>VLOOKUP(C85,[1]Orders!$A$5:$W$1043,7,0)</f>
        <v>Home Office</v>
      </c>
      <c r="J85" t="str">
        <f>VLOOKUP(C85,[1]Orders!$A$5:$W$1043,8,0)</f>
        <v>Connor Betts</v>
      </c>
      <c r="K85" t="str">
        <f>VLOOKUP(C85,[1]Orders!$A$5:$W$1043,9,0)</f>
        <v>Low</v>
      </c>
    </row>
    <row r="86" spans="3:11" x14ac:dyDescent="0.25">
      <c r="C86" s="61" t="s">
        <v>178</v>
      </c>
      <c r="D86" t="str">
        <f>VLOOKUP(C86,[1]Orders!$A$5:$W$1043,3,0)</f>
        <v>Harold Dahlen</v>
      </c>
      <c r="E86">
        <f>VLOOKUP(C86,[1]Orders!$A$5:$W$1043,23,0)</f>
        <v>131.9</v>
      </c>
      <c r="F86" t="str">
        <f>VLOOKUP(C86,[1]Orders!$A$5:$W$1043,5,0)</f>
        <v>Sydney</v>
      </c>
      <c r="G86" t="str">
        <f>VLOOKUP(C86,[1]Orders!$A$5:$W$1043,5,0)</f>
        <v>Sydney</v>
      </c>
      <c r="H86" t="str">
        <f>VLOOKUP(C86,[1]Orders!$A$5:$W$1043,6,0)</f>
        <v>NSW</v>
      </c>
      <c r="I86" t="str">
        <f>VLOOKUP(C86,[1]Orders!$A$5:$W$1043,7,0)</f>
        <v>Consumer</v>
      </c>
      <c r="J86" t="str">
        <f>VLOOKUP(C86,[1]Orders!$A$5:$W$1043,8,0)</f>
        <v>Tina Carlton</v>
      </c>
      <c r="K86" t="str">
        <f>VLOOKUP(C86,[1]Orders!$A$5:$W$1043,9,0)</f>
        <v>Medium</v>
      </c>
    </row>
    <row r="87" spans="3:11" x14ac:dyDescent="0.25">
      <c r="C87" s="61" t="s">
        <v>179</v>
      </c>
      <c r="D87" t="str">
        <f>VLOOKUP(C87,[1]Orders!$A$5:$W$1043,3,0)</f>
        <v>Harold Dahlen</v>
      </c>
      <c r="E87">
        <f>VLOOKUP(C87,[1]Orders!$A$5:$W$1043,23,0)</f>
        <v>79.350000000000009</v>
      </c>
      <c r="F87" t="str">
        <f>VLOOKUP(C87,[1]Orders!$A$5:$W$1043,5,0)</f>
        <v>Sydney</v>
      </c>
      <c r="G87" t="str">
        <f>VLOOKUP(C87,[1]Orders!$A$5:$W$1043,5,0)</f>
        <v>Sydney</v>
      </c>
      <c r="H87" t="str">
        <f>VLOOKUP(C87,[1]Orders!$A$5:$W$1043,6,0)</f>
        <v>NSW</v>
      </c>
      <c r="I87" t="str">
        <f>VLOOKUP(C87,[1]Orders!$A$5:$W$1043,7,0)</f>
        <v>Consumer</v>
      </c>
      <c r="J87" t="str">
        <f>VLOOKUP(C87,[1]Orders!$A$5:$W$1043,8,0)</f>
        <v>Tina Carlton</v>
      </c>
      <c r="K87" t="str">
        <f>VLOOKUP(C87,[1]Orders!$A$5:$W$1043,9,0)</f>
        <v>Medium</v>
      </c>
    </row>
    <row r="88" spans="3:11" x14ac:dyDescent="0.25">
      <c r="C88" s="61" t="s">
        <v>180</v>
      </c>
      <c r="D88" t="str">
        <f>VLOOKUP(C88,[1]Orders!$A$5:$W$1043,3,0)</f>
        <v>Jasper Cacioppo</v>
      </c>
      <c r="E88">
        <f>VLOOKUP(C88,[1]Orders!$A$5:$W$1043,23,0)</f>
        <v>9624.33</v>
      </c>
      <c r="F88" t="str">
        <f>VLOOKUP(C88,[1]Orders!$A$5:$W$1043,5,0)</f>
        <v>Sydney</v>
      </c>
      <c r="G88" t="str">
        <f>VLOOKUP(C88,[1]Orders!$A$5:$W$1043,5,0)</f>
        <v>Sydney</v>
      </c>
      <c r="H88" t="str">
        <f>VLOOKUP(C88,[1]Orders!$A$5:$W$1043,6,0)</f>
        <v>NSW</v>
      </c>
      <c r="I88" t="str">
        <f>VLOOKUP(C88,[1]Orders!$A$5:$W$1043,7,0)</f>
        <v>Home Office</v>
      </c>
      <c r="J88" t="str">
        <f>VLOOKUP(C88,[1]Orders!$A$5:$W$1043,8,0)</f>
        <v>Radhya Staples</v>
      </c>
      <c r="K88" t="str">
        <f>VLOOKUP(C88,[1]Orders!$A$5:$W$1043,9,0)</f>
        <v>Low</v>
      </c>
    </row>
    <row r="89" spans="3:11" x14ac:dyDescent="0.25">
      <c r="C89" s="61" t="s">
        <v>181</v>
      </c>
      <c r="D89" t="str">
        <f>VLOOKUP(C89,[1]Orders!$A$5:$W$1043,3,0)</f>
        <v>Jasper Cacioppo</v>
      </c>
      <c r="E89">
        <f>VLOOKUP(C89,[1]Orders!$A$5:$W$1043,23,0)</f>
        <v>777.85</v>
      </c>
      <c r="F89" t="str">
        <f>VLOOKUP(C89,[1]Orders!$A$5:$W$1043,5,0)</f>
        <v>Sydney</v>
      </c>
      <c r="G89" t="str">
        <f>VLOOKUP(C89,[1]Orders!$A$5:$W$1043,5,0)</f>
        <v>Sydney</v>
      </c>
      <c r="H89" t="str">
        <f>VLOOKUP(C89,[1]Orders!$A$5:$W$1043,6,0)</f>
        <v>NSW</v>
      </c>
      <c r="I89" t="str">
        <f>VLOOKUP(C89,[1]Orders!$A$5:$W$1043,7,0)</f>
        <v>Home Office</v>
      </c>
      <c r="J89" t="str">
        <f>VLOOKUP(C89,[1]Orders!$A$5:$W$1043,8,0)</f>
        <v>Radhya Staples</v>
      </c>
      <c r="K89" t="str">
        <f>VLOOKUP(C89,[1]Orders!$A$5:$W$1043,9,0)</f>
        <v>Low</v>
      </c>
    </row>
    <row r="90" spans="3:11" x14ac:dyDescent="0.25">
      <c r="C90" s="61" t="s">
        <v>182</v>
      </c>
      <c r="D90" t="str">
        <f>VLOOKUP(C90,[1]Orders!$A$5:$W$1043,3,0)</f>
        <v>Nora Price</v>
      </c>
      <c r="E90">
        <f>VLOOKUP(C90,[1]Orders!$A$5:$W$1043,23,0)</f>
        <v>23.36</v>
      </c>
      <c r="F90" t="str">
        <f>VLOOKUP(C90,[1]Orders!$A$5:$W$1043,5,0)</f>
        <v>Sydney</v>
      </c>
      <c r="G90" t="str">
        <f>VLOOKUP(C90,[1]Orders!$A$5:$W$1043,5,0)</f>
        <v>Sydney</v>
      </c>
      <c r="H90" t="str">
        <f>VLOOKUP(C90,[1]Orders!$A$5:$W$1043,6,0)</f>
        <v>NSW</v>
      </c>
      <c r="I90" t="str">
        <f>VLOOKUP(C90,[1]Orders!$A$5:$W$1043,7,0)</f>
        <v>Small Business</v>
      </c>
      <c r="J90" t="str">
        <f>VLOOKUP(C90,[1]Orders!$A$5:$W$1043,8,0)</f>
        <v>Preston Senome</v>
      </c>
      <c r="K90" t="str">
        <f>VLOOKUP(C90,[1]Orders!$A$5:$W$1043,9,0)</f>
        <v>Medium</v>
      </c>
    </row>
    <row r="91" spans="3:11" x14ac:dyDescent="0.25">
      <c r="C91" s="61" t="s">
        <v>183</v>
      </c>
      <c r="D91" t="str">
        <f>VLOOKUP(C91,[1]Orders!$A$5:$W$1043,3,0)</f>
        <v>Nora Price</v>
      </c>
      <c r="E91">
        <f>VLOOKUP(C91,[1]Orders!$A$5:$W$1043,23,0)</f>
        <v>1671.91</v>
      </c>
      <c r="F91" t="str">
        <f>VLOOKUP(C91,[1]Orders!$A$5:$W$1043,5,0)</f>
        <v>Sydney</v>
      </c>
      <c r="G91" t="str">
        <f>VLOOKUP(C91,[1]Orders!$A$5:$W$1043,5,0)</f>
        <v>Sydney</v>
      </c>
      <c r="H91" t="str">
        <f>VLOOKUP(C91,[1]Orders!$A$5:$W$1043,6,0)</f>
        <v>NSW</v>
      </c>
      <c r="I91" t="str">
        <f>VLOOKUP(C91,[1]Orders!$A$5:$W$1043,7,0)</f>
        <v>Small Business</v>
      </c>
      <c r="J91" t="str">
        <f>VLOOKUP(C91,[1]Orders!$A$5:$W$1043,8,0)</f>
        <v>Preston Senome</v>
      </c>
      <c r="K91" t="str">
        <f>VLOOKUP(C91,[1]Orders!$A$5:$W$1043,9,0)</f>
        <v>Medium</v>
      </c>
    </row>
    <row r="92" spans="3:11" x14ac:dyDescent="0.25">
      <c r="C92" s="61" t="s">
        <v>184</v>
      </c>
      <c r="D92" t="str">
        <f>VLOOKUP(C92,[1]Orders!$A$5:$W$1043,3,0)</f>
        <v>Christopher Martinez</v>
      </c>
      <c r="E92">
        <f>VLOOKUP(C92,[1]Orders!$A$5:$W$1043,23,0)</f>
        <v>775.94999999999993</v>
      </c>
      <c r="F92" t="str">
        <f>VLOOKUP(C92,[1]Orders!$A$5:$W$1043,5,0)</f>
        <v>Sydney</v>
      </c>
      <c r="G92" t="str">
        <f>VLOOKUP(C92,[1]Orders!$A$5:$W$1043,5,0)</f>
        <v>Sydney</v>
      </c>
      <c r="H92" t="str">
        <f>VLOOKUP(C92,[1]Orders!$A$5:$W$1043,6,0)</f>
        <v>NSW</v>
      </c>
      <c r="I92" t="str">
        <f>VLOOKUP(C92,[1]Orders!$A$5:$W$1043,7,0)</f>
        <v>Small Business</v>
      </c>
      <c r="J92" t="str">
        <f>VLOOKUP(C92,[1]Orders!$A$5:$W$1043,8,0)</f>
        <v>Tina Carlton</v>
      </c>
      <c r="K92" t="str">
        <f>VLOOKUP(C92,[1]Orders!$A$5:$W$1043,9,0)</f>
        <v>Medium</v>
      </c>
    </row>
    <row r="93" spans="3:11" x14ac:dyDescent="0.25">
      <c r="C93" s="61" t="s">
        <v>185</v>
      </c>
      <c r="D93" t="str">
        <f>VLOOKUP(C93,[1]Orders!$A$5:$W$1043,3,0)</f>
        <v>Christopher Martinez</v>
      </c>
      <c r="E93">
        <f>VLOOKUP(C93,[1]Orders!$A$5:$W$1043,23,0)</f>
        <v>1085.1099999999999</v>
      </c>
      <c r="F93" t="str">
        <f>VLOOKUP(C93,[1]Orders!$A$5:$W$1043,5,0)</f>
        <v>Sydney</v>
      </c>
      <c r="G93" t="str">
        <f>VLOOKUP(C93,[1]Orders!$A$5:$W$1043,5,0)</f>
        <v>Sydney</v>
      </c>
      <c r="H93" t="str">
        <f>VLOOKUP(C93,[1]Orders!$A$5:$W$1043,6,0)</f>
        <v>NSW</v>
      </c>
      <c r="I93" t="str">
        <f>VLOOKUP(C93,[1]Orders!$A$5:$W$1043,7,0)</f>
        <v>Small Business</v>
      </c>
      <c r="J93" t="str">
        <f>VLOOKUP(C93,[1]Orders!$A$5:$W$1043,8,0)</f>
        <v>Tina Carlton</v>
      </c>
      <c r="K93" t="str">
        <f>VLOOKUP(C93,[1]Orders!$A$5:$W$1043,9,0)</f>
        <v>Medium</v>
      </c>
    </row>
    <row r="94" spans="3:11" x14ac:dyDescent="0.25">
      <c r="C94" s="61" t="s">
        <v>186</v>
      </c>
      <c r="D94" t="str">
        <f>VLOOKUP(C94,[1]Orders!$A$5:$W$1043,3,0)</f>
        <v>Patrick Jones</v>
      </c>
      <c r="E94">
        <f>VLOOKUP(C94,[1]Orders!$A$5:$W$1043,23,0)</f>
        <v>2935.2599999999998</v>
      </c>
      <c r="F94" t="str">
        <f>VLOOKUP(C94,[1]Orders!$A$5:$W$1043,5,0)</f>
        <v>Melbourne</v>
      </c>
      <c r="G94" t="str">
        <f>VLOOKUP(C94,[1]Orders!$A$5:$W$1043,5,0)</f>
        <v>Melbourne</v>
      </c>
      <c r="H94" t="str">
        <f>VLOOKUP(C94,[1]Orders!$A$5:$W$1043,6,0)</f>
        <v>VIC</v>
      </c>
      <c r="I94" t="str">
        <f>VLOOKUP(C94,[1]Orders!$A$5:$W$1043,7,0)</f>
        <v>Home Office</v>
      </c>
      <c r="J94" t="str">
        <f>VLOOKUP(C94,[1]Orders!$A$5:$W$1043,8,0)</f>
        <v>Yvette Biti</v>
      </c>
      <c r="K94" t="str">
        <f>VLOOKUP(C94,[1]Orders!$A$5:$W$1043,9,0)</f>
        <v>Medium</v>
      </c>
    </row>
    <row r="95" spans="3:11" x14ac:dyDescent="0.25">
      <c r="C95" s="61" t="s">
        <v>187</v>
      </c>
      <c r="D95" t="str">
        <f>VLOOKUP(C95,[1]Orders!$A$5:$W$1043,3,0)</f>
        <v>Patrick Jones</v>
      </c>
      <c r="E95">
        <f>VLOOKUP(C95,[1]Orders!$A$5:$W$1043,23,0)</f>
        <v>18.8</v>
      </c>
      <c r="F95" t="str">
        <f>VLOOKUP(C95,[1]Orders!$A$5:$W$1043,5,0)</f>
        <v>Melbourne</v>
      </c>
      <c r="G95" t="str">
        <f>VLOOKUP(C95,[1]Orders!$A$5:$W$1043,5,0)</f>
        <v>Melbourne</v>
      </c>
      <c r="H95" t="str">
        <f>VLOOKUP(C95,[1]Orders!$A$5:$W$1043,6,0)</f>
        <v>VIC</v>
      </c>
      <c r="I95" t="str">
        <f>VLOOKUP(C95,[1]Orders!$A$5:$W$1043,7,0)</f>
        <v>Home Office</v>
      </c>
      <c r="J95" t="str">
        <f>VLOOKUP(C95,[1]Orders!$A$5:$W$1043,8,0)</f>
        <v>Yvette Biti</v>
      </c>
      <c r="K95" t="str">
        <f>VLOOKUP(C95,[1]Orders!$A$5:$W$1043,9,0)</f>
        <v>Medium</v>
      </c>
    </row>
    <row r="96" spans="3:11" x14ac:dyDescent="0.25">
      <c r="C96" s="61" t="s">
        <v>188</v>
      </c>
      <c r="D96" t="str">
        <f>VLOOKUP(C96,[1]Orders!$A$5:$W$1043,3,0)</f>
        <v>Erica Hernandez</v>
      </c>
      <c r="E96">
        <f>VLOOKUP(C96,[1]Orders!$A$5:$W$1043,23,0)</f>
        <v>142.1</v>
      </c>
      <c r="F96" t="str">
        <f>VLOOKUP(C96,[1]Orders!$A$5:$W$1043,5,0)</f>
        <v>Sydney</v>
      </c>
      <c r="G96" t="str">
        <f>VLOOKUP(C96,[1]Orders!$A$5:$W$1043,5,0)</f>
        <v>Sydney</v>
      </c>
      <c r="H96" t="str">
        <f>VLOOKUP(C96,[1]Orders!$A$5:$W$1043,6,0)</f>
        <v>NSW</v>
      </c>
      <c r="I96" t="str">
        <f>VLOOKUP(C96,[1]Orders!$A$5:$W$1043,7,0)</f>
        <v>Small Business</v>
      </c>
      <c r="J96" t="str">
        <f>VLOOKUP(C96,[1]Orders!$A$5:$W$1043,8,0)</f>
        <v>Nicholas Fernandes</v>
      </c>
      <c r="K96" t="str">
        <f>VLOOKUP(C96,[1]Orders!$A$5:$W$1043,9,0)</f>
        <v>Low</v>
      </c>
    </row>
    <row r="97" spans="3:11" x14ac:dyDescent="0.25">
      <c r="C97" s="61" t="s">
        <v>189</v>
      </c>
      <c r="D97" t="str">
        <f>VLOOKUP(C97,[1]Orders!$A$5:$W$1043,3,0)</f>
        <v>Erica Hernandez</v>
      </c>
      <c r="E97">
        <f>VLOOKUP(C97,[1]Orders!$A$5:$W$1043,23,0)</f>
        <v>32.53</v>
      </c>
      <c r="F97" t="str">
        <f>VLOOKUP(C97,[1]Orders!$A$5:$W$1043,5,0)</f>
        <v>Sydney</v>
      </c>
      <c r="G97" t="str">
        <f>VLOOKUP(C97,[1]Orders!$A$5:$W$1043,5,0)</f>
        <v>Sydney</v>
      </c>
      <c r="H97" t="str">
        <f>VLOOKUP(C97,[1]Orders!$A$5:$W$1043,6,0)</f>
        <v>NSW</v>
      </c>
      <c r="I97" t="str">
        <f>VLOOKUP(C97,[1]Orders!$A$5:$W$1043,7,0)</f>
        <v>Small Business</v>
      </c>
      <c r="J97" t="str">
        <f>VLOOKUP(C97,[1]Orders!$A$5:$W$1043,8,0)</f>
        <v>Nicholas Fernandes</v>
      </c>
      <c r="K97" t="str">
        <f>VLOOKUP(C97,[1]Orders!$A$5:$W$1043,9,0)</f>
        <v>Low</v>
      </c>
    </row>
    <row r="98" spans="3:11" x14ac:dyDescent="0.25">
      <c r="C98" s="61" t="s">
        <v>190</v>
      </c>
      <c r="D98" t="str">
        <f>VLOOKUP(C98,[1]Orders!$A$5:$W$1043,3,0)</f>
        <v>Patrick Jones</v>
      </c>
      <c r="E98">
        <f>VLOOKUP(C98,[1]Orders!$A$5:$W$1043,23,0)</f>
        <v>164.78</v>
      </c>
      <c r="F98" t="str">
        <f>VLOOKUP(C98,[1]Orders!$A$5:$W$1043,5,0)</f>
        <v>Melbourne</v>
      </c>
      <c r="G98" t="str">
        <f>VLOOKUP(C98,[1]Orders!$A$5:$W$1043,5,0)</f>
        <v>Melbourne</v>
      </c>
      <c r="H98" t="str">
        <f>VLOOKUP(C98,[1]Orders!$A$5:$W$1043,6,0)</f>
        <v>VIC</v>
      </c>
      <c r="I98" t="str">
        <f>VLOOKUP(C98,[1]Orders!$A$5:$W$1043,7,0)</f>
        <v>Home Office</v>
      </c>
      <c r="J98" t="str">
        <f>VLOOKUP(C98,[1]Orders!$A$5:$W$1043,8,0)</f>
        <v>Yvette Biti</v>
      </c>
      <c r="K98" t="str">
        <f>VLOOKUP(C98,[1]Orders!$A$5:$W$1043,9,0)</f>
        <v>High</v>
      </c>
    </row>
    <row r="99" spans="3:11" x14ac:dyDescent="0.25">
      <c r="C99" s="61" t="s">
        <v>191</v>
      </c>
      <c r="D99" t="str">
        <f>VLOOKUP(C99,[1]Orders!$A$5:$W$1043,3,0)</f>
        <v>Alex Russell</v>
      </c>
      <c r="E99">
        <f>VLOOKUP(C99,[1]Orders!$A$5:$W$1043,23,0)</f>
        <v>124.71</v>
      </c>
      <c r="F99" t="str">
        <f>VLOOKUP(C99,[1]Orders!$A$5:$W$1043,5,0)</f>
        <v>Melbourne</v>
      </c>
      <c r="G99" t="str">
        <f>VLOOKUP(C99,[1]Orders!$A$5:$W$1043,5,0)</f>
        <v>Melbourne</v>
      </c>
      <c r="H99" t="str">
        <f>VLOOKUP(C99,[1]Orders!$A$5:$W$1043,6,0)</f>
        <v>VIC</v>
      </c>
      <c r="I99" t="str">
        <f>VLOOKUP(C99,[1]Orders!$A$5:$W$1043,7,0)</f>
        <v>Home Office</v>
      </c>
      <c r="J99" t="str">
        <f>VLOOKUP(C99,[1]Orders!$A$5:$W$1043,8,0)</f>
        <v>Connor Betts</v>
      </c>
      <c r="K99" t="str">
        <f>VLOOKUP(C99,[1]Orders!$A$5:$W$1043,9,0)</f>
        <v>High</v>
      </c>
    </row>
    <row r="100" spans="3:11" x14ac:dyDescent="0.25">
      <c r="C100" s="61" t="s">
        <v>192</v>
      </c>
      <c r="D100" t="str">
        <f>VLOOKUP(C100,[1]Orders!$A$5:$W$1043,3,0)</f>
        <v>Tamara Dahlen</v>
      </c>
      <c r="E100">
        <f>VLOOKUP(C100,[1]Orders!$A$5:$W$1043,23,0)</f>
        <v>157.68</v>
      </c>
      <c r="F100" t="str">
        <f>VLOOKUP(C100,[1]Orders!$A$5:$W$1043,5,0)</f>
        <v>Sydney</v>
      </c>
      <c r="G100" t="str">
        <f>VLOOKUP(C100,[1]Orders!$A$5:$W$1043,5,0)</f>
        <v>Sydney</v>
      </c>
      <c r="H100" t="str">
        <f>VLOOKUP(C100,[1]Orders!$A$5:$W$1043,6,0)</f>
        <v>NSW</v>
      </c>
      <c r="I100" t="str">
        <f>VLOOKUP(C100,[1]Orders!$A$5:$W$1043,7,0)</f>
        <v>Corporate</v>
      </c>
      <c r="J100" t="str">
        <f>VLOOKUP(C100,[1]Orders!$A$5:$W$1043,8,0)</f>
        <v>Leighton Forrest</v>
      </c>
      <c r="K100" t="str">
        <f>VLOOKUP(C100,[1]Orders!$A$5:$W$1043,9,0)</f>
        <v>Critical</v>
      </c>
    </row>
    <row r="101" spans="3:11" x14ac:dyDescent="0.25">
      <c r="C101" s="61" t="s">
        <v>193</v>
      </c>
      <c r="D101" t="str">
        <f>VLOOKUP(C101,[1]Orders!$A$5:$W$1043,3,0)</f>
        <v>Susan Vittorini</v>
      </c>
      <c r="E101">
        <f>VLOOKUP(C101,[1]Orders!$A$5:$W$1043,23,0)</f>
        <v>752.03999999999985</v>
      </c>
      <c r="F101" t="str">
        <f>VLOOKUP(C101,[1]Orders!$A$5:$W$1043,5,0)</f>
        <v>Melbourne</v>
      </c>
      <c r="G101" t="str">
        <f>VLOOKUP(C101,[1]Orders!$A$5:$W$1043,5,0)</f>
        <v>Melbourne</v>
      </c>
      <c r="H101" t="str">
        <f>VLOOKUP(C101,[1]Orders!$A$5:$W$1043,6,0)</f>
        <v>VIC</v>
      </c>
      <c r="I101" t="str">
        <f>VLOOKUP(C101,[1]Orders!$A$5:$W$1043,7,0)</f>
        <v>Home Office</v>
      </c>
      <c r="J101" t="str">
        <f>VLOOKUP(C101,[1]Orders!$A$5:$W$1043,8,0)</f>
        <v>Yvette Biti</v>
      </c>
      <c r="K101" t="str">
        <f>VLOOKUP(C101,[1]Orders!$A$5:$W$1043,9,0)</f>
        <v>High</v>
      </c>
    </row>
    <row r="102" spans="3:11" x14ac:dyDescent="0.25">
      <c r="C102" s="61" t="s">
        <v>194</v>
      </c>
      <c r="D102" t="str">
        <f>VLOOKUP(C102,[1]Orders!$A$5:$W$1043,3,0)</f>
        <v>Muhammed Yedwab</v>
      </c>
      <c r="E102">
        <f>VLOOKUP(C102,[1]Orders!$A$5:$W$1043,23,0)</f>
        <v>36.370000000000005</v>
      </c>
      <c r="F102" t="str">
        <f>VLOOKUP(C102,[1]Orders!$A$5:$W$1043,5,0)</f>
        <v>Sydney</v>
      </c>
      <c r="G102" t="str">
        <f>VLOOKUP(C102,[1]Orders!$A$5:$W$1043,5,0)</f>
        <v>Sydney</v>
      </c>
      <c r="H102" t="str">
        <f>VLOOKUP(C102,[1]Orders!$A$5:$W$1043,6,0)</f>
        <v>NSW</v>
      </c>
      <c r="I102" t="str">
        <f>VLOOKUP(C102,[1]Orders!$A$5:$W$1043,7,0)</f>
        <v>Consumer</v>
      </c>
      <c r="J102" t="str">
        <f>VLOOKUP(C102,[1]Orders!$A$5:$W$1043,8,0)</f>
        <v>Nicholas Fernandes</v>
      </c>
      <c r="K102" t="str">
        <f>VLOOKUP(C102,[1]Orders!$A$5:$W$1043,9,0)</f>
        <v>Critical</v>
      </c>
    </row>
    <row r="103" spans="3:11" x14ac:dyDescent="0.25">
      <c r="C103" s="61" t="s">
        <v>195</v>
      </c>
      <c r="D103" t="str">
        <f>VLOOKUP(C103,[1]Orders!$A$5:$W$1043,3,0)</f>
        <v>Jasper Cacioppo</v>
      </c>
      <c r="E103">
        <f>VLOOKUP(C103,[1]Orders!$A$5:$W$1043,23,0)</f>
        <v>10.66</v>
      </c>
      <c r="F103" t="str">
        <f>VLOOKUP(C103,[1]Orders!$A$5:$W$1043,5,0)</f>
        <v>Sydney</v>
      </c>
      <c r="G103" t="str">
        <f>VLOOKUP(C103,[1]Orders!$A$5:$W$1043,5,0)</f>
        <v>Sydney</v>
      </c>
      <c r="H103" t="str">
        <f>VLOOKUP(C103,[1]Orders!$A$5:$W$1043,6,0)</f>
        <v>NSW</v>
      </c>
      <c r="I103" t="str">
        <f>VLOOKUP(C103,[1]Orders!$A$5:$W$1043,7,0)</f>
        <v>Home Office</v>
      </c>
      <c r="J103" t="str">
        <f>VLOOKUP(C103,[1]Orders!$A$5:$W$1043,8,0)</f>
        <v>Radhya Staples</v>
      </c>
      <c r="K103" t="str">
        <f>VLOOKUP(C103,[1]Orders!$A$5:$W$1043,9,0)</f>
        <v>Medium</v>
      </c>
    </row>
    <row r="104" spans="3:11" x14ac:dyDescent="0.25">
      <c r="C104" s="61" t="s">
        <v>196</v>
      </c>
      <c r="D104" t="str">
        <f>VLOOKUP(C104,[1]Orders!$A$5:$W$1043,3,0)</f>
        <v>Olvera Toch</v>
      </c>
      <c r="E104">
        <f>VLOOKUP(C104,[1]Orders!$A$5:$W$1043,23,0)</f>
        <v>124.50000000000001</v>
      </c>
      <c r="F104" t="str">
        <f>VLOOKUP(C104,[1]Orders!$A$5:$W$1043,5,0)</f>
        <v>Melbourne</v>
      </c>
      <c r="G104" t="str">
        <f>VLOOKUP(C104,[1]Orders!$A$5:$W$1043,5,0)</f>
        <v>Melbourne</v>
      </c>
      <c r="H104" t="str">
        <f>VLOOKUP(C104,[1]Orders!$A$5:$W$1043,6,0)</f>
        <v>VIC</v>
      </c>
      <c r="I104" t="str">
        <f>VLOOKUP(C104,[1]Orders!$A$5:$W$1043,7,0)</f>
        <v>Home Office</v>
      </c>
      <c r="J104" t="str">
        <f>VLOOKUP(C104,[1]Orders!$A$5:$W$1043,8,0)</f>
        <v>Yvette Biti</v>
      </c>
      <c r="K104" t="str">
        <f>VLOOKUP(C104,[1]Orders!$A$5:$W$1043,9,0)</f>
        <v>Low</v>
      </c>
    </row>
    <row r="105" spans="3:11" x14ac:dyDescent="0.25">
      <c r="C105" s="61" t="s">
        <v>197</v>
      </c>
      <c r="D105" t="str">
        <f>VLOOKUP(C105,[1]Orders!$A$5:$W$1043,3,0)</f>
        <v>Sean Wendt</v>
      </c>
      <c r="E105">
        <f>VLOOKUP(C105,[1]Orders!$A$5:$W$1043,23,0)</f>
        <v>5233.66</v>
      </c>
      <c r="F105" t="str">
        <f>VLOOKUP(C105,[1]Orders!$A$5:$W$1043,5,0)</f>
        <v>Sydney</v>
      </c>
      <c r="G105" t="str">
        <f>VLOOKUP(C105,[1]Orders!$A$5:$W$1043,5,0)</f>
        <v>Sydney</v>
      </c>
      <c r="H105" t="str">
        <f>VLOOKUP(C105,[1]Orders!$A$5:$W$1043,6,0)</f>
        <v>NSW</v>
      </c>
      <c r="I105" t="str">
        <f>VLOOKUP(C105,[1]Orders!$A$5:$W$1043,7,0)</f>
        <v>Corporate</v>
      </c>
      <c r="J105" t="str">
        <f>VLOOKUP(C105,[1]Orders!$A$5:$W$1043,8,0)</f>
        <v>Phoebe Gour</v>
      </c>
      <c r="K105" t="str">
        <f>VLOOKUP(C105,[1]Orders!$A$5:$W$1043,9,0)</f>
        <v>Critical</v>
      </c>
    </row>
    <row r="106" spans="3:11" x14ac:dyDescent="0.25">
      <c r="C106" s="61" t="s">
        <v>198</v>
      </c>
      <c r="D106" t="str">
        <f>VLOOKUP(C106,[1]Orders!$A$5:$W$1043,3,0)</f>
        <v>Rick Reed</v>
      </c>
      <c r="E106">
        <f>VLOOKUP(C106,[1]Orders!$A$5:$W$1043,23,0)</f>
        <v>56.4</v>
      </c>
      <c r="F106" t="str">
        <f>VLOOKUP(C106,[1]Orders!$A$5:$W$1043,5,0)</f>
        <v>Sydney</v>
      </c>
      <c r="G106" t="str">
        <f>VLOOKUP(C106,[1]Orders!$A$5:$W$1043,5,0)</f>
        <v>Sydney</v>
      </c>
      <c r="H106" t="str">
        <f>VLOOKUP(C106,[1]Orders!$A$5:$W$1043,6,0)</f>
        <v>NSW</v>
      </c>
      <c r="I106" t="str">
        <f>VLOOKUP(C106,[1]Orders!$A$5:$W$1043,7,0)</f>
        <v>Consumer</v>
      </c>
      <c r="J106" t="str">
        <f>VLOOKUP(C106,[1]Orders!$A$5:$W$1043,8,0)</f>
        <v>Phoebe Gour</v>
      </c>
      <c r="K106" t="str">
        <f>VLOOKUP(C106,[1]Orders!$A$5:$W$1043,9,0)</f>
        <v>Critical</v>
      </c>
    </row>
    <row r="107" spans="3:11" x14ac:dyDescent="0.25">
      <c r="C107" s="61" t="s">
        <v>199</v>
      </c>
      <c r="D107" t="str">
        <f>VLOOKUP(C107,[1]Orders!$A$5:$W$1043,3,0)</f>
        <v>Toby Swindell</v>
      </c>
      <c r="E107">
        <f>VLOOKUP(C107,[1]Orders!$A$5:$W$1043,23,0)</f>
        <v>743.76</v>
      </c>
      <c r="F107" t="str">
        <f>VLOOKUP(C107,[1]Orders!$A$5:$W$1043,5,0)</f>
        <v>Sydney</v>
      </c>
      <c r="G107" t="str">
        <f>VLOOKUP(C107,[1]Orders!$A$5:$W$1043,5,0)</f>
        <v>Sydney</v>
      </c>
      <c r="H107" t="str">
        <f>VLOOKUP(C107,[1]Orders!$A$5:$W$1043,6,0)</f>
        <v>NSW</v>
      </c>
      <c r="I107" t="str">
        <f>VLOOKUP(C107,[1]Orders!$A$5:$W$1043,7,0)</f>
        <v>Small Business</v>
      </c>
      <c r="J107" t="str">
        <f>VLOOKUP(C107,[1]Orders!$A$5:$W$1043,8,0)</f>
        <v>Leighton Forrest</v>
      </c>
      <c r="K107" t="str">
        <f>VLOOKUP(C107,[1]Orders!$A$5:$W$1043,9,0)</f>
        <v>Not Specified</v>
      </c>
    </row>
    <row r="108" spans="3:11" x14ac:dyDescent="0.25">
      <c r="C108" s="61" t="s">
        <v>200</v>
      </c>
      <c r="D108" t="str">
        <f>VLOOKUP(C108,[1]Orders!$A$5:$W$1043,3,0)</f>
        <v>Giulietta Weimer</v>
      </c>
      <c r="E108">
        <f>VLOOKUP(C108,[1]Orders!$A$5:$W$1043,23,0)</f>
        <v>418.98999999999995</v>
      </c>
      <c r="F108" t="str">
        <f>VLOOKUP(C108,[1]Orders!$A$5:$W$1043,5,0)</f>
        <v>Sydney</v>
      </c>
      <c r="G108" t="str">
        <f>VLOOKUP(C108,[1]Orders!$A$5:$W$1043,5,0)</f>
        <v>Sydney</v>
      </c>
      <c r="H108" t="str">
        <f>VLOOKUP(C108,[1]Orders!$A$5:$W$1043,6,0)</f>
        <v>NSW</v>
      </c>
      <c r="I108" t="str">
        <f>VLOOKUP(C108,[1]Orders!$A$5:$W$1043,7,0)</f>
        <v>Corporate</v>
      </c>
      <c r="J108" t="str">
        <f>VLOOKUP(C108,[1]Orders!$A$5:$W$1043,8,0)</f>
        <v>Natasha Song</v>
      </c>
      <c r="K108" t="str">
        <f>VLOOKUP(C108,[1]Orders!$A$5:$W$1043,9,0)</f>
        <v>Not Specified</v>
      </c>
    </row>
    <row r="109" spans="3:11" x14ac:dyDescent="0.25">
      <c r="C109" s="61" t="s">
        <v>201</v>
      </c>
      <c r="D109" t="str">
        <f>VLOOKUP(C109,[1]Orders!$A$5:$W$1043,3,0)</f>
        <v>Sylvia Foulston</v>
      </c>
      <c r="E109">
        <f>VLOOKUP(C109,[1]Orders!$A$5:$W$1043,23,0)</f>
        <v>74.930000000000007</v>
      </c>
      <c r="F109" t="str">
        <f>VLOOKUP(C109,[1]Orders!$A$5:$W$1043,5,0)</f>
        <v>Sydney</v>
      </c>
      <c r="G109" t="str">
        <f>VLOOKUP(C109,[1]Orders!$A$5:$W$1043,5,0)</f>
        <v>Sydney</v>
      </c>
      <c r="H109" t="str">
        <f>VLOOKUP(C109,[1]Orders!$A$5:$W$1043,6,0)</f>
        <v>NSW</v>
      </c>
      <c r="I109" t="str">
        <f>VLOOKUP(C109,[1]Orders!$A$5:$W$1043,7,0)</f>
        <v>Corporate</v>
      </c>
      <c r="J109" t="str">
        <f>VLOOKUP(C109,[1]Orders!$A$5:$W$1043,8,0)</f>
        <v>Tina Carlton</v>
      </c>
      <c r="K109" t="str">
        <f>VLOOKUP(C109,[1]Orders!$A$5:$W$1043,9,0)</f>
        <v>Medium</v>
      </c>
    </row>
    <row r="110" spans="3:11" x14ac:dyDescent="0.25">
      <c r="C110" s="61" t="s">
        <v>202</v>
      </c>
      <c r="D110" t="str">
        <f>VLOOKUP(C110,[1]Orders!$A$5:$W$1043,3,0)</f>
        <v>Paul Prost</v>
      </c>
      <c r="E110">
        <f>VLOOKUP(C110,[1]Orders!$A$5:$W$1043,23,0)</f>
        <v>138.80999999999997</v>
      </c>
      <c r="F110" t="str">
        <f>VLOOKUP(C110,[1]Orders!$A$5:$W$1043,5,0)</f>
        <v>Melbourne</v>
      </c>
      <c r="G110" t="str">
        <f>VLOOKUP(C110,[1]Orders!$A$5:$W$1043,5,0)</f>
        <v>Melbourne</v>
      </c>
      <c r="H110" t="str">
        <f>VLOOKUP(C110,[1]Orders!$A$5:$W$1043,6,0)</f>
        <v>VIC</v>
      </c>
      <c r="I110" t="str">
        <f>VLOOKUP(C110,[1]Orders!$A$5:$W$1043,7,0)</f>
        <v>Corporate</v>
      </c>
      <c r="J110" t="str">
        <f>VLOOKUP(C110,[1]Orders!$A$5:$W$1043,8,0)</f>
        <v>Connor Betts</v>
      </c>
      <c r="K110" t="str">
        <f>VLOOKUP(C110,[1]Orders!$A$5:$W$1043,9,0)</f>
        <v>Medium</v>
      </c>
    </row>
    <row r="111" spans="3:11" x14ac:dyDescent="0.25">
      <c r="C111" s="61" t="s">
        <v>203</v>
      </c>
      <c r="D111" t="str">
        <f>VLOOKUP(C111,[1]Orders!$A$5:$W$1043,3,0)</f>
        <v>Katherine Ducich</v>
      </c>
      <c r="E111">
        <f>VLOOKUP(C111,[1]Orders!$A$5:$W$1043,23,0)</f>
        <v>291.40000000000003</v>
      </c>
      <c r="F111" t="str">
        <f>VLOOKUP(C111,[1]Orders!$A$5:$W$1043,5,0)</f>
        <v>Sydney</v>
      </c>
      <c r="G111" t="str">
        <f>VLOOKUP(C111,[1]Orders!$A$5:$W$1043,5,0)</f>
        <v>Sydney</v>
      </c>
      <c r="H111" t="str">
        <f>VLOOKUP(C111,[1]Orders!$A$5:$W$1043,6,0)</f>
        <v>NSW</v>
      </c>
      <c r="I111" t="str">
        <f>VLOOKUP(C111,[1]Orders!$A$5:$W$1043,7,0)</f>
        <v>Corporate</v>
      </c>
      <c r="J111" t="str">
        <f>VLOOKUP(C111,[1]Orders!$A$5:$W$1043,8,0)</f>
        <v>Samantha Chairs</v>
      </c>
      <c r="K111" t="str">
        <f>VLOOKUP(C111,[1]Orders!$A$5:$W$1043,9,0)</f>
        <v>Medium</v>
      </c>
    </row>
    <row r="112" spans="3:11" x14ac:dyDescent="0.25">
      <c r="C112" s="61" t="s">
        <v>204</v>
      </c>
      <c r="D112" t="str">
        <f>VLOOKUP(C112,[1]Orders!$A$5:$W$1043,3,0)</f>
        <v>Natalie Webber</v>
      </c>
      <c r="E112">
        <f>VLOOKUP(C112,[1]Orders!$A$5:$W$1043,23,0)</f>
        <v>2906.4399999999996</v>
      </c>
      <c r="F112" t="str">
        <f>VLOOKUP(C112,[1]Orders!$A$5:$W$1043,5,0)</f>
        <v>Sydney</v>
      </c>
      <c r="G112" t="str">
        <f>VLOOKUP(C112,[1]Orders!$A$5:$W$1043,5,0)</f>
        <v>Sydney</v>
      </c>
      <c r="H112" t="str">
        <f>VLOOKUP(C112,[1]Orders!$A$5:$W$1043,6,0)</f>
        <v>NSW</v>
      </c>
      <c r="I112" t="str">
        <f>VLOOKUP(C112,[1]Orders!$A$5:$W$1043,7,0)</f>
        <v>Corporate</v>
      </c>
      <c r="J112" t="str">
        <f>VLOOKUP(C112,[1]Orders!$A$5:$W$1043,8,0)</f>
        <v>Phoebe Gour</v>
      </c>
      <c r="K112" t="str">
        <f>VLOOKUP(C112,[1]Orders!$A$5:$W$1043,9,0)</f>
        <v>High</v>
      </c>
    </row>
    <row r="113" spans="3:11" x14ac:dyDescent="0.25">
      <c r="C113" s="61" t="s">
        <v>205</v>
      </c>
      <c r="D113" t="str">
        <f>VLOOKUP(C113,[1]Orders!$A$5:$W$1043,3,0)</f>
        <v>Sean ODonnell</v>
      </c>
      <c r="E113">
        <f>VLOOKUP(C113,[1]Orders!$A$5:$W$1043,23,0)</f>
        <v>57.639999999999993</v>
      </c>
      <c r="F113" t="str">
        <f>VLOOKUP(C113,[1]Orders!$A$5:$W$1043,5,0)</f>
        <v>Melbourne</v>
      </c>
      <c r="G113" t="str">
        <f>VLOOKUP(C113,[1]Orders!$A$5:$W$1043,5,0)</f>
        <v>Melbourne</v>
      </c>
      <c r="H113" t="str">
        <f>VLOOKUP(C113,[1]Orders!$A$5:$W$1043,6,0)</f>
        <v>VIC</v>
      </c>
      <c r="I113" t="str">
        <f>VLOOKUP(C113,[1]Orders!$A$5:$W$1043,7,0)</f>
        <v>Corporate</v>
      </c>
      <c r="J113" t="str">
        <f>VLOOKUP(C113,[1]Orders!$A$5:$W$1043,8,0)</f>
        <v>Yvette Biti</v>
      </c>
      <c r="K113" t="str">
        <f>VLOOKUP(C113,[1]Orders!$A$5:$W$1043,9,0)</f>
        <v>Critical</v>
      </c>
    </row>
    <row r="114" spans="3:11" x14ac:dyDescent="0.25">
      <c r="C114" s="61" t="s">
        <v>206</v>
      </c>
      <c r="D114" t="str">
        <f>VLOOKUP(C114,[1]Orders!$A$5:$W$1043,3,0)</f>
        <v>Art Foster</v>
      </c>
      <c r="E114">
        <f>VLOOKUP(C114,[1]Orders!$A$5:$W$1043,23,0)</f>
        <v>136.04999999999998</v>
      </c>
      <c r="F114" t="str">
        <f>VLOOKUP(C114,[1]Orders!$A$5:$W$1043,5,0)</f>
        <v>Sydney</v>
      </c>
      <c r="G114" t="str">
        <f>VLOOKUP(C114,[1]Orders!$A$5:$W$1043,5,0)</f>
        <v>Sydney</v>
      </c>
      <c r="H114" t="str">
        <f>VLOOKUP(C114,[1]Orders!$A$5:$W$1043,6,0)</f>
        <v>NSW</v>
      </c>
      <c r="I114" t="str">
        <f>VLOOKUP(C114,[1]Orders!$A$5:$W$1043,7,0)</f>
        <v>Home Office</v>
      </c>
      <c r="J114" t="str">
        <f>VLOOKUP(C114,[1]Orders!$A$5:$W$1043,8,0)</f>
        <v>Stevie Bacata</v>
      </c>
      <c r="K114" t="str">
        <f>VLOOKUP(C114,[1]Orders!$A$5:$W$1043,9,0)</f>
        <v>Critical</v>
      </c>
    </row>
    <row r="115" spans="3:11" x14ac:dyDescent="0.25">
      <c r="C115" s="61" t="s">
        <v>207</v>
      </c>
      <c r="D115" t="str">
        <f>VLOOKUP(C115,[1]Orders!$A$5:$W$1043,3,0)</f>
        <v>Darren Powers</v>
      </c>
      <c r="E115">
        <f>VLOOKUP(C115,[1]Orders!$A$5:$W$1043,23,0)</f>
        <v>43.999999999999993</v>
      </c>
      <c r="F115" t="str">
        <f>VLOOKUP(C115,[1]Orders!$A$5:$W$1043,5,0)</f>
        <v>Melbourne</v>
      </c>
      <c r="G115" t="str">
        <f>VLOOKUP(C115,[1]Orders!$A$5:$W$1043,5,0)</f>
        <v>Melbourne</v>
      </c>
      <c r="H115" t="str">
        <f>VLOOKUP(C115,[1]Orders!$A$5:$W$1043,6,0)</f>
        <v>VIC</v>
      </c>
      <c r="I115" t="str">
        <f>VLOOKUP(C115,[1]Orders!$A$5:$W$1043,7,0)</f>
        <v>Corporate</v>
      </c>
      <c r="J115" t="str">
        <f>VLOOKUP(C115,[1]Orders!$A$5:$W$1043,8,0)</f>
        <v>Connor Betts</v>
      </c>
      <c r="K115" t="str">
        <f>VLOOKUP(C115,[1]Orders!$A$5:$W$1043,9,0)</f>
        <v>Low</v>
      </c>
    </row>
    <row r="116" spans="3:11" x14ac:dyDescent="0.25">
      <c r="C116" s="61" t="s">
        <v>208</v>
      </c>
      <c r="D116" t="str">
        <f>VLOOKUP(C116,[1]Orders!$A$5:$W$1043,3,0)</f>
        <v>Michael Grace</v>
      </c>
      <c r="E116">
        <f>VLOOKUP(C116,[1]Orders!$A$5:$W$1043,23,0)</f>
        <v>171.3</v>
      </c>
      <c r="F116" t="str">
        <f>VLOOKUP(C116,[1]Orders!$A$5:$W$1043,5,0)</f>
        <v>Sydney</v>
      </c>
      <c r="G116" t="str">
        <f>VLOOKUP(C116,[1]Orders!$A$5:$W$1043,5,0)</f>
        <v>Sydney</v>
      </c>
      <c r="H116" t="str">
        <f>VLOOKUP(C116,[1]Orders!$A$5:$W$1043,6,0)</f>
        <v>NSW</v>
      </c>
      <c r="I116" t="str">
        <f>VLOOKUP(C116,[1]Orders!$A$5:$W$1043,7,0)</f>
        <v>Corporate</v>
      </c>
      <c r="J116" t="str">
        <f>VLOOKUP(C116,[1]Orders!$A$5:$W$1043,8,0)</f>
        <v>Natasha Song</v>
      </c>
      <c r="K116" t="str">
        <f>VLOOKUP(C116,[1]Orders!$A$5:$W$1043,9,0)</f>
        <v>Medium</v>
      </c>
    </row>
    <row r="117" spans="3:11" x14ac:dyDescent="0.25">
      <c r="C117" s="61" t="s">
        <v>209</v>
      </c>
      <c r="D117" t="str">
        <f>VLOOKUP(C117,[1]Orders!$A$5:$W$1043,3,0)</f>
        <v>Christina Vanderzanden</v>
      </c>
      <c r="E117">
        <f>VLOOKUP(C117,[1]Orders!$A$5:$W$1043,23,0)</f>
        <v>139.18</v>
      </c>
      <c r="F117" t="str">
        <f>VLOOKUP(C117,[1]Orders!$A$5:$W$1043,5,0)</f>
        <v>Sydney</v>
      </c>
      <c r="G117" t="str">
        <f>VLOOKUP(C117,[1]Orders!$A$5:$W$1043,5,0)</f>
        <v>Sydney</v>
      </c>
      <c r="H117" t="str">
        <f>VLOOKUP(C117,[1]Orders!$A$5:$W$1043,6,0)</f>
        <v>NSW</v>
      </c>
      <c r="I117" t="str">
        <f>VLOOKUP(C117,[1]Orders!$A$5:$W$1043,7,0)</f>
        <v>Small Business</v>
      </c>
      <c r="J117" t="str">
        <f>VLOOKUP(C117,[1]Orders!$A$5:$W$1043,8,0)</f>
        <v>Tina Carlton</v>
      </c>
      <c r="K117" t="str">
        <f>VLOOKUP(C117,[1]Orders!$A$5:$W$1043,9,0)</f>
        <v>Low</v>
      </c>
    </row>
    <row r="118" spans="3:11" x14ac:dyDescent="0.25">
      <c r="C118" s="61" t="s">
        <v>210</v>
      </c>
      <c r="D118" t="str">
        <f>VLOOKUP(C118,[1]Orders!$A$5:$W$1043,3,0)</f>
        <v>Thais Sissman</v>
      </c>
      <c r="E118">
        <f>VLOOKUP(C118,[1]Orders!$A$5:$W$1043,23,0)</f>
        <v>63.910000000000004</v>
      </c>
      <c r="F118" t="str">
        <f>VLOOKUP(C118,[1]Orders!$A$5:$W$1043,5,0)</f>
        <v>Sydney</v>
      </c>
      <c r="G118" t="str">
        <f>VLOOKUP(C118,[1]Orders!$A$5:$W$1043,5,0)</f>
        <v>Sydney</v>
      </c>
      <c r="H118" t="str">
        <f>VLOOKUP(C118,[1]Orders!$A$5:$W$1043,6,0)</f>
        <v>NSW</v>
      </c>
      <c r="I118" t="str">
        <f>VLOOKUP(C118,[1]Orders!$A$5:$W$1043,7,0)</f>
        <v>Small Business</v>
      </c>
      <c r="J118" t="str">
        <f>VLOOKUP(C118,[1]Orders!$A$5:$W$1043,8,0)</f>
        <v>Tina Carlton</v>
      </c>
      <c r="K118" t="str">
        <f>VLOOKUP(C118,[1]Orders!$A$5:$W$1043,9,0)</f>
        <v>Low</v>
      </c>
    </row>
    <row r="119" spans="3:11" x14ac:dyDescent="0.25">
      <c r="C119" s="61" t="s">
        <v>211</v>
      </c>
      <c r="D119" t="str">
        <f>VLOOKUP(C119,[1]Orders!$A$5:$W$1043,3,0)</f>
        <v>Aaron Smayling</v>
      </c>
      <c r="E119">
        <f>VLOOKUP(C119,[1]Orders!$A$5:$W$1043,23,0)</f>
        <v>67.099999999999994</v>
      </c>
      <c r="F119" t="str">
        <f>VLOOKUP(C119,[1]Orders!$A$5:$W$1043,5,0)</f>
        <v>Sydney</v>
      </c>
      <c r="G119" t="str">
        <f>VLOOKUP(C119,[1]Orders!$A$5:$W$1043,5,0)</f>
        <v>Sydney</v>
      </c>
      <c r="H119" t="str">
        <f>VLOOKUP(C119,[1]Orders!$A$5:$W$1043,6,0)</f>
        <v>NSW</v>
      </c>
      <c r="I119" t="str">
        <f>VLOOKUP(C119,[1]Orders!$A$5:$W$1043,7,0)</f>
        <v>Small Business</v>
      </c>
      <c r="J119" t="str">
        <f>VLOOKUP(C119,[1]Orders!$A$5:$W$1043,8,0)</f>
        <v>Nicholas Fernandes</v>
      </c>
      <c r="K119" t="str">
        <f>VLOOKUP(C119,[1]Orders!$A$5:$W$1043,9,0)</f>
        <v>High</v>
      </c>
    </row>
    <row r="120" spans="3:11" x14ac:dyDescent="0.25">
      <c r="C120" s="61" t="s">
        <v>212</v>
      </c>
      <c r="D120" t="str">
        <f>VLOOKUP(C120,[1]Orders!$A$5:$W$1043,3,0)</f>
        <v>Mick Brown</v>
      </c>
      <c r="E120">
        <f>VLOOKUP(C120,[1]Orders!$A$5:$W$1043,23,0)</f>
        <v>4805.1900000000005</v>
      </c>
      <c r="F120" t="str">
        <f>VLOOKUP(C120,[1]Orders!$A$5:$W$1043,5,0)</f>
        <v>Sydney</v>
      </c>
      <c r="G120" t="str">
        <f>VLOOKUP(C120,[1]Orders!$A$5:$W$1043,5,0)</f>
        <v>Sydney</v>
      </c>
      <c r="H120" t="str">
        <f>VLOOKUP(C120,[1]Orders!$A$5:$W$1043,6,0)</f>
        <v>NSW</v>
      </c>
      <c r="I120" t="str">
        <f>VLOOKUP(C120,[1]Orders!$A$5:$W$1043,7,0)</f>
        <v>Consumer</v>
      </c>
      <c r="J120" t="str">
        <f>VLOOKUP(C120,[1]Orders!$A$5:$W$1043,8,0)</f>
        <v>Aanya Zhang</v>
      </c>
      <c r="K120" t="str">
        <f>VLOOKUP(C120,[1]Orders!$A$5:$W$1043,9,0)</f>
        <v>Not Specified</v>
      </c>
    </row>
    <row r="121" spans="3:11" x14ac:dyDescent="0.25">
      <c r="C121" s="61" t="s">
        <v>213</v>
      </c>
      <c r="D121" t="str">
        <f>VLOOKUP(C121,[1]Orders!$A$5:$W$1043,3,0)</f>
        <v>Edward Becker</v>
      </c>
      <c r="E121">
        <f>VLOOKUP(C121,[1]Orders!$A$5:$W$1043,23,0)</f>
        <v>324.34999999999997</v>
      </c>
      <c r="F121" t="str">
        <f>VLOOKUP(C121,[1]Orders!$A$5:$W$1043,5,0)</f>
        <v>Sydney</v>
      </c>
      <c r="G121" t="str">
        <f>VLOOKUP(C121,[1]Orders!$A$5:$W$1043,5,0)</f>
        <v>Sydney</v>
      </c>
      <c r="H121" t="str">
        <f>VLOOKUP(C121,[1]Orders!$A$5:$W$1043,6,0)</f>
        <v>NSW</v>
      </c>
      <c r="I121" t="str">
        <f>VLOOKUP(C121,[1]Orders!$A$5:$W$1043,7,0)</f>
        <v>Home Office</v>
      </c>
      <c r="J121" t="str">
        <f>VLOOKUP(C121,[1]Orders!$A$5:$W$1043,8,0)</f>
        <v>Samantha Chairs</v>
      </c>
      <c r="K121" t="str">
        <f>VLOOKUP(C121,[1]Orders!$A$5:$W$1043,9,0)</f>
        <v>Low</v>
      </c>
    </row>
    <row r="122" spans="3:11" x14ac:dyDescent="0.25">
      <c r="C122" s="61" t="s">
        <v>214</v>
      </c>
      <c r="D122" t="str">
        <f>VLOOKUP(C122,[1]Orders!$A$5:$W$1043,3,0)</f>
        <v>Erica Smith</v>
      </c>
      <c r="E122">
        <f>VLOOKUP(C122,[1]Orders!$A$5:$W$1043,23,0)</f>
        <v>137.64999999999998</v>
      </c>
      <c r="F122" t="str">
        <f>VLOOKUP(C122,[1]Orders!$A$5:$W$1043,5,0)</f>
        <v>Sydney</v>
      </c>
      <c r="G122" t="str">
        <f>VLOOKUP(C122,[1]Orders!$A$5:$W$1043,5,0)</f>
        <v>Sydney</v>
      </c>
      <c r="H122" t="str">
        <f>VLOOKUP(C122,[1]Orders!$A$5:$W$1043,6,0)</f>
        <v>NSW</v>
      </c>
      <c r="I122" t="str">
        <f>VLOOKUP(C122,[1]Orders!$A$5:$W$1043,7,0)</f>
        <v>Small Business</v>
      </c>
      <c r="J122" t="str">
        <f>VLOOKUP(C122,[1]Orders!$A$5:$W$1043,8,0)</f>
        <v>Tina Carlton</v>
      </c>
      <c r="K122" t="str">
        <f>VLOOKUP(C122,[1]Orders!$A$5:$W$1043,9,0)</f>
        <v>Medium</v>
      </c>
    </row>
    <row r="123" spans="3:11" x14ac:dyDescent="0.25">
      <c r="C123" s="61" t="s">
        <v>215</v>
      </c>
      <c r="D123" t="str">
        <f>VLOOKUP(C123,[1]Orders!$A$5:$W$1043,3,0)</f>
        <v>Justin Knight</v>
      </c>
      <c r="E123">
        <f>VLOOKUP(C123,[1]Orders!$A$5:$W$1043,23,0)</f>
        <v>10.860000000000001</v>
      </c>
      <c r="F123" t="str">
        <f>VLOOKUP(C123,[1]Orders!$A$5:$W$1043,5,0)</f>
        <v>Sydney</v>
      </c>
      <c r="G123" t="str">
        <f>VLOOKUP(C123,[1]Orders!$A$5:$W$1043,5,0)</f>
        <v>Sydney</v>
      </c>
      <c r="H123" t="str">
        <f>VLOOKUP(C123,[1]Orders!$A$5:$W$1043,6,0)</f>
        <v>NSW</v>
      </c>
      <c r="I123" t="str">
        <f>VLOOKUP(C123,[1]Orders!$A$5:$W$1043,7,0)</f>
        <v>Corporate</v>
      </c>
      <c r="J123" t="str">
        <f>VLOOKUP(C123,[1]Orders!$A$5:$W$1043,8,0)</f>
        <v>Nicholas Fernandes</v>
      </c>
      <c r="K123" t="str">
        <f>VLOOKUP(C123,[1]Orders!$A$5:$W$1043,9,0)</f>
        <v>Not Specified</v>
      </c>
    </row>
    <row r="124" spans="3:11" x14ac:dyDescent="0.25">
      <c r="C124" s="61" t="s">
        <v>216</v>
      </c>
      <c r="D124" t="str">
        <f>VLOOKUP(C124,[1]Orders!$A$5:$W$1043,3,0)</f>
        <v>Craig Carroll</v>
      </c>
      <c r="E124">
        <f>VLOOKUP(C124,[1]Orders!$A$5:$W$1043,23,0)</f>
        <v>315.72999999999996</v>
      </c>
      <c r="F124" t="str">
        <f>VLOOKUP(C124,[1]Orders!$A$5:$W$1043,5,0)</f>
        <v>Melbourne</v>
      </c>
      <c r="G124" t="str">
        <f>VLOOKUP(C124,[1]Orders!$A$5:$W$1043,5,0)</f>
        <v>Melbourne</v>
      </c>
      <c r="H124" t="str">
        <f>VLOOKUP(C124,[1]Orders!$A$5:$W$1043,6,0)</f>
        <v>VIC</v>
      </c>
      <c r="I124" t="str">
        <f>VLOOKUP(C124,[1]Orders!$A$5:$W$1043,7,0)</f>
        <v>Corporate</v>
      </c>
      <c r="J124" t="str">
        <f>VLOOKUP(C124,[1]Orders!$A$5:$W$1043,8,0)</f>
        <v>Connor Betts</v>
      </c>
      <c r="K124" t="str">
        <f>VLOOKUP(C124,[1]Orders!$A$5:$W$1043,9,0)</f>
        <v>Not Specified</v>
      </c>
    </row>
    <row r="125" spans="3:11" x14ac:dyDescent="0.25">
      <c r="C125" s="61" t="s">
        <v>217</v>
      </c>
      <c r="D125" t="str">
        <f>VLOOKUP(C125,[1]Orders!$A$5:$W$1043,3,0)</f>
        <v>Laura Armstrong</v>
      </c>
      <c r="E125">
        <f>VLOOKUP(C125,[1]Orders!$A$5:$W$1043,23,0)</f>
        <v>125.28999999999999</v>
      </c>
      <c r="F125" t="str">
        <f>VLOOKUP(C125,[1]Orders!$A$5:$W$1043,5,0)</f>
        <v>Melbourne</v>
      </c>
      <c r="G125" t="str">
        <f>VLOOKUP(C125,[1]Orders!$A$5:$W$1043,5,0)</f>
        <v>Melbourne</v>
      </c>
      <c r="H125" t="str">
        <f>VLOOKUP(C125,[1]Orders!$A$5:$W$1043,6,0)</f>
        <v>VIC</v>
      </c>
      <c r="I125" t="str">
        <f>VLOOKUP(C125,[1]Orders!$A$5:$W$1043,7,0)</f>
        <v>Small Business</v>
      </c>
      <c r="J125" t="str">
        <f>VLOOKUP(C125,[1]Orders!$A$5:$W$1043,8,0)</f>
        <v>Connor Betts</v>
      </c>
      <c r="K125" t="str">
        <f>VLOOKUP(C125,[1]Orders!$A$5:$W$1043,9,0)</f>
        <v>Not Specified</v>
      </c>
    </row>
    <row r="126" spans="3:11" x14ac:dyDescent="0.25">
      <c r="C126" s="61" t="s">
        <v>218</v>
      </c>
      <c r="D126" t="str">
        <f>VLOOKUP(C126,[1]Orders!$A$5:$W$1043,3,0)</f>
        <v>Thomas Boland</v>
      </c>
      <c r="E126">
        <f>VLOOKUP(C126,[1]Orders!$A$5:$W$1043,23,0)</f>
        <v>403.60999999999996</v>
      </c>
      <c r="F126" t="str">
        <f>VLOOKUP(C126,[1]Orders!$A$5:$W$1043,5,0)</f>
        <v>Sydney</v>
      </c>
      <c r="G126" t="str">
        <f>VLOOKUP(C126,[1]Orders!$A$5:$W$1043,5,0)</f>
        <v>Sydney</v>
      </c>
      <c r="H126" t="str">
        <f>VLOOKUP(C126,[1]Orders!$A$5:$W$1043,6,0)</f>
        <v>NSW</v>
      </c>
      <c r="I126" t="str">
        <f>VLOOKUP(C126,[1]Orders!$A$5:$W$1043,7,0)</f>
        <v>Corporate</v>
      </c>
      <c r="J126" t="str">
        <f>VLOOKUP(C126,[1]Orders!$A$5:$W$1043,8,0)</f>
        <v>Mihael Khan</v>
      </c>
      <c r="K126" t="str">
        <f>VLOOKUP(C126,[1]Orders!$A$5:$W$1043,9,0)</f>
        <v>Critical</v>
      </c>
    </row>
    <row r="127" spans="3:11" x14ac:dyDescent="0.25">
      <c r="C127" s="61" t="s">
        <v>219</v>
      </c>
      <c r="D127" t="str">
        <f>VLOOKUP(C127,[1]Orders!$A$5:$W$1043,3,0)</f>
        <v>Noah Childs</v>
      </c>
      <c r="E127">
        <f>VLOOKUP(C127,[1]Orders!$A$5:$W$1043,23,0)</f>
        <v>362.47</v>
      </c>
      <c r="F127" t="str">
        <f>VLOOKUP(C127,[1]Orders!$A$5:$W$1043,5,0)</f>
        <v>Sydney</v>
      </c>
      <c r="G127" t="str">
        <f>VLOOKUP(C127,[1]Orders!$A$5:$W$1043,5,0)</f>
        <v>Sydney</v>
      </c>
      <c r="H127" t="str">
        <f>VLOOKUP(C127,[1]Orders!$A$5:$W$1043,6,0)</f>
        <v>NSW</v>
      </c>
      <c r="I127" t="str">
        <f>VLOOKUP(C127,[1]Orders!$A$5:$W$1043,7,0)</f>
        <v>Home Office</v>
      </c>
      <c r="J127" t="str">
        <f>VLOOKUP(C127,[1]Orders!$A$5:$W$1043,8,0)</f>
        <v>Phoebe Gour</v>
      </c>
      <c r="K127" t="str">
        <f>VLOOKUP(C127,[1]Orders!$A$5:$W$1043,9,0)</f>
        <v>High</v>
      </c>
    </row>
    <row r="128" spans="3:11" x14ac:dyDescent="0.25">
      <c r="C128" s="61" t="s">
        <v>220</v>
      </c>
      <c r="D128" t="str">
        <f>VLOOKUP(C128,[1]Orders!$A$5:$W$1043,3,0)</f>
        <v>Rob Haberlin</v>
      </c>
      <c r="E128">
        <f>VLOOKUP(C128,[1]Orders!$A$5:$W$1043,23,0)</f>
        <v>23.93</v>
      </c>
      <c r="F128" t="str">
        <f>VLOOKUP(C128,[1]Orders!$A$5:$W$1043,5,0)</f>
        <v>Melbourne</v>
      </c>
      <c r="G128" t="str">
        <f>VLOOKUP(C128,[1]Orders!$A$5:$W$1043,5,0)</f>
        <v>Melbourne</v>
      </c>
      <c r="H128" t="str">
        <f>VLOOKUP(C128,[1]Orders!$A$5:$W$1043,6,0)</f>
        <v>VIC</v>
      </c>
      <c r="I128" t="str">
        <f>VLOOKUP(C128,[1]Orders!$A$5:$W$1043,7,0)</f>
        <v>Corporate</v>
      </c>
      <c r="J128" t="str">
        <f>VLOOKUP(C128,[1]Orders!$A$5:$W$1043,8,0)</f>
        <v>Connor Betts</v>
      </c>
      <c r="K128" t="str">
        <f>VLOOKUP(C128,[1]Orders!$A$5:$W$1043,9,0)</f>
        <v>Medium</v>
      </c>
    </row>
    <row r="129" spans="3:11" x14ac:dyDescent="0.25">
      <c r="C129" s="61" t="s">
        <v>221</v>
      </c>
      <c r="D129" t="str">
        <f>VLOOKUP(C129,[1]Orders!$A$5:$W$1043,3,0)</f>
        <v>Barry Weirich</v>
      </c>
      <c r="E129">
        <f>VLOOKUP(C129,[1]Orders!$A$5:$W$1043,23,0)</f>
        <v>143.85000000000002</v>
      </c>
      <c r="F129" t="str">
        <f>VLOOKUP(C129,[1]Orders!$A$5:$W$1043,5,0)</f>
        <v>Sydney</v>
      </c>
      <c r="G129" t="str">
        <f>VLOOKUP(C129,[1]Orders!$A$5:$W$1043,5,0)</f>
        <v>Sydney</v>
      </c>
      <c r="H129" t="str">
        <f>VLOOKUP(C129,[1]Orders!$A$5:$W$1043,6,0)</f>
        <v>NSW</v>
      </c>
      <c r="I129" t="str">
        <f>VLOOKUP(C129,[1]Orders!$A$5:$W$1043,7,0)</f>
        <v>Corporate</v>
      </c>
      <c r="J129" t="str">
        <f>VLOOKUP(C129,[1]Orders!$A$5:$W$1043,8,0)</f>
        <v>Charlie Bui</v>
      </c>
      <c r="K129" t="str">
        <f>VLOOKUP(C129,[1]Orders!$A$5:$W$1043,9,0)</f>
        <v>Medium</v>
      </c>
    </row>
    <row r="130" spans="3:11" x14ac:dyDescent="0.25">
      <c r="C130" s="61" t="s">
        <v>222</v>
      </c>
      <c r="D130" t="str">
        <f>VLOOKUP(C130,[1]Orders!$A$5:$W$1043,3,0)</f>
        <v>Kelly Williams</v>
      </c>
      <c r="E130">
        <f>VLOOKUP(C130,[1]Orders!$A$5:$W$1043,23,0)</f>
        <v>2443.58</v>
      </c>
      <c r="F130" t="str">
        <f>VLOOKUP(C130,[1]Orders!$A$5:$W$1043,5,0)</f>
        <v>Melbourne</v>
      </c>
      <c r="G130" t="str">
        <f>VLOOKUP(C130,[1]Orders!$A$5:$W$1043,5,0)</f>
        <v>Melbourne</v>
      </c>
      <c r="H130" t="str">
        <f>VLOOKUP(C130,[1]Orders!$A$5:$W$1043,6,0)</f>
        <v>VIC</v>
      </c>
      <c r="I130" t="str">
        <f>VLOOKUP(C130,[1]Orders!$A$5:$W$1043,7,0)</f>
        <v>Corporate</v>
      </c>
      <c r="J130" t="str">
        <f>VLOOKUP(C130,[1]Orders!$A$5:$W$1043,8,0)</f>
        <v>Yvette Biti</v>
      </c>
      <c r="K130" t="str">
        <f>VLOOKUP(C130,[1]Orders!$A$5:$W$1043,9,0)</f>
        <v>Medium</v>
      </c>
    </row>
    <row r="131" spans="3:11" x14ac:dyDescent="0.25">
      <c r="C131" s="61" t="s">
        <v>223</v>
      </c>
      <c r="D131" t="str">
        <f>VLOOKUP(C131,[1]Orders!$A$5:$W$1043,3,0)</f>
        <v>Jack OBriant</v>
      </c>
      <c r="E131">
        <f>VLOOKUP(C131,[1]Orders!$A$5:$W$1043,23,0)</f>
        <v>337.88000000000005</v>
      </c>
      <c r="F131" t="str">
        <f>VLOOKUP(C131,[1]Orders!$A$5:$W$1043,5,0)</f>
        <v>Sydney</v>
      </c>
      <c r="G131" t="str">
        <f>VLOOKUP(C131,[1]Orders!$A$5:$W$1043,5,0)</f>
        <v>Sydney</v>
      </c>
      <c r="H131" t="str">
        <f>VLOOKUP(C131,[1]Orders!$A$5:$W$1043,6,0)</f>
        <v>NSW</v>
      </c>
      <c r="I131" t="str">
        <f>VLOOKUP(C131,[1]Orders!$A$5:$W$1043,7,0)</f>
        <v>Small Business</v>
      </c>
      <c r="J131" t="str">
        <f>VLOOKUP(C131,[1]Orders!$A$5:$W$1043,8,0)</f>
        <v>Mihael Khan</v>
      </c>
      <c r="K131" t="str">
        <f>VLOOKUP(C131,[1]Orders!$A$5:$W$1043,9,0)</f>
        <v>Not Specified</v>
      </c>
    </row>
    <row r="132" spans="3:11" x14ac:dyDescent="0.25">
      <c r="C132" s="61" t="s">
        <v>224</v>
      </c>
      <c r="D132" t="str">
        <f>VLOOKUP(C132,[1]Orders!$A$5:$W$1043,3,0)</f>
        <v>Pamela Stobb</v>
      </c>
      <c r="E132">
        <f>VLOOKUP(C132,[1]Orders!$A$5:$W$1043,23,0)</f>
        <v>627.13</v>
      </c>
      <c r="F132" t="str">
        <f>VLOOKUP(C132,[1]Orders!$A$5:$W$1043,5,0)</f>
        <v>Sydney</v>
      </c>
      <c r="G132" t="str">
        <f>VLOOKUP(C132,[1]Orders!$A$5:$W$1043,5,0)</f>
        <v>Sydney</v>
      </c>
      <c r="H132" t="str">
        <f>VLOOKUP(C132,[1]Orders!$A$5:$W$1043,6,0)</f>
        <v>NSW</v>
      </c>
      <c r="I132" t="str">
        <f>VLOOKUP(C132,[1]Orders!$A$5:$W$1043,7,0)</f>
        <v>Consumer</v>
      </c>
      <c r="J132" t="str">
        <f>VLOOKUP(C132,[1]Orders!$A$5:$W$1043,8,0)</f>
        <v>Leighton Forrest</v>
      </c>
      <c r="K132" t="str">
        <f>VLOOKUP(C132,[1]Orders!$A$5:$W$1043,9,0)</f>
        <v>Not Specified</v>
      </c>
    </row>
    <row r="133" spans="3:11" x14ac:dyDescent="0.25">
      <c r="C133" s="61" t="s">
        <v>225</v>
      </c>
      <c r="D133" t="str">
        <f>VLOOKUP(C133,[1]Orders!$A$5:$W$1043,3,0)</f>
        <v>William Brown</v>
      </c>
      <c r="E133">
        <f>VLOOKUP(C133,[1]Orders!$A$5:$W$1043,23,0)</f>
        <v>89.550000000000011</v>
      </c>
      <c r="F133" t="str">
        <f>VLOOKUP(C133,[1]Orders!$A$5:$W$1043,5,0)</f>
        <v>Melbourne</v>
      </c>
      <c r="G133" t="str">
        <f>VLOOKUP(C133,[1]Orders!$A$5:$W$1043,5,0)</f>
        <v>Melbourne</v>
      </c>
      <c r="H133" t="str">
        <f>VLOOKUP(C133,[1]Orders!$A$5:$W$1043,6,0)</f>
        <v>VIC</v>
      </c>
      <c r="I133" t="str">
        <f>VLOOKUP(C133,[1]Orders!$A$5:$W$1043,7,0)</f>
        <v>Corporate</v>
      </c>
      <c r="J133" t="str">
        <f>VLOOKUP(C133,[1]Orders!$A$5:$W$1043,8,0)</f>
        <v>Yvette Biti</v>
      </c>
      <c r="K133" t="str">
        <f>VLOOKUP(C133,[1]Orders!$A$5:$W$1043,9,0)</f>
        <v>Not Specified</v>
      </c>
    </row>
    <row r="134" spans="3:11" x14ac:dyDescent="0.25">
      <c r="C134" s="61" t="s">
        <v>226</v>
      </c>
      <c r="D134" t="str">
        <f>VLOOKUP(C134,[1]Orders!$A$5:$W$1043,3,0)</f>
        <v>Nat Carroll</v>
      </c>
      <c r="E134">
        <f>VLOOKUP(C134,[1]Orders!$A$5:$W$1043,23,0)</f>
        <v>602.65</v>
      </c>
      <c r="F134" t="str">
        <f>VLOOKUP(C134,[1]Orders!$A$5:$W$1043,5,0)</f>
        <v>Melbourne</v>
      </c>
      <c r="G134" t="str">
        <f>VLOOKUP(C134,[1]Orders!$A$5:$W$1043,5,0)</f>
        <v>Melbourne</v>
      </c>
      <c r="H134" t="str">
        <f>VLOOKUP(C134,[1]Orders!$A$5:$W$1043,6,0)</f>
        <v>VIC</v>
      </c>
      <c r="I134" t="str">
        <f>VLOOKUP(C134,[1]Orders!$A$5:$W$1043,7,0)</f>
        <v>Home Office</v>
      </c>
      <c r="J134" t="str">
        <f>VLOOKUP(C134,[1]Orders!$A$5:$W$1043,8,0)</f>
        <v>Yvette Biti</v>
      </c>
      <c r="K134" t="str">
        <f>VLOOKUP(C134,[1]Orders!$A$5:$W$1043,9,0)</f>
        <v>Not Specified</v>
      </c>
    </row>
    <row r="135" spans="3:11" x14ac:dyDescent="0.25">
      <c r="C135" s="61" t="s">
        <v>227</v>
      </c>
      <c r="D135" t="str">
        <f>VLOOKUP(C135,[1]Orders!$A$5:$W$1043,3,0)</f>
        <v>Troy Staebel</v>
      </c>
      <c r="E135">
        <f>VLOOKUP(C135,[1]Orders!$A$5:$W$1043,23,0)</f>
        <v>1377.14</v>
      </c>
      <c r="F135" t="str">
        <f>VLOOKUP(C135,[1]Orders!$A$5:$W$1043,5,0)</f>
        <v>Sydney</v>
      </c>
      <c r="G135" t="str">
        <f>VLOOKUP(C135,[1]Orders!$A$5:$W$1043,5,0)</f>
        <v>Sydney</v>
      </c>
      <c r="H135" t="str">
        <f>VLOOKUP(C135,[1]Orders!$A$5:$W$1043,6,0)</f>
        <v>NSW</v>
      </c>
      <c r="I135" t="str">
        <f>VLOOKUP(C135,[1]Orders!$A$5:$W$1043,7,0)</f>
        <v>Small Business</v>
      </c>
      <c r="J135" t="str">
        <f>VLOOKUP(C135,[1]Orders!$A$5:$W$1043,8,0)</f>
        <v>Aanya Zhang</v>
      </c>
      <c r="K135" t="str">
        <f>VLOOKUP(C135,[1]Orders!$A$5:$W$1043,9,0)</f>
        <v>Critical</v>
      </c>
    </row>
    <row r="136" spans="3:11" x14ac:dyDescent="0.25">
      <c r="C136" s="61" t="s">
        <v>228</v>
      </c>
      <c r="D136" t="str">
        <f>VLOOKUP(C136,[1]Orders!$A$5:$W$1043,3,0)</f>
        <v>Dario Medina</v>
      </c>
      <c r="E136">
        <f>VLOOKUP(C136,[1]Orders!$A$5:$W$1043,23,0)</f>
        <v>114.92</v>
      </c>
      <c r="F136" t="str">
        <f>VLOOKUP(C136,[1]Orders!$A$5:$W$1043,5,0)</f>
        <v>Sydney</v>
      </c>
      <c r="G136" t="str">
        <f>VLOOKUP(C136,[1]Orders!$A$5:$W$1043,5,0)</f>
        <v>Sydney</v>
      </c>
      <c r="H136" t="str">
        <f>VLOOKUP(C136,[1]Orders!$A$5:$W$1043,6,0)</f>
        <v>NSW</v>
      </c>
      <c r="I136" t="str">
        <f>VLOOKUP(C136,[1]Orders!$A$5:$W$1043,7,0)</f>
        <v>Small Business</v>
      </c>
      <c r="J136" t="str">
        <f>VLOOKUP(C136,[1]Orders!$A$5:$W$1043,8,0)</f>
        <v>Charlie Bui</v>
      </c>
      <c r="K136" t="str">
        <f>VLOOKUP(C136,[1]Orders!$A$5:$W$1043,9,0)</f>
        <v>Critical</v>
      </c>
    </row>
    <row r="137" spans="3:11" x14ac:dyDescent="0.25">
      <c r="C137" s="61" t="s">
        <v>229</v>
      </c>
      <c r="D137" t="str">
        <f>VLOOKUP(C137,[1]Orders!$A$5:$W$1043,3,0)</f>
        <v>Lynn Smith</v>
      </c>
      <c r="E137">
        <f>VLOOKUP(C137,[1]Orders!$A$5:$W$1043,23,0)</f>
        <v>275.3</v>
      </c>
      <c r="F137" t="str">
        <f>VLOOKUP(C137,[1]Orders!$A$5:$W$1043,5,0)</f>
        <v>Sydney</v>
      </c>
      <c r="G137" t="str">
        <f>VLOOKUP(C137,[1]Orders!$A$5:$W$1043,5,0)</f>
        <v>Sydney</v>
      </c>
      <c r="H137" t="str">
        <f>VLOOKUP(C137,[1]Orders!$A$5:$W$1043,6,0)</f>
        <v>NSW</v>
      </c>
      <c r="I137" t="str">
        <f>VLOOKUP(C137,[1]Orders!$A$5:$W$1043,7,0)</f>
        <v>Corporate</v>
      </c>
      <c r="J137" t="str">
        <f>VLOOKUP(C137,[1]Orders!$A$5:$W$1043,8,0)</f>
        <v>Samantha Chairs</v>
      </c>
      <c r="K137" t="str">
        <f>VLOOKUP(C137,[1]Orders!$A$5:$W$1043,9,0)</f>
        <v>Critical</v>
      </c>
    </row>
    <row r="138" spans="3:11" x14ac:dyDescent="0.25">
      <c r="C138" s="61" t="s">
        <v>230</v>
      </c>
      <c r="D138" t="str">
        <f>VLOOKUP(C138,[1]Orders!$A$5:$W$1043,3,0)</f>
        <v>Dave Kipp</v>
      </c>
      <c r="E138">
        <f>VLOOKUP(C138,[1]Orders!$A$5:$W$1043,23,0)</f>
        <v>547.22</v>
      </c>
      <c r="F138" t="str">
        <f>VLOOKUP(C138,[1]Orders!$A$5:$W$1043,5,0)</f>
        <v>Melbourne</v>
      </c>
      <c r="G138" t="str">
        <f>VLOOKUP(C138,[1]Orders!$A$5:$W$1043,5,0)</f>
        <v>Melbourne</v>
      </c>
      <c r="H138" t="str">
        <f>VLOOKUP(C138,[1]Orders!$A$5:$W$1043,6,0)</f>
        <v>VIC</v>
      </c>
      <c r="I138" t="str">
        <f>VLOOKUP(C138,[1]Orders!$A$5:$W$1043,7,0)</f>
        <v>Corporate</v>
      </c>
      <c r="J138" t="str">
        <f>VLOOKUP(C138,[1]Orders!$A$5:$W$1043,8,0)</f>
        <v>Yvette Biti</v>
      </c>
      <c r="K138" t="str">
        <f>VLOOKUP(C138,[1]Orders!$A$5:$W$1043,9,0)</f>
        <v>Low</v>
      </c>
    </row>
    <row r="139" spans="3:11" x14ac:dyDescent="0.25">
      <c r="C139" s="61" t="s">
        <v>231</v>
      </c>
      <c r="D139" t="str">
        <f>VLOOKUP(C139,[1]Orders!$A$5:$W$1043,3,0)</f>
        <v>Grant Carroll</v>
      </c>
      <c r="E139">
        <f>VLOOKUP(C139,[1]Orders!$A$5:$W$1043,23,0)</f>
        <v>221.19</v>
      </c>
      <c r="F139" t="str">
        <f>VLOOKUP(C139,[1]Orders!$A$5:$W$1043,5,0)</f>
        <v>Sydney</v>
      </c>
      <c r="G139" t="str">
        <f>VLOOKUP(C139,[1]Orders!$A$5:$W$1043,5,0)</f>
        <v>Sydney</v>
      </c>
      <c r="H139" t="str">
        <f>VLOOKUP(C139,[1]Orders!$A$5:$W$1043,6,0)</f>
        <v>NSW</v>
      </c>
      <c r="I139" t="str">
        <f>VLOOKUP(C139,[1]Orders!$A$5:$W$1043,7,0)</f>
        <v>Small Business</v>
      </c>
      <c r="J139" t="str">
        <f>VLOOKUP(C139,[1]Orders!$A$5:$W$1043,8,0)</f>
        <v>Aanya Zhang</v>
      </c>
      <c r="K139" t="str">
        <f>VLOOKUP(C139,[1]Orders!$A$5:$W$1043,9,0)</f>
        <v>Not Specified</v>
      </c>
    </row>
    <row r="140" spans="3:11" x14ac:dyDescent="0.25">
      <c r="C140" s="61" t="s">
        <v>232</v>
      </c>
      <c r="D140" t="str">
        <f>VLOOKUP(C140,[1]Orders!$A$5:$W$1043,3,0)</f>
        <v>Liz Pelletier</v>
      </c>
      <c r="E140">
        <f>VLOOKUP(C140,[1]Orders!$A$5:$W$1043,23,0)</f>
        <v>172.64</v>
      </c>
      <c r="F140" t="str">
        <f>VLOOKUP(C140,[1]Orders!$A$5:$W$1043,5,0)</f>
        <v>Sydney</v>
      </c>
      <c r="G140" t="str">
        <f>VLOOKUP(C140,[1]Orders!$A$5:$W$1043,5,0)</f>
        <v>Sydney</v>
      </c>
      <c r="H140" t="str">
        <f>VLOOKUP(C140,[1]Orders!$A$5:$W$1043,6,0)</f>
        <v>NSW</v>
      </c>
      <c r="I140" t="str">
        <f>VLOOKUP(C140,[1]Orders!$A$5:$W$1043,7,0)</f>
        <v>Home Office</v>
      </c>
      <c r="J140" t="str">
        <f>VLOOKUP(C140,[1]Orders!$A$5:$W$1043,8,0)</f>
        <v>Aanya Zhang</v>
      </c>
      <c r="K140" t="str">
        <f>VLOOKUP(C140,[1]Orders!$A$5:$W$1043,9,0)</f>
        <v>Critical</v>
      </c>
    </row>
    <row r="141" spans="3:11" x14ac:dyDescent="0.25">
      <c r="C141" s="61" t="s">
        <v>233</v>
      </c>
      <c r="D141" t="str">
        <f>VLOOKUP(C141,[1]Orders!$A$5:$W$1043,3,0)</f>
        <v>Thea Hudgings</v>
      </c>
      <c r="E141">
        <f>VLOOKUP(C141,[1]Orders!$A$5:$W$1043,23,0)</f>
        <v>31.18</v>
      </c>
      <c r="F141" t="str">
        <f>VLOOKUP(C141,[1]Orders!$A$5:$W$1043,5,0)</f>
        <v>Melbourne</v>
      </c>
      <c r="G141" t="str">
        <f>VLOOKUP(C141,[1]Orders!$A$5:$W$1043,5,0)</f>
        <v>Melbourne</v>
      </c>
      <c r="H141" t="str">
        <f>VLOOKUP(C141,[1]Orders!$A$5:$W$1043,6,0)</f>
        <v>VIC</v>
      </c>
      <c r="I141" t="str">
        <f>VLOOKUP(C141,[1]Orders!$A$5:$W$1043,7,0)</f>
        <v>Consumer</v>
      </c>
      <c r="J141" t="str">
        <f>VLOOKUP(C141,[1]Orders!$A$5:$W$1043,8,0)</f>
        <v>Connor Betts</v>
      </c>
      <c r="K141" t="str">
        <f>VLOOKUP(C141,[1]Orders!$A$5:$W$1043,9,0)</f>
        <v>Critical</v>
      </c>
    </row>
    <row r="142" spans="3:11" x14ac:dyDescent="0.25">
      <c r="C142" s="61" t="s">
        <v>234</v>
      </c>
      <c r="D142" t="str">
        <f>VLOOKUP(C142,[1]Orders!$A$5:$W$1043,3,0)</f>
        <v>Thomas Boland</v>
      </c>
      <c r="E142">
        <f>VLOOKUP(C142,[1]Orders!$A$5:$W$1043,23,0)</f>
        <v>1521.63</v>
      </c>
      <c r="F142" t="str">
        <f>VLOOKUP(C142,[1]Orders!$A$5:$W$1043,5,0)</f>
        <v>Sydney</v>
      </c>
      <c r="G142" t="str">
        <f>VLOOKUP(C142,[1]Orders!$A$5:$W$1043,5,0)</f>
        <v>Sydney</v>
      </c>
      <c r="H142" t="str">
        <f>VLOOKUP(C142,[1]Orders!$A$5:$W$1043,6,0)</f>
        <v>NSW</v>
      </c>
      <c r="I142" t="str">
        <f>VLOOKUP(C142,[1]Orders!$A$5:$W$1043,7,0)</f>
        <v>Corporate</v>
      </c>
      <c r="J142" t="str">
        <f>VLOOKUP(C142,[1]Orders!$A$5:$W$1043,8,0)</f>
        <v>Mihael Khan</v>
      </c>
      <c r="K142" t="str">
        <f>VLOOKUP(C142,[1]Orders!$A$5:$W$1043,9,0)</f>
        <v>Not Specified</v>
      </c>
    </row>
    <row r="143" spans="3:11" x14ac:dyDescent="0.25">
      <c r="C143" s="61" t="s">
        <v>235</v>
      </c>
      <c r="D143" t="str">
        <f>VLOOKUP(C143,[1]Orders!$A$5:$W$1043,3,0)</f>
        <v>Alex Russell</v>
      </c>
      <c r="E143">
        <f>VLOOKUP(C143,[1]Orders!$A$5:$W$1043,23,0)</f>
        <v>77.209999999999994</v>
      </c>
      <c r="F143" t="str">
        <f>VLOOKUP(C143,[1]Orders!$A$5:$W$1043,5,0)</f>
        <v>Melbourne</v>
      </c>
      <c r="G143" t="str">
        <f>VLOOKUP(C143,[1]Orders!$A$5:$W$1043,5,0)</f>
        <v>Melbourne</v>
      </c>
      <c r="H143" t="str">
        <f>VLOOKUP(C143,[1]Orders!$A$5:$W$1043,6,0)</f>
        <v>VIC</v>
      </c>
      <c r="I143" t="str">
        <f>VLOOKUP(C143,[1]Orders!$A$5:$W$1043,7,0)</f>
        <v>Home Office</v>
      </c>
      <c r="J143" t="str">
        <f>VLOOKUP(C143,[1]Orders!$A$5:$W$1043,8,0)</f>
        <v>Connor Betts</v>
      </c>
      <c r="K143" t="str">
        <f>VLOOKUP(C143,[1]Orders!$A$5:$W$1043,9,0)</f>
        <v>Medium</v>
      </c>
    </row>
    <row r="144" spans="3:11" x14ac:dyDescent="0.25">
      <c r="C144" s="61" t="s">
        <v>236</v>
      </c>
      <c r="D144" t="str">
        <f>VLOOKUP(C144,[1]Orders!$A$5:$W$1043,3,0)</f>
        <v>Eudokia Martin</v>
      </c>
      <c r="E144">
        <f>VLOOKUP(C144,[1]Orders!$A$5:$W$1043,23,0)</f>
        <v>596.88</v>
      </c>
      <c r="F144" t="str">
        <f>VLOOKUP(C144,[1]Orders!$A$5:$W$1043,5,0)</f>
        <v>Melbourne</v>
      </c>
      <c r="G144" t="str">
        <f>VLOOKUP(C144,[1]Orders!$A$5:$W$1043,5,0)</f>
        <v>Melbourne</v>
      </c>
      <c r="H144" t="str">
        <f>VLOOKUP(C144,[1]Orders!$A$5:$W$1043,6,0)</f>
        <v>VIC</v>
      </c>
      <c r="I144" t="str">
        <f>VLOOKUP(C144,[1]Orders!$A$5:$W$1043,7,0)</f>
        <v>Home Office</v>
      </c>
      <c r="J144" t="str">
        <f>VLOOKUP(C144,[1]Orders!$A$5:$W$1043,8,0)</f>
        <v>Connor Betts</v>
      </c>
      <c r="K144" t="str">
        <f>VLOOKUP(C144,[1]Orders!$A$5:$W$1043,9,0)</f>
        <v>High</v>
      </c>
    </row>
    <row r="145" spans="3:11" x14ac:dyDescent="0.25">
      <c r="C145" s="61" t="s">
        <v>237</v>
      </c>
      <c r="D145" t="str">
        <f>VLOOKUP(C145,[1]Orders!$A$5:$W$1043,3,0)</f>
        <v>Scot Wooten</v>
      </c>
      <c r="E145">
        <f>VLOOKUP(C145,[1]Orders!$A$5:$W$1043,23,0)</f>
        <v>1658.54</v>
      </c>
      <c r="F145" t="str">
        <f>VLOOKUP(C145,[1]Orders!$A$5:$W$1043,5,0)</f>
        <v>Sydney</v>
      </c>
      <c r="G145" t="str">
        <f>VLOOKUP(C145,[1]Orders!$A$5:$W$1043,5,0)</f>
        <v>Sydney</v>
      </c>
      <c r="H145" t="str">
        <f>VLOOKUP(C145,[1]Orders!$A$5:$W$1043,6,0)</f>
        <v>NSW</v>
      </c>
      <c r="I145" t="str">
        <f>VLOOKUP(C145,[1]Orders!$A$5:$W$1043,7,0)</f>
        <v>Corporate</v>
      </c>
      <c r="J145" t="str">
        <f>VLOOKUP(C145,[1]Orders!$A$5:$W$1043,8,0)</f>
        <v>Natasha Song</v>
      </c>
      <c r="K145" t="str">
        <f>VLOOKUP(C145,[1]Orders!$A$5:$W$1043,9,0)</f>
        <v>Not Specified</v>
      </c>
    </row>
    <row r="146" spans="3:11" x14ac:dyDescent="0.25">
      <c r="C146" s="61" t="s">
        <v>238</v>
      </c>
      <c r="D146" t="str">
        <f>VLOOKUP(C146,[1]Orders!$A$5:$W$1043,3,0)</f>
        <v>Jenna Caffey</v>
      </c>
      <c r="E146">
        <f>VLOOKUP(C146,[1]Orders!$A$5:$W$1043,23,0)</f>
        <v>648.83000000000004</v>
      </c>
      <c r="F146" t="str">
        <f>VLOOKUP(C146,[1]Orders!$A$5:$W$1043,5,0)</f>
        <v>Sydney</v>
      </c>
      <c r="G146" t="str">
        <f>VLOOKUP(C146,[1]Orders!$A$5:$W$1043,5,0)</f>
        <v>Sydney</v>
      </c>
      <c r="H146" t="str">
        <f>VLOOKUP(C146,[1]Orders!$A$5:$W$1043,6,0)</f>
        <v>NSW</v>
      </c>
      <c r="I146" t="str">
        <f>VLOOKUP(C146,[1]Orders!$A$5:$W$1043,7,0)</f>
        <v>Consumer</v>
      </c>
      <c r="J146" t="str">
        <f>VLOOKUP(C146,[1]Orders!$A$5:$W$1043,8,0)</f>
        <v>Tina Carlton</v>
      </c>
      <c r="K146" t="str">
        <f>VLOOKUP(C146,[1]Orders!$A$5:$W$1043,9,0)</f>
        <v>High</v>
      </c>
    </row>
    <row r="147" spans="3:11" x14ac:dyDescent="0.25">
      <c r="C147" s="61" t="s">
        <v>239</v>
      </c>
      <c r="D147" t="str">
        <f>VLOOKUP(C147,[1]Orders!$A$5:$W$1043,3,0)</f>
        <v>Roy Collins</v>
      </c>
      <c r="E147">
        <f>VLOOKUP(C147,[1]Orders!$A$5:$W$1043,23,0)</f>
        <v>1015.2300000000001</v>
      </c>
      <c r="F147" t="str">
        <f>VLOOKUP(C147,[1]Orders!$A$5:$W$1043,5,0)</f>
        <v>Sydney</v>
      </c>
      <c r="G147" t="str">
        <f>VLOOKUP(C147,[1]Orders!$A$5:$W$1043,5,0)</f>
        <v>Sydney</v>
      </c>
      <c r="H147" t="str">
        <f>VLOOKUP(C147,[1]Orders!$A$5:$W$1043,6,0)</f>
        <v>NSW</v>
      </c>
      <c r="I147" t="str">
        <f>VLOOKUP(C147,[1]Orders!$A$5:$W$1043,7,0)</f>
        <v>Corporate</v>
      </c>
      <c r="J147" t="str">
        <f>VLOOKUP(C147,[1]Orders!$A$5:$W$1043,8,0)</f>
        <v>Natasha Song</v>
      </c>
      <c r="K147" t="str">
        <f>VLOOKUP(C147,[1]Orders!$A$5:$W$1043,9,0)</f>
        <v>Not Specified</v>
      </c>
    </row>
    <row r="148" spans="3:11" x14ac:dyDescent="0.25">
      <c r="C148" s="61" t="s">
        <v>240</v>
      </c>
      <c r="D148" t="str">
        <f>VLOOKUP(C148,[1]Orders!$A$5:$W$1043,3,0)</f>
        <v>Brad Thomas</v>
      </c>
      <c r="E148">
        <f>VLOOKUP(C148,[1]Orders!$A$5:$W$1043,23,0)</f>
        <v>123.18</v>
      </c>
      <c r="F148" t="str">
        <f>VLOOKUP(C148,[1]Orders!$A$5:$W$1043,5,0)</f>
        <v>Sydney</v>
      </c>
      <c r="G148" t="str">
        <f>VLOOKUP(C148,[1]Orders!$A$5:$W$1043,5,0)</f>
        <v>Sydney</v>
      </c>
      <c r="H148" t="str">
        <f>VLOOKUP(C148,[1]Orders!$A$5:$W$1043,6,0)</f>
        <v>NSW</v>
      </c>
      <c r="I148" t="str">
        <f>VLOOKUP(C148,[1]Orders!$A$5:$W$1043,7,0)</f>
        <v>Home Office</v>
      </c>
      <c r="J148" t="str">
        <f>VLOOKUP(C148,[1]Orders!$A$5:$W$1043,8,0)</f>
        <v>Tina Carlton</v>
      </c>
      <c r="K148" t="str">
        <f>VLOOKUP(C148,[1]Orders!$A$5:$W$1043,9,0)</f>
        <v>High</v>
      </c>
    </row>
    <row r="149" spans="3:11" x14ac:dyDescent="0.25">
      <c r="C149" s="61" t="s">
        <v>241</v>
      </c>
      <c r="D149" t="str">
        <f>VLOOKUP(C149,[1]Orders!$A$5:$W$1043,3,0)</f>
        <v>Nat Carroll</v>
      </c>
      <c r="E149">
        <f>VLOOKUP(C149,[1]Orders!$A$5:$W$1043,23,0)</f>
        <v>207.63</v>
      </c>
      <c r="F149" t="str">
        <f>VLOOKUP(C149,[1]Orders!$A$5:$W$1043,5,0)</f>
        <v>Melbourne</v>
      </c>
      <c r="G149" t="str">
        <f>VLOOKUP(C149,[1]Orders!$A$5:$W$1043,5,0)</f>
        <v>Melbourne</v>
      </c>
      <c r="H149" t="str">
        <f>VLOOKUP(C149,[1]Orders!$A$5:$W$1043,6,0)</f>
        <v>VIC</v>
      </c>
      <c r="I149" t="str">
        <f>VLOOKUP(C149,[1]Orders!$A$5:$W$1043,7,0)</f>
        <v>Home Office</v>
      </c>
      <c r="J149" t="str">
        <f>VLOOKUP(C149,[1]Orders!$A$5:$W$1043,8,0)</f>
        <v>Yvette Biti</v>
      </c>
      <c r="K149" t="str">
        <f>VLOOKUP(C149,[1]Orders!$A$5:$W$1043,9,0)</f>
        <v>Not Specified</v>
      </c>
    </row>
    <row r="150" spans="3:11" x14ac:dyDescent="0.25">
      <c r="C150" s="61" t="s">
        <v>242</v>
      </c>
      <c r="D150" t="str">
        <f>VLOOKUP(C150,[1]Orders!$A$5:$W$1043,3,0)</f>
        <v>Roy Skaria</v>
      </c>
      <c r="E150">
        <f>VLOOKUP(C150,[1]Orders!$A$5:$W$1043,23,0)</f>
        <v>430.55000000000007</v>
      </c>
      <c r="F150" t="str">
        <f>VLOOKUP(C150,[1]Orders!$A$5:$W$1043,5,0)</f>
        <v>Sydney</v>
      </c>
      <c r="G150" t="str">
        <f>VLOOKUP(C150,[1]Orders!$A$5:$W$1043,5,0)</f>
        <v>Sydney</v>
      </c>
      <c r="H150" t="str">
        <f>VLOOKUP(C150,[1]Orders!$A$5:$W$1043,6,0)</f>
        <v>NSW</v>
      </c>
      <c r="I150" t="str">
        <f>VLOOKUP(C150,[1]Orders!$A$5:$W$1043,7,0)</f>
        <v>Corporate</v>
      </c>
      <c r="J150" t="str">
        <f>VLOOKUP(C150,[1]Orders!$A$5:$W$1043,8,0)</f>
        <v>Samantha Chairs</v>
      </c>
      <c r="K150" t="str">
        <f>VLOOKUP(C150,[1]Orders!$A$5:$W$1043,9,0)</f>
        <v>High</v>
      </c>
    </row>
    <row r="151" spans="3:11" x14ac:dyDescent="0.25">
      <c r="C151" s="61" t="s">
        <v>243</v>
      </c>
      <c r="D151" t="str">
        <f>VLOOKUP(C151,[1]Orders!$A$5:$W$1043,3,0)</f>
        <v>Brad Eason</v>
      </c>
      <c r="E151">
        <f>VLOOKUP(C151,[1]Orders!$A$5:$W$1043,23,0)</f>
        <v>987.45</v>
      </c>
      <c r="F151" t="str">
        <f>VLOOKUP(C151,[1]Orders!$A$5:$W$1043,5,0)</f>
        <v>Sydney</v>
      </c>
      <c r="G151" t="str">
        <f>VLOOKUP(C151,[1]Orders!$A$5:$W$1043,5,0)</f>
        <v>Sydney</v>
      </c>
      <c r="H151" t="str">
        <f>VLOOKUP(C151,[1]Orders!$A$5:$W$1043,6,0)</f>
        <v>NSW</v>
      </c>
      <c r="I151" t="str">
        <f>VLOOKUP(C151,[1]Orders!$A$5:$W$1043,7,0)</f>
        <v>Small Business</v>
      </c>
      <c r="J151" t="str">
        <f>VLOOKUP(C151,[1]Orders!$A$5:$W$1043,8,0)</f>
        <v>Nicholas Fernandes</v>
      </c>
      <c r="K151" t="str">
        <f>VLOOKUP(C151,[1]Orders!$A$5:$W$1043,9,0)</f>
        <v>Not Specified</v>
      </c>
    </row>
    <row r="152" spans="3:11" x14ac:dyDescent="0.25">
      <c r="C152" s="61" t="s">
        <v>244</v>
      </c>
      <c r="D152" t="str">
        <f>VLOOKUP(C152,[1]Orders!$A$5:$W$1043,3,0)</f>
        <v>Dave Kipp</v>
      </c>
      <c r="E152">
        <f>VLOOKUP(C152,[1]Orders!$A$5:$W$1043,23,0)</f>
        <v>202.7</v>
      </c>
      <c r="F152" t="str">
        <f>VLOOKUP(C152,[1]Orders!$A$5:$W$1043,5,0)</f>
        <v>Melbourne</v>
      </c>
      <c r="G152" t="str">
        <f>VLOOKUP(C152,[1]Orders!$A$5:$W$1043,5,0)</f>
        <v>Melbourne</v>
      </c>
      <c r="H152" t="str">
        <f>VLOOKUP(C152,[1]Orders!$A$5:$W$1043,6,0)</f>
        <v>VIC</v>
      </c>
      <c r="I152" t="str">
        <f>VLOOKUP(C152,[1]Orders!$A$5:$W$1043,7,0)</f>
        <v>Consumer</v>
      </c>
      <c r="J152" t="str">
        <f>VLOOKUP(C152,[1]Orders!$A$5:$W$1043,8,0)</f>
        <v>Yvette Biti</v>
      </c>
      <c r="K152" t="str">
        <f>VLOOKUP(C152,[1]Orders!$A$5:$W$1043,9,0)</f>
        <v>High</v>
      </c>
    </row>
    <row r="153" spans="3:11" x14ac:dyDescent="0.25">
      <c r="C153" s="61" t="s">
        <v>245</v>
      </c>
      <c r="D153" t="str">
        <f>VLOOKUP(C153,[1]Orders!$A$5:$W$1043,3,0)</f>
        <v>Thais Sissman</v>
      </c>
      <c r="E153">
        <f>VLOOKUP(C153,[1]Orders!$A$5:$W$1043,23,0)</f>
        <v>25.630000000000003</v>
      </c>
      <c r="F153" t="str">
        <f>VLOOKUP(C153,[1]Orders!$A$5:$W$1043,5,0)</f>
        <v>Sydney</v>
      </c>
      <c r="G153" t="str">
        <f>VLOOKUP(C153,[1]Orders!$A$5:$W$1043,5,0)</f>
        <v>Sydney</v>
      </c>
      <c r="H153" t="str">
        <f>VLOOKUP(C153,[1]Orders!$A$5:$W$1043,6,0)</f>
        <v>NSW</v>
      </c>
      <c r="I153" t="str">
        <f>VLOOKUP(C153,[1]Orders!$A$5:$W$1043,7,0)</f>
        <v>Small Business</v>
      </c>
      <c r="J153" t="str">
        <f>VLOOKUP(C153,[1]Orders!$A$5:$W$1043,8,0)</f>
        <v>Tina Carlton</v>
      </c>
      <c r="K153" t="str">
        <f>VLOOKUP(C153,[1]Orders!$A$5:$W$1043,9,0)</f>
        <v>Critical</v>
      </c>
    </row>
    <row r="154" spans="3:11" x14ac:dyDescent="0.25">
      <c r="C154" s="61" t="s">
        <v>246</v>
      </c>
      <c r="D154" t="str">
        <f>VLOOKUP(C154,[1]Orders!$A$5:$W$1043,3,0)</f>
        <v>Andy Reiter</v>
      </c>
      <c r="E154">
        <f>VLOOKUP(C154,[1]Orders!$A$5:$W$1043,23,0)</f>
        <v>3.32</v>
      </c>
      <c r="F154" t="str">
        <f>VLOOKUP(C154,[1]Orders!$A$5:$W$1043,5,0)</f>
        <v>Melbourne</v>
      </c>
      <c r="G154" t="str">
        <f>VLOOKUP(C154,[1]Orders!$A$5:$W$1043,5,0)</f>
        <v>Melbourne</v>
      </c>
      <c r="H154" t="str">
        <f>VLOOKUP(C154,[1]Orders!$A$5:$W$1043,6,0)</f>
        <v>VIC</v>
      </c>
      <c r="I154" t="str">
        <f>VLOOKUP(C154,[1]Orders!$A$5:$W$1043,7,0)</f>
        <v>Corporate</v>
      </c>
      <c r="J154" t="str">
        <f>VLOOKUP(C154,[1]Orders!$A$5:$W$1043,8,0)</f>
        <v>Yvette Biti</v>
      </c>
      <c r="K154" t="str">
        <f>VLOOKUP(C154,[1]Orders!$A$5:$W$1043,9,0)</f>
        <v>Critical</v>
      </c>
    </row>
    <row r="155" spans="3:11" x14ac:dyDescent="0.25">
      <c r="C155" s="61" t="s">
        <v>247</v>
      </c>
      <c r="D155" t="str">
        <f>VLOOKUP(C155,[1]Orders!$A$5:$W$1043,3,0)</f>
        <v>Becky Martin</v>
      </c>
      <c r="E155">
        <f>VLOOKUP(C155,[1]Orders!$A$5:$W$1043,23,0)</f>
        <v>964.29000000000008</v>
      </c>
      <c r="F155" t="str">
        <f>VLOOKUP(C155,[1]Orders!$A$5:$W$1043,5,0)</f>
        <v>Sydney</v>
      </c>
      <c r="G155" t="str">
        <f>VLOOKUP(C155,[1]Orders!$A$5:$W$1043,5,0)</f>
        <v>Sydney</v>
      </c>
      <c r="H155" t="str">
        <f>VLOOKUP(C155,[1]Orders!$A$5:$W$1043,6,0)</f>
        <v>NSW</v>
      </c>
      <c r="I155" t="str">
        <f>VLOOKUP(C155,[1]Orders!$A$5:$W$1043,7,0)</f>
        <v>Home Office</v>
      </c>
      <c r="J155" t="str">
        <f>VLOOKUP(C155,[1]Orders!$A$5:$W$1043,8,0)</f>
        <v>Tina Carlton</v>
      </c>
      <c r="K155" t="str">
        <f>VLOOKUP(C155,[1]Orders!$A$5:$W$1043,9,0)</f>
        <v>Medium</v>
      </c>
    </row>
    <row r="156" spans="3:11" x14ac:dyDescent="0.25">
      <c r="C156" s="61" t="s">
        <v>248</v>
      </c>
      <c r="D156" t="str">
        <f>VLOOKUP(C156,[1]Orders!$A$5:$W$1043,3,0)</f>
        <v>Denny Ordway</v>
      </c>
      <c r="E156">
        <f>VLOOKUP(C156,[1]Orders!$A$5:$W$1043,23,0)</f>
        <v>265.02999999999997</v>
      </c>
      <c r="F156" t="str">
        <f>VLOOKUP(C156,[1]Orders!$A$5:$W$1043,5,0)</f>
        <v>Sydney</v>
      </c>
      <c r="G156" t="str">
        <f>VLOOKUP(C156,[1]Orders!$A$5:$W$1043,5,0)</f>
        <v>Sydney</v>
      </c>
      <c r="H156" t="str">
        <f>VLOOKUP(C156,[1]Orders!$A$5:$W$1043,6,0)</f>
        <v>NSW</v>
      </c>
      <c r="I156" t="str">
        <f>VLOOKUP(C156,[1]Orders!$A$5:$W$1043,7,0)</f>
        <v>Small Business</v>
      </c>
      <c r="J156" t="str">
        <f>VLOOKUP(C156,[1]Orders!$A$5:$W$1043,8,0)</f>
        <v>Aanya Zhang</v>
      </c>
      <c r="K156" t="str">
        <f>VLOOKUP(C156,[1]Orders!$A$5:$W$1043,9,0)</f>
        <v>Critical</v>
      </c>
    </row>
    <row r="157" spans="3:11" x14ac:dyDescent="0.25">
      <c r="C157" s="61" t="s">
        <v>249</v>
      </c>
      <c r="D157" t="str">
        <f>VLOOKUP(C157,[1]Orders!$A$5:$W$1043,3,0)</f>
        <v>Luke Schmidt</v>
      </c>
      <c r="E157">
        <f>VLOOKUP(C157,[1]Orders!$A$5:$W$1043,23,0)</f>
        <v>4220.66</v>
      </c>
      <c r="F157" t="str">
        <f>VLOOKUP(C157,[1]Orders!$A$5:$W$1043,5,0)</f>
        <v>Sydney</v>
      </c>
      <c r="G157" t="str">
        <f>VLOOKUP(C157,[1]Orders!$A$5:$W$1043,5,0)</f>
        <v>Sydney</v>
      </c>
      <c r="H157" t="str">
        <f>VLOOKUP(C157,[1]Orders!$A$5:$W$1043,6,0)</f>
        <v>NSW</v>
      </c>
      <c r="I157" t="str">
        <f>VLOOKUP(C157,[1]Orders!$A$5:$W$1043,7,0)</f>
        <v>Home Office</v>
      </c>
      <c r="J157" t="str">
        <f>VLOOKUP(C157,[1]Orders!$A$5:$W$1043,8,0)</f>
        <v>Tina Carlton</v>
      </c>
      <c r="K157" t="str">
        <f>VLOOKUP(C157,[1]Orders!$A$5:$W$1043,9,0)</f>
        <v>Medium</v>
      </c>
    </row>
    <row r="158" spans="3:11" x14ac:dyDescent="0.25">
      <c r="C158" s="61" t="s">
        <v>250</v>
      </c>
      <c r="D158" t="str">
        <f>VLOOKUP(C158,[1]Orders!$A$5:$W$1043,3,0)</f>
        <v>Kelly Lampkin</v>
      </c>
      <c r="E158">
        <f>VLOOKUP(C158,[1]Orders!$A$5:$W$1043,23,0)</f>
        <v>137.60999999999999</v>
      </c>
      <c r="F158" t="str">
        <f>VLOOKUP(C158,[1]Orders!$A$5:$W$1043,5,0)</f>
        <v>Sydney</v>
      </c>
      <c r="G158" t="str">
        <f>VLOOKUP(C158,[1]Orders!$A$5:$W$1043,5,0)</f>
        <v>Sydney</v>
      </c>
      <c r="H158" t="str">
        <f>VLOOKUP(C158,[1]Orders!$A$5:$W$1043,6,0)</f>
        <v>NSW</v>
      </c>
      <c r="I158" t="str">
        <f>VLOOKUP(C158,[1]Orders!$A$5:$W$1043,7,0)</f>
        <v>Corporate</v>
      </c>
      <c r="J158" t="str">
        <f>VLOOKUP(C158,[1]Orders!$A$5:$W$1043,8,0)</f>
        <v>Aanya Zhang</v>
      </c>
      <c r="K158" t="str">
        <f>VLOOKUP(C158,[1]Orders!$A$5:$W$1043,9,0)</f>
        <v>Low</v>
      </c>
    </row>
    <row r="159" spans="3:11" x14ac:dyDescent="0.25">
      <c r="C159" s="61" t="s">
        <v>251</v>
      </c>
      <c r="D159" t="str">
        <f>VLOOKUP(C159,[1]Orders!$A$5:$W$1043,3,0)</f>
        <v>Eugene Moren</v>
      </c>
      <c r="E159">
        <f>VLOOKUP(C159,[1]Orders!$A$5:$W$1043,23,0)</f>
        <v>131.62</v>
      </c>
      <c r="F159" t="str">
        <f>VLOOKUP(C159,[1]Orders!$A$5:$W$1043,5,0)</f>
        <v>Sydney</v>
      </c>
      <c r="G159" t="str">
        <f>VLOOKUP(C159,[1]Orders!$A$5:$W$1043,5,0)</f>
        <v>Sydney</v>
      </c>
      <c r="H159" t="str">
        <f>VLOOKUP(C159,[1]Orders!$A$5:$W$1043,6,0)</f>
        <v>NSW</v>
      </c>
      <c r="I159" t="str">
        <f>VLOOKUP(C159,[1]Orders!$A$5:$W$1043,7,0)</f>
        <v>Home Office</v>
      </c>
      <c r="J159" t="str">
        <f>VLOOKUP(C159,[1]Orders!$A$5:$W$1043,8,0)</f>
        <v>Mihael Khan</v>
      </c>
      <c r="K159" t="str">
        <f>VLOOKUP(C159,[1]Orders!$A$5:$W$1043,9,0)</f>
        <v>High</v>
      </c>
    </row>
    <row r="160" spans="3:11" x14ac:dyDescent="0.25">
      <c r="C160" s="61" t="s">
        <v>252</v>
      </c>
      <c r="D160" t="str">
        <f>VLOOKUP(C160,[1]Orders!$A$5:$W$1043,3,0)</f>
        <v>Anthony Rawles</v>
      </c>
      <c r="E160">
        <f>VLOOKUP(C160,[1]Orders!$A$5:$W$1043,23,0)</f>
        <v>265.40999999999997</v>
      </c>
      <c r="F160" t="str">
        <f>VLOOKUP(C160,[1]Orders!$A$5:$W$1043,5,0)</f>
        <v>Sydney</v>
      </c>
      <c r="G160" t="str">
        <f>VLOOKUP(C160,[1]Orders!$A$5:$W$1043,5,0)</f>
        <v>Sydney</v>
      </c>
      <c r="H160" t="str">
        <f>VLOOKUP(C160,[1]Orders!$A$5:$W$1043,6,0)</f>
        <v>NSW</v>
      </c>
      <c r="I160" t="str">
        <f>VLOOKUP(C160,[1]Orders!$A$5:$W$1043,7,0)</f>
        <v>Small Business</v>
      </c>
      <c r="J160" t="str">
        <f>VLOOKUP(C160,[1]Orders!$A$5:$W$1043,8,0)</f>
        <v>Mihael Khan</v>
      </c>
      <c r="K160" t="str">
        <f>VLOOKUP(C160,[1]Orders!$A$5:$W$1043,9,0)</f>
        <v>Medium</v>
      </c>
    </row>
    <row r="161" spans="3:11" x14ac:dyDescent="0.25">
      <c r="C161" s="61" t="s">
        <v>253</v>
      </c>
      <c r="D161" t="str">
        <f>VLOOKUP(C161,[1]Orders!$A$5:$W$1043,3,0)</f>
        <v>Rick Duston</v>
      </c>
      <c r="E161">
        <f>VLOOKUP(C161,[1]Orders!$A$5:$W$1043,23,0)</f>
        <v>422.97999999999996</v>
      </c>
      <c r="F161" t="str">
        <f>VLOOKUP(C161,[1]Orders!$A$5:$W$1043,5,0)</f>
        <v>Sydney</v>
      </c>
      <c r="G161" t="str">
        <f>VLOOKUP(C161,[1]Orders!$A$5:$W$1043,5,0)</f>
        <v>Sydney</v>
      </c>
      <c r="H161" t="str">
        <f>VLOOKUP(C161,[1]Orders!$A$5:$W$1043,6,0)</f>
        <v>NSW</v>
      </c>
      <c r="I161" t="str">
        <f>VLOOKUP(C161,[1]Orders!$A$5:$W$1043,7,0)</f>
        <v>Corporate</v>
      </c>
      <c r="J161" t="str">
        <f>VLOOKUP(C161,[1]Orders!$A$5:$W$1043,8,0)</f>
        <v>Nicholas Fernandes</v>
      </c>
      <c r="K161" t="str">
        <f>VLOOKUP(C161,[1]Orders!$A$5:$W$1043,9,0)</f>
        <v>Medium</v>
      </c>
    </row>
    <row r="162" spans="3:11" x14ac:dyDescent="0.25">
      <c r="C162" s="61" t="s">
        <v>254</v>
      </c>
      <c r="D162" t="str">
        <f>VLOOKUP(C162,[1]Orders!$A$5:$W$1043,3,0)</f>
        <v>Raymond Fair</v>
      </c>
      <c r="E162">
        <f>VLOOKUP(C162,[1]Orders!$A$5:$W$1043,23,0)</f>
        <v>3339.47</v>
      </c>
      <c r="F162" t="str">
        <f>VLOOKUP(C162,[1]Orders!$A$5:$W$1043,5,0)</f>
        <v>Sydney</v>
      </c>
      <c r="G162" t="str">
        <f>VLOOKUP(C162,[1]Orders!$A$5:$W$1043,5,0)</f>
        <v>Sydney</v>
      </c>
      <c r="H162" t="str">
        <f>VLOOKUP(C162,[1]Orders!$A$5:$W$1043,6,0)</f>
        <v>NSW</v>
      </c>
      <c r="I162" t="str">
        <f>VLOOKUP(C162,[1]Orders!$A$5:$W$1043,7,0)</f>
        <v>Small Business</v>
      </c>
      <c r="J162" t="str">
        <f>VLOOKUP(C162,[1]Orders!$A$5:$W$1043,8,0)</f>
        <v>Tina Carlton</v>
      </c>
      <c r="K162" t="str">
        <f>VLOOKUP(C162,[1]Orders!$A$5:$W$1043,9,0)</f>
        <v>Not Specified</v>
      </c>
    </row>
    <row r="163" spans="3:11" x14ac:dyDescent="0.25">
      <c r="C163" s="61" t="s">
        <v>255</v>
      </c>
      <c r="D163" t="str">
        <f>VLOOKUP(C163,[1]Orders!$A$5:$W$1043,3,0)</f>
        <v>Joy Smith</v>
      </c>
      <c r="E163">
        <f>VLOOKUP(C163,[1]Orders!$A$5:$W$1043,23,0)</f>
        <v>158.35</v>
      </c>
      <c r="F163" t="str">
        <f>VLOOKUP(C163,[1]Orders!$A$5:$W$1043,5,0)</f>
        <v>Melbourne</v>
      </c>
      <c r="G163" t="str">
        <f>VLOOKUP(C163,[1]Orders!$A$5:$W$1043,5,0)</f>
        <v>Melbourne</v>
      </c>
      <c r="H163" t="str">
        <f>VLOOKUP(C163,[1]Orders!$A$5:$W$1043,6,0)</f>
        <v>VIC</v>
      </c>
      <c r="I163" t="str">
        <f>VLOOKUP(C163,[1]Orders!$A$5:$W$1043,7,0)</f>
        <v>Consumer</v>
      </c>
      <c r="J163" t="str">
        <f>VLOOKUP(C163,[1]Orders!$A$5:$W$1043,8,0)</f>
        <v>Yvette Biti</v>
      </c>
      <c r="K163" t="str">
        <f>VLOOKUP(C163,[1]Orders!$A$5:$W$1043,9,0)</f>
        <v>Low</v>
      </c>
    </row>
    <row r="164" spans="3:11" x14ac:dyDescent="0.25">
      <c r="C164" s="61" t="s">
        <v>256</v>
      </c>
      <c r="D164" t="str">
        <f>VLOOKUP(C164,[1]Orders!$A$5:$W$1043,3,0)</f>
        <v>Jim Epp</v>
      </c>
      <c r="E164">
        <f>VLOOKUP(C164,[1]Orders!$A$5:$W$1043,23,0)</f>
        <v>1347.54</v>
      </c>
      <c r="F164" t="str">
        <f>VLOOKUP(C164,[1]Orders!$A$5:$W$1043,5,0)</f>
        <v>Sydney</v>
      </c>
      <c r="G164" t="str">
        <f>VLOOKUP(C164,[1]Orders!$A$5:$W$1043,5,0)</f>
        <v>Sydney</v>
      </c>
      <c r="H164" t="str">
        <f>VLOOKUP(C164,[1]Orders!$A$5:$W$1043,6,0)</f>
        <v>NSW</v>
      </c>
      <c r="I164" t="str">
        <f>VLOOKUP(C164,[1]Orders!$A$5:$W$1043,7,0)</f>
        <v>Small Business</v>
      </c>
      <c r="J164" t="str">
        <f>VLOOKUP(C164,[1]Orders!$A$5:$W$1043,8,0)</f>
        <v>Nicholas Fernandes</v>
      </c>
      <c r="K164" t="str">
        <f>VLOOKUP(C164,[1]Orders!$A$5:$W$1043,9,0)</f>
        <v>Low</v>
      </c>
    </row>
    <row r="165" spans="3:11" x14ac:dyDescent="0.25">
      <c r="C165" s="61" t="s">
        <v>257</v>
      </c>
      <c r="D165" t="str">
        <f>VLOOKUP(C165,[1]Orders!$A$5:$W$1043,3,0)</f>
        <v>Mike Vittorini</v>
      </c>
      <c r="E165">
        <f>VLOOKUP(C165,[1]Orders!$A$5:$W$1043,23,0)</f>
        <v>115.7</v>
      </c>
      <c r="F165" t="str">
        <f>VLOOKUP(C165,[1]Orders!$A$5:$W$1043,5,0)</f>
        <v>Sydney</v>
      </c>
      <c r="G165" t="str">
        <f>VLOOKUP(C165,[1]Orders!$A$5:$W$1043,5,0)</f>
        <v>Sydney</v>
      </c>
      <c r="H165" t="str">
        <f>VLOOKUP(C165,[1]Orders!$A$5:$W$1043,6,0)</f>
        <v>NSW</v>
      </c>
      <c r="I165" t="str">
        <f>VLOOKUP(C165,[1]Orders!$A$5:$W$1043,7,0)</f>
        <v>Small Business</v>
      </c>
      <c r="J165" t="str">
        <f>VLOOKUP(C165,[1]Orders!$A$5:$W$1043,8,0)</f>
        <v>Preston Senome</v>
      </c>
      <c r="K165" t="str">
        <f>VLOOKUP(C165,[1]Orders!$A$5:$W$1043,9,0)</f>
        <v>Not Specified</v>
      </c>
    </row>
    <row r="166" spans="3:11" x14ac:dyDescent="0.25">
      <c r="C166" s="61" t="s">
        <v>258</v>
      </c>
      <c r="D166" t="str">
        <f>VLOOKUP(C166,[1]Orders!$A$5:$W$1043,3,0)</f>
        <v>Neil Knudson</v>
      </c>
      <c r="E166">
        <f>VLOOKUP(C166,[1]Orders!$A$5:$W$1043,23,0)</f>
        <v>582.4</v>
      </c>
      <c r="F166" t="str">
        <f>VLOOKUP(C166,[1]Orders!$A$5:$W$1043,5,0)</f>
        <v>Sydney</v>
      </c>
      <c r="G166" t="str">
        <f>VLOOKUP(C166,[1]Orders!$A$5:$W$1043,5,0)</f>
        <v>Sydney</v>
      </c>
      <c r="H166" t="str">
        <f>VLOOKUP(C166,[1]Orders!$A$5:$W$1043,6,0)</f>
        <v>NSW</v>
      </c>
      <c r="I166" t="str">
        <f>VLOOKUP(C166,[1]Orders!$A$5:$W$1043,7,0)</f>
        <v>Home Office</v>
      </c>
      <c r="J166" t="str">
        <f>VLOOKUP(C166,[1]Orders!$A$5:$W$1043,8,0)</f>
        <v>Tina Carlton</v>
      </c>
      <c r="K166" t="str">
        <f>VLOOKUP(C166,[1]Orders!$A$5:$W$1043,9,0)</f>
        <v>Critical</v>
      </c>
    </row>
    <row r="167" spans="3:11" x14ac:dyDescent="0.25">
      <c r="C167" s="61" t="s">
        <v>259</v>
      </c>
      <c r="D167" t="str">
        <f>VLOOKUP(C167,[1]Orders!$A$5:$W$1043,3,0)</f>
        <v>Deborah Brumfield</v>
      </c>
      <c r="E167">
        <f>VLOOKUP(C167,[1]Orders!$A$5:$W$1043,23,0)</f>
        <v>11443.95</v>
      </c>
      <c r="F167" t="str">
        <f>VLOOKUP(C167,[1]Orders!$A$5:$W$1043,5,0)</f>
        <v>Sydney</v>
      </c>
      <c r="G167" t="str">
        <f>VLOOKUP(C167,[1]Orders!$A$5:$W$1043,5,0)</f>
        <v>Sydney</v>
      </c>
      <c r="H167" t="str">
        <f>VLOOKUP(C167,[1]Orders!$A$5:$W$1043,6,0)</f>
        <v>NSW</v>
      </c>
      <c r="I167" t="str">
        <f>VLOOKUP(C167,[1]Orders!$A$5:$W$1043,7,0)</f>
        <v>Corporate</v>
      </c>
      <c r="J167" t="str">
        <f>VLOOKUP(C167,[1]Orders!$A$5:$W$1043,8,0)</f>
        <v>Samantha Chairs</v>
      </c>
      <c r="K167" t="str">
        <f>VLOOKUP(C167,[1]Orders!$A$5:$W$1043,9,0)</f>
        <v>Low</v>
      </c>
    </row>
    <row r="168" spans="3:11" x14ac:dyDescent="0.25">
      <c r="C168" s="61" t="s">
        <v>260</v>
      </c>
      <c r="D168" t="str">
        <f>VLOOKUP(C168,[1]Orders!$A$5:$W$1043,3,0)</f>
        <v>Erica Hernandez</v>
      </c>
      <c r="E168">
        <f>VLOOKUP(C168,[1]Orders!$A$5:$W$1043,23,0)</f>
        <v>252.81999999999996</v>
      </c>
      <c r="F168" t="str">
        <f>VLOOKUP(C168,[1]Orders!$A$5:$W$1043,5,0)</f>
        <v>Sydney</v>
      </c>
      <c r="G168" t="str">
        <f>VLOOKUP(C168,[1]Orders!$A$5:$W$1043,5,0)</f>
        <v>Sydney</v>
      </c>
      <c r="H168" t="str">
        <f>VLOOKUP(C168,[1]Orders!$A$5:$W$1043,6,0)</f>
        <v>NSW</v>
      </c>
      <c r="I168" t="str">
        <f>VLOOKUP(C168,[1]Orders!$A$5:$W$1043,7,0)</f>
        <v>Small Business</v>
      </c>
      <c r="J168" t="str">
        <f>VLOOKUP(C168,[1]Orders!$A$5:$W$1043,8,0)</f>
        <v>Nicholas Fernandes</v>
      </c>
      <c r="K168" t="str">
        <f>VLOOKUP(C168,[1]Orders!$A$5:$W$1043,9,0)</f>
        <v>Medium</v>
      </c>
    </row>
    <row r="169" spans="3:11" x14ac:dyDescent="0.25">
      <c r="C169" s="61" t="s">
        <v>261</v>
      </c>
      <c r="D169" t="str">
        <f>VLOOKUP(C169,[1]Orders!$A$5:$W$1043,3,0)</f>
        <v>Janet Martin</v>
      </c>
      <c r="E169">
        <f>VLOOKUP(C169,[1]Orders!$A$5:$W$1043,23,0)</f>
        <v>2935.5699999999997</v>
      </c>
      <c r="F169" t="str">
        <f>VLOOKUP(C169,[1]Orders!$A$5:$W$1043,5,0)</f>
        <v>Sydney</v>
      </c>
      <c r="G169" t="str">
        <f>VLOOKUP(C169,[1]Orders!$A$5:$W$1043,5,0)</f>
        <v>Sydney</v>
      </c>
      <c r="H169" t="str">
        <f>VLOOKUP(C169,[1]Orders!$A$5:$W$1043,6,0)</f>
        <v>NSW</v>
      </c>
      <c r="I169" t="str">
        <f>VLOOKUP(C169,[1]Orders!$A$5:$W$1043,7,0)</f>
        <v>Corporate</v>
      </c>
      <c r="J169" t="str">
        <f>VLOOKUP(C169,[1]Orders!$A$5:$W$1043,8,0)</f>
        <v>Radhya Staples</v>
      </c>
      <c r="K169" t="str">
        <f>VLOOKUP(C169,[1]Orders!$A$5:$W$1043,9,0)</f>
        <v>Not Specified</v>
      </c>
    </row>
    <row r="170" spans="3:11" x14ac:dyDescent="0.25">
      <c r="C170" s="61" t="s">
        <v>262</v>
      </c>
      <c r="D170" t="str">
        <f>VLOOKUP(C170,[1]Orders!$A$5:$W$1043,3,0)</f>
        <v>Beth Thompson</v>
      </c>
      <c r="E170">
        <f>VLOOKUP(C170,[1]Orders!$A$5:$W$1043,23,0)</f>
        <v>843.06</v>
      </c>
      <c r="F170" t="str">
        <f>VLOOKUP(C170,[1]Orders!$A$5:$W$1043,5,0)</f>
        <v>Sydney</v>
      </c>
      <c r="G170" t="str">
        <f>VLOOKUP(C170,[1]Orders!$A$5:$W$1043,5,0)</f>
        <v>Sydney</v>
      </c>
      <c r="H170" t="str">
        <f>VLOOKUP(C170,[1]Orders!$A$5:$W$1043,6,0)</f>
        <v>NSW</v>
      </c>
      <c r="I170" t="str">
        <f>VLOOKUP(C170,[1]Orders!$A$5:$W$1043,7,0)</f>
        <v>Corporate</v>
      </c>
      <c r="J170" t="str">
        <f>VLOOKUP(C170,[1]Orders!$A$5:$W$1043,8,0)</f>
        <v>Mihael Khan</v>
      </c>
      <c r="K170" t="str">
        <f>VLOOKUP(C170,[1]Orders!$A$5:$W$1043,9,0)</f>
        <v>Not Specified</v>
      </c>
    </row>
    <row r="171" spans="3:11" x14ac:dyDescent="0.25">
      <c r="C171" s="61" t="s">
        <v>263</v>
      </c>
      <c r="D171" t="str">
        <f>VLOOKUP(C171,[1]Orders!$A$5:$W$1043,3,0)</f>
        <v>Nora Paige</v>
      </c>
      <c r="E171">
        <f>VLOOKUP(C171,[1]Orders!$A$5:$W$1043,23,0)</f>
        <v>157.22</v>
      </c>
      <c r="F171" t="str">
        <f>VLOOKUP(C171,[1]Orders!$A$5:$W$1043,5,0)</f>
        <v>Sydney</v>
      </c>
      <c r="G171" t="str">
        <f>VLOOKUP(C171,[1]Orders!$A$5:$W$1043,5,0)</f>
        <v>Sydney</v>
      </c>
      <c r="H171" t="str">
        <f>VLOOKUP(C171,[1]Orders!$A$5:$W$1043,6,0)</f>
        <v>NSW</v>
      </c>
      <c r="I171" t="str">
        <f>VLOOKUP(C171,[1]Orders!$A$5:$W$1043,7,0)</f>
        <v>Small Business</v>
      </c>
      <c r="J171" t="str">
        <f>VLOOKUP(C171,[1]Orders!$A$5:$W$1043,8,0)</f>
        <v>Mihael Khan</v>
      </c>
      <c r="K171" t="str">
        <f>VLOOKUP(C171,[1]Orders!$A$5:$W$1043,9,0)</f>
        <v>Medium</v>
      </c>
    </row>
    <row r="172" spans="3:11" x14ac:dyDescent="0.25">
      <c r="C172" s="61" t="s">
        <v>264</v>
      </c>
      <c r="D172" t="str">
        <f>VLOOKUP(C172,[1]Orders!$A$5:$W$1043,3,0)</f>
        <v>Jim Kriz</v>
      </c>
      <c r="E172">
        <f>VLOOKUP(C172,[1]Orders!$A$5:$W$1043,23,0)</f>
        <v>1537.44</v>
      </c>
      <c r="F172" t="str">
        <f>VLOOKUP(C172,[1]Orders!$A$5:$W$1043,5,0)</f>
        <v>Sydney</v>
      </c>
      <c r="G172" t="str">
        <f>VLOOKUP(C172,[1]Orders!$A$5:$W$1043,5,0)</f>
        <v>Sydney</v>
      </c>
      <c r="H172" t="str">
        <f>VLOOKUP(C172,[1]Orders!$A$5:$W$1043,6,0)</f>
        <v>NSW</v>
      </c>
      <c r="I172" t="str">
        <f>VLOOKUP(C172,[1]Orders!$A$5:$W$1043,7,0)</f>
        <v>Consumer</v>
      </c>
      <c r="J172" t="str">
        <f>VLOOKUP(C172,[1]Orders!$A$5:$W$1043,8,0)</f>
        <v>Mihael Khan</v>
      </c>
      <c r="K172" t="str">
        <f>VLOOKUP(C172,[1]Orders!$A$5:$W$1043,9,0)</f>
        <v>Low</v>
      </c>
    </row>
    <row r="173" spans="3:11" x14ac:dyDescent="0.25">
      <c r="C173" s="61" t="s">
        <v>265</v>
      </c>
      <c r="D173" t="str">
        <f>VLOOKUP(C173,[1]Orders!$A$5:$W$1043,3,0)</f>
        <v>Steve Nguyen</v>
      </c>
      <c r="E173">
        <f>VLOOKUP(C173,[1]Orders!$A$5:$W$1043,23,0)</f>
        <v>1511.9600000000003</v>
      </c>
      <c r="F173" t="str">
        <f>VLOOKUP(C173,[1]Orders!$A$5:$W$1043,5,0)</f>
        <v>Sydney</v>
      </c>
      <c r="G173" t="str">
        <f>VLOOKUP(C173,[1]Orders!$A$5:$W$1043,5,0)</f>
        <v>Sydney</v>
      </c>
      <c r="H173" t="str">
        <f>VLOOKUP(C173,[1]Orders!$A$5:$W$1043,6,0)</f>
        <v>NSW</v>
      </c>
      <c r="I173" t="str">
        <f>VLOOKUP(C173,[1]Orders!$A$5:$W$1043,7,0)</f>
        <v>Small Business</v>
      </c>
      <c r="J173" t="str">
        <f>VLOOKUP(C173,[1]Orders!$A$5:$W$1043,8,0)</f>
        <v>Leighton Forrest</v>
      </c>
      <c r="K173" t="str">
        <f>VLOOKUP(C173,[1]Orders!$A$5:$W$1043,9,0)</f>
        <v>Medium</v>
      </c>
    </row>
    <row r="174" spans="3:11" x14ac:dyDescent="0.25">
      <c r="C174" s="61" t="s">
        <v>266</v>
      </c>
      <c r="D174" t="str">
        <f>VLOOKUP(C174,[1]Orders!$A$5:$W$1043,3,0)</f>
        <v>Scott Cohen</v>
      </c>
      <c r="E174">
        <f>VLOOKUP(C174,[1]Orders!$A$5:$W$1043,23,0)</f>
        <v>129.32999999999998</v>
      </c>
      <c r="F174" t="str">
        <f>VLOOKUP(C174,[1]Orders!$A$5:$W$1043,5,0)</f>
        <v>Melbourne</v>
      </c>
      <c r="G174" t="str">
        <f>VLOOKUP(C174,[1]Orders!$A$5:$W$1043,5,0)</f>
        <v>Melbourne</v>
      </c>
      <c r="H174" t="str">
        <f>VLOOKUP(C174,[1]Orders!$A$5:$W$1043,6,0)</f>
        <v>VIC</v>
      </c>
      <c r="I174" t="str">
        <f>VLOOKUP(C174,[1]Orders!$A$5:$W$1043,7,0)</f>
        <v>Consumer</v>
      </c>
      <c r="J174" t="str">
        <f>VLOOKUP(C174,[1]Orders!$A$5:$W$1043,8,0)</f>
        <v>Connor Betts</v>
      </c>
      <c r="K174" t="str">
        <f>VLOOKUP(C174,[1]Orders!$A$5:$W$1043,9,0)</f>
        <v>High</v>
      </c>
    </row>
    <row r="175" spans="3:11" x14ac:dyDescent="0.25">
      <c r="C175" s="61" t="s">
        <v>267</v>
      </c>
      <c r="D175" t="str">
        <f>VLOOKUP(C175,[1]Orders!$A$5:$W$1043,3,0)</f>
        <v>Liz MacKendrick</v>
      </c>
      <c r="E175">
        <f>VLOOKUP(C175,[1]Orders!$A$5:$W$1043,23,0)</f>
        <v>308.09000000000003</v>
      </c>
      <c r="F175" t="str">
        <f>VLOOKUP(C175,[1]Orders!$A$5:$W$1043,5,0)</f>
        <v>Melbourne</v>
      </c>
      <c r="G175" t="str">
        <f>VLOOKUP(C175,[1]Orders!$A$5:$W$1043,5,0)</f>
        <v>Melbourne</v>
      </c>
      <c r="H175" t="str">
        <f>VLOOKUP(C175,[1]Orders!$A$5:$W$1043,6,0)</f>
        <v>VIC</v>
      </c>
      <c r="I175" t="str">
        <f>VLOOKUP(C175,[1]Orders!$A$5:$W$1043,7,0)</f>
        <v>Corporate</v>
      </c>
      <c r="J175" t="str">
        <f>VLOOKUP(C175,[1]Orders!$A$5:$W$1043,8,0)</f>
        <v>Connor Betts</v>
      </c>
      <c r="K175" t="str">
        <f>VLOOKUP(C175,[1]Orders!$A$5:$W$1043,9,0)</f>
        <v>Low</v>
      </c>
    </row>
    <row r="176" spans="3:11" x14ac:dyDescent="0.25">
      <c r="C176" s="61" t="s">
        <v>268</v>
      </c>
      <c r="D176" t="str">
        <f>VLOOKUP(C176,[1]Orders!$A$5:$W$1043,3,0)</f>
        <v>Aaron Smayling</v>
      </c>
      <c r="E176">
        <f>VLOOKUP(C176,[1]Orders!$A$5:$W$1043,23,0)</f>
        <v>37.380000000000003</v>
      </c>
      <c r="F176" t="str">
        <f>VLOOKUP(C176,[1]Orders!$A$5:$W$1043,5,0)</f>
        <v>Sydney</v>
      </c>
      <c r="G176" t="str">
        <f>VLOOKUP(C176,[1]Orders!$A$5:$W$1043,5,0)</f>
        <v>Sydney</v>
      </c>
      <c r="H176" t="str">
        <f>VLOOKUP(C176,[1]Orders!$A$5:$W$1043,6,0)</f>
        <v>NSW</v>
      </c>
      <c r="I176" t="str">
        <f>VLOOKUP(C176,[1]Orders!$A$5:$W$1043,7,0)</f>
        <v>Small Business</v>
      </c>
      <c r="J176" t="str">
        <f>VLOOKUP(C176,[1]Orders!$A$5:$W$1043,8,0)</f>
        <v>Nicholas Fernandes</v>
      </c>
      <c r="K176" t="str">
        <f>VLOOKUP(C176,[1]Orders!$A$5:$W$1043,9,0)</f>
        <v>Medium</v>
      </c>
    </row>
    <row r="177" spans="3:11" x14ac:dyDescent="0.25">
      <c r="C177" s="61" t="s">
        <v>269</v>
      </c>
      <c r="D177" t="str">
        <f>VLOOKUP(C177,[1]Orders!$A$5:$W$1043,3,0)</f>
        <v>Carlos Meador</v>
      </c>
      <c r="E177">
        <f>VLOOKUP(C177,[1]Orders!$A$5:$W$1043,23,0)</f>
        <v>1160.47</v>
      </c>
      <c r="F177" t="str">
        <f>VLOOKUP(C177,[1]Orders!$A$5:$W$1043,5,0)</f>
        <v>Sydney</v>
      </c>
      <c r="G177" t="str">
        <f>VLOOKUP(C177,[1]Orders!$A$5:$W$1043,5,0)</f>
        <v>Sydney</v>
      </c>
      <c r="H177" t="str">
        <f>VLOOKUP(C177,[1]Orders!$A$5:$W$1043,6,0)</f>
        <v>NSW</v>
      </c>
      <c r="I177" t="str">
        <f>VLOOKUP(C177,[1]Orders!$A$5:$W$1043,7,0)</f>
        <v>Corporate</v>
      </c>
      <c r="J177" t="str">
        <f>VLOOKUP(C177,[1]Orders!$A$5:$W$1043,8,0)</f>
        <v>Tina Carlton</v>
      </c>
      <c r="K177" t="str">
        <f>VLOOKUP(C177,[1]Orders!$A$5:$W$1043,9,0)</f>
        <v>Medium</v>
      </c>
    </row>
    <row r="178" spans="3:11" x14ac:dyDescent="0.25">
      <c r="C178" s="61" t="s">
        <v>270</v>
      </c>
      <c r="D178" t="str">
        <f>VLOOKUP(C178,[1]Orders!$A$5:$W$1043,3,0)</f>
        <v>Giulietta Dortch</v>
      </c>
      <c r="E178">
        <f>VLOOKUP(C178,[1]Orders!$A$5:$W$1043,23,0)</f>
        <v>89.8</v>
      </c>
      <c r="F178" t="str">
        <f>VLOOKUP(C178,[1]Orders!$A$5:$W$1043,5,0)</f>
        <v>Melbourne</v>
      </c>
      <c r="G178" t="str">
        <f>VLOOKUP(C178,[1]Orders!$A$5:$W$1043,5,0)</f>
        <v>Melbourne</v>
      </c>
      <c r="H178" t="str">
        <f>VLOOKUP(C178,[1]Orders!$A$5:$W$1043,6,0)</f>
        <v>VIC</v>
      </c>
      <c r="I178" t="str">
        <f>VLOOKUP(C178,[1]Orders!$A$5:$W$1043,7,0)</f>
        <v>Small Business</v>
      </c>
      <c r="J178" t="str">
        <f>VLOOKUP(C178,[1]Orders!$A$5:$W$1043,8,0)</f>
        <v>Connor Betts</v>
      </c>
      <c r="K178" t="str">
        <f>VLOOKUP(C178,[1]Orders!$A$5:$W$1043,9,0)</f>
        <v>High</v>
      </c>
    </row>
    <row r="179" spans="3:11" x14ac:dyDescent="0.25">
      <c r="C179" s="61" t="s">
        <v>271</v>
      </c>
      <c r="D179" t="str">
        <f>VLOOKUP(C179,[1]Orders!$A$5:$W$1043,3,0)</f>
        <v>Paul Lucas</v>
      </c>
      <c r="E179">
        <f>VLOOKUP(C179,[1]Orders!$A$5:$W$1043,23,0)</f>
        <v>142.69</v>
      </c>
      <c r="F179" t="str">
        <f>VLOOKUP(C179,[1]Orders!$A$5:$W$1043,5,0)</f>
        <v>Sydney</v>
      </c>
      <c r="G179" t="str">
        <f>VLOOKUP(C179,[1]Orders!$A$5:$W$1043,5,0)</f>
        <v>Sydney</v>
      </c>
      <c r="H179" t="str">
        <f>VLOOKUP(C179,[1]Orders!$A$5:$W$1043,6,0)</f>
        <v>NSW</v>
      </c>
      <c r="I179" t="str">
        <f>VLOOKUP(C179,[1]Orders!$A$5:$W$1043,7,0)</f>
        <v>Corporate</v>
      </c>
      <c r="J179" t="str">
        <f>VLOOKUP(C179,[1]Orders!$A$5:$W$1043,8,0)</f>
        <v>Leighton Forrest</v>
      </c>
      <c r="K179" t="str">
        <f>VLOOKUP(C179,[1]Orders!$A$5:$W$1043,9,0)</f>
        <v>High</v>
      </c>
    </row>
    <row r="180" spans="3:11" x14ac:dyDescent="0.25">
      <c r="C180" s="61" t="s">
        <v>272</v>
      </c>
      <c r="D180" t="str">
        <f>VLOOKUP(C180,[1]Orders!$A$5:$W$1043,3,0)</f>
        <v>Aleksandra Gannaway</v>
      </c>
      <c r="E180">
        <f>VLOOKUP(C180,[1]Orders!$A$5:$W$1043,23,0)</f>
        <v>519.87</v>
      </c>
      <c r="F180" t="str">
        <f>VLOOKUP(C180,[1]Orders!$A$5:$W$1043,5,0)</f>
        <v>Sydney</v>
      </c>
      <c r="G180" t="str">
        <f>VLOOKUP(C180,[1]Orders!$A$5:$W$1043,5,0)</f>
        <v>Sydney</v>
      </c>
      <c r="H180" t="str">
        <f>VLOOKUP(C180,[1]Orders!$A$5:$W$1043,6,0)</f>
        <v>NSW</v>
      </c>
      <c r="I180" t="str">
        <f>VLOOKUP(C180,[1]Orders!$A$5:$W$1043,7,0)</f>
        <v>Home Office</v>
      </c>
      <c r="J180" t="str">
        <f>VLOOKUP(C180,[1]Orders!$A$5:$W$1043,8,0)</f>
        <v>Tina Carlton</v>
      </c>
      <c r="K180" t="str">
        <f>VLOOKUP(C180,[1]Orders!$A$5:$W$1043,9,0)</f>
        <v>High</v>
      </c>
    </row>
    <row r="181" spans="3:11" x14ac:dyDescent="0.25">
      <c r="C181" s="61" t="s">
        <v>273</v>
      </c>
      <c r="D181" t="str">
        <f>VLOOKUP(C181,[1]Orders!$A$5:$W$1043,3,0)</f>
        <v>Roy Collins</v>
      </c>
      <c r="E181">
        <f>VLOOKUP(C181,[1]Orders!$A$5:$W$1043,23,0)</f>
        <v>10.43</v>
      </c>
      <c r="F181" t="str">
        <f>VLOOKUP(C181,[1]Orders!$A$5:$W$1043,5,0)</f>
        <v>Sydney</v>
      </c>
      <c r="G181" t="str">
        <f>VLOOKUP(C181,[1]Orders!$A$5:$W$1043,5,0)</f>
        <v>Sydney</v>
      </c>
      <c r="H181" t="str">
        <f>VLOOKUP(C181,[1]Orders!$A$5:$W$1043,6,0)</f>
        <v>NSW</v>
      </c>
      <c r="I181" t="str">
        <f>VLOOKUP(C181,[1]Orders!$A$5:$W$1043,7,0)</f>
        <v>Corporate</v>
      </c>
      <c r="J181" t="str">
        <f>VLOOKUP(C181,[1]Orders!$A$5:$W$1043,8,0)</f>
        <v>Natasha Song</v>
      </c>
      <c r="K181" t="str">
        <f>VLOOKUP(C181,[1]Orders!$A$5:$W$1043,9,0)</f>
        <v>Critical</v>
      </c>
    </row>
    <row r="182" spans="3:11" x14ac:dyDescent="0.25">
      <c r="C182" s="61" t="s">
        <v>274</v>
      </c>
      <c r="D182" t="str">
        <f>VLOOKUP(C182,[1]Orders!$A$5:$W$1043,3,0)</f>
        <v>Eugene Hildebrand</v>
      </c>
      <c r="E182">
        <f>VLOOKUP(C182,[1]Orders!$A$5:$W$1043,23,0)</f>
        <v>92.97</v>
      </c>
      <c r="F182" t="str">
        <f>VLOOKUP(C182,[1]Orders!$A$5:$W$1043,5,0)</f>
        <v>Melbourne</v>
      </c>
      <c r="G182" t="str">
        <f>VLOOKUP(C182,[1]Orders!$A$5:$W$1043,5,0)</f>
        <v>Melbourne</v>
      </c>
      <c r="H182" t="str">
        <f>VLOOKUP(C182,[1]Orders!$A$5:$W$1043,6,0)</f>
        <v>VIC</v>
      </c>
      <c r="I182" t="str">
        <f>VLOOKUP(C182,[1]Orders!$A$5:$W$1043,7,0)</f>
        <v>Home Office</v>
      </c>
      <c r="J182" t="str">
        <f>VLOOKUP(C182,[1]Orders!$A$5:$W$1043,8,0)</f>
        <v>Yvette Biti</v>
      </c>
      <c r="K182" t="str">
        <f>VLOOKUP(C182,[1]Orders!$A$5:$W$1043,9,0)</f>
        <v>Medium</v>
      </c>
    </row>
    <row r="183" spans="3:11" x14ac:dyDescent="0.25">
      <c r="C183" s="61" t="s">
        <v>275</v>
      </c>
      <c r="D183" t="str">
        <f>VLOOKUP(C183,[1]Orders!$A$5:$W$1043,3,0)</f>
        <v>Adam Bellavance</v>
      </c>
      <c r="E183">
        <f>VLOOKUP(C183,[1]Orders!$A$5:$W$1043,23,0)</f>
        <v>645.88</v>
      </c>
      <c r="F183" t="str">
        <f>VLOOKUP(C183,[1]Orders!$A$5:$W$1043,5,0)</f>
        <v>Sydney</v>
      </c>
      <c r="G183" t="str">
        <f>VLOOKUP(C183,[1]Orders!$A$5:$W$1043,5,0)</f>
        <v>Sydney</v>
      </c>
      <c r="H183" t="str">
        <f>VLOOKUP(C183,[1]Orders!$A$5:$W$1043,6,0)</f>
        <v>NSW</v>
      </c>
      <c r="I183" t="str">
        <f>VLOOKUP(C183,[1]Orders!$A$5:$W$1043,7,0)</f>
        <v>Small Business</v>
      </c>
      <c r="J183" t="str">
        <f>VLOOKUP(C183,[1]Orders!$A$5:$W$1043,8,0)</f>
        <v>Leighton Forrest</v>
      </c>
      <c r="K183" t="str">
        <f>VLOOKUP(C183,[1]Orders!$A$5:$W$1043,9,0)</f>
        <v>Not Specified</v>
      </c>
    </row>
    <row r="184" spans="3:11" x14ac:dyDescent="0.25">
      <c r="C184" s="61" t="s">
        <v>276</v>
      </c>
      <c r="D184" t="str">
        <f>VLOOKUP(C184,[1]Orders!$A$5:$W$1043,3,0)</f>
        <v>Mitch Gastineau</v>
      </c>
      <c r="E184">
        <f>VLOOKUP(C184,[1]Orders!$A$5:$W$1043,23,0)</f>
        <v>383.54</v>
      </c>
      <c r="F184" t="str">
        <f>VLOOKUP(C184,[1]Orders!$A$5:$W$1043,5,0)</f>
        <v>Sydney</v>
      </c>
      <c r="G184" t="str">
        <f>VLOOKUP(C184,[1]Orders!$A$5:$W$1043,5,0)</f>
        <v>Sydney</v>
      </c>
      <c r="H184" t="str">
        <f>VLOOKUP(C184,[1]Orders!$A$5:$W$1043,6,0)</f>
        <v>NSW</v>
      </c>
      <c r="I184" t="str">
        <f>VLOOKUP(C184,[1]Orders!$A$5:$W$1043,7,0)</f>
        <v>Small Business</v>
      </c>
      <c r="J184" t="str">
        <f>VLOOKUP(C184,[1]Orders!$A$5:$W$1043,8,0)</f>
        <v>Mihael Khan</v>
      </c>
      <c r="K184" t="str">
        <f>VLOOKUP(C184,[1]Orders!$A$5:$W$1043,9,0)</f>
        <v>Low</v>
      </c>
    </row>
    <row r="185" spans="3:11" x14ac:dyDescent="0.25">
      <c r="C185" s="61" t="s">
        <v>277</v>
      </c>
      <c r="D185" t="str">
        <f>VLOOKUP(C185,[1]Orders!$A$5:$W$1043,3,0)</f>
        <v>Stuart Calhoun</v>
      </c>
      <c r="E185">
        <f>VLOOKUP(C185,[1]Orders!$A$5:$W$1043,23,0)</f>
        <v>262.58999999999997</v>
      </c>
      <c r="F185" t="str">
        <f>VLOOKUP(C185,[1]Orders!$A$5:$W$1043,5,0)</f>
        <v>Sydney</v>
      </c>
      <c r="G185" t="str">
        <f>VLOOKUP(C185,[1]Orders!$A$5:$W$1043,5,0)</f>
        <v>Sydney</v>
      </c>
      <c r="H185" t="str">
        <f>VLOOKUP(C185,[1]Orders!$A$5:$W$1043,6,0)</f>
        <v>NSW</v>
      </c>
      <c r="I185" t="str">
        <f>VLOOKUP(C185,[1]Orders!$A$5:$W$1043,7,0)</f>
        <v>Consumer</v>
      </c>
      <c r="J185" t="str">
        <f>VLOOKUP(C185,[1]Orders!$A$5:$W$1043,8,0)</f>
        <v>Phoebe Gour</v>
      </c>
      <c r="K185" t="str">
        <f>VLOOKUP(C185,[1]Orders!$A$5:$W$1043,9,0)</f>
        <v>High</v>
      </c>
    </row>
    <row r="186" spans="3:11" x14ac:dyDescent="0.25">
      <c r="C186" s="61" t="s">
        <v>278</v>
      </c>
      <c r="D186" t="str">
        <f>VLOOKUP(C186,[1]Orders!$A$5:$W$1043,3,0)</f>
        <v>Denise Leinenbach</v>
      </c>
      <c r="E186">
        <f>VLOOKUP(C186,[1]Orders!$A$5:$W$1043,23,0)</f>
        <v>72.929999999999993</v>
      </c>
      <c r="F186" t="str">
        <f>VLOOKUP(C186,[1]Orders!$A$5:$W$1043,5,0)</f>
        <v>Melbourne</v>
      </c>
      <c r="G186" t="str">
        <f>VLOOKUP(C186,[1]Orders!$A$5:$W$1043,5,0)</f>
        <v>Melbourne</v>
      </c>
      <c r="H186" t="str">
        <f>VLOOKUP(C186,[1]Orders!$A$5:$W$1043,6,0)</f>
        <v>VIC</v>
      </c>
      <c r="I186" t="str">
        <f>VLOOKUP(C186,[1]Orders!$A$5:$W$1043,7,0)</f>
        <v>Home Office</v>
      </c>
      <c r="J186" t="str">
        <f>VLOOKUP(C186,[1]Orders!$A$5:$W$1043,8,0)</f>
        <v>Connor Betts</v>
      </c>
      <c r="K186" t="str">
        <f>VLOOKUP(C186,[1]Orders!$A$5:$W$1043,9,0)</f>
        <v>High</v>
      </c>
    </row>
    <row r="187" spans="3:11" x14ac:dyDescent="0.25">
      <c r="C187" s="61" t="s">
        <v>279</v>
      </c>
      <c r="D187" t="str">
        <f>VLOOKUP(C187,[1]Orders!$A$5:$W$1043,3,0)</f>
        <v>Mitch Webber</v>
      </c>
      <c r="E187">
        <f>VLOOKUP(C187,[1]Orders!$A$5:$W$1043,23,0)</f>
        <v>932.25</v>
      </c>
      <c r="F187" t="str">
        <f>VLOOKUP(C187,[1]Orders!$A$5:$W$1043,5,0)</f>
        <v>Sydney</v>
      </c>
      <c r="G187" t="str">
        <f>VLOOKUP(C187,[1]Orders!$A$5:$W$1043,5,0)</f>
        <v>Sydney</v>
      </c>
      <c r="H187" t="str">
        <f>VLOOKUP(C187,[1]Orders!$A$5:$W$1043,6,0)</f>
        <v>NSW</v>
      </c>
      <c r="I187" t="str">
        <f>VLOOKUP(C187,[1]Orders!$A$5:$W$1043,7,0)</f>
        <v>Corporate</v>
      </c>
      <c r="J187" t="str">
        <f>VLOOKUP(C187,[1]Orders!$A$5:$W$1043,8,0)</f>
        <v>Tina Carlton</v>
      </c>
      <c r="K187" t="str">
        <f>VLOOKUP(C187,[1]Orders!$A$5:$W$1043,9,0)</f>
        <v>Not Specified</v>
      </c>
    </row>
    <row r="188" spans="3:11" x14ac:dyDescent="0.25">
      <c r="C188" s="61" t="s">
        <v>280</v>
      </c>
      <c r="D188" t="str">
        <f>VLOOKUP(C188,[1]Orders!$A$5:$W$1043,3,0)</f>
        <v>Sara Luxemburg</v>
      </c>
      <c r="E188">
        <f>VLOOKUP(C188,[1]Orders!$A$5:$W$1043,23,0)</f>
        <v>55.77</v>
      </c>
      <c r="F188" t="str">
        <f>VLOOKUP(C188,[1]Orders!$A$5:$W$1043,5,0)</f>
        <v>Melbourne</v>
      </c>
      <c r="G188" t="str">
        <f>VLOOKUP(C188,[1]Orders!$A$5:$W$1043,5,0)</f>
        <v>Melbourne</v>
      </c>
      <c r="H188" t="str">
        <f>VLOOKUP(C188,[1]Orders!$A$5:$W$1043,6,0)</f>
        <v>VIC</v>
      </c>
      <c r="I188" t="str">
        <f>VLOOKUP(C188,[1]Orders!$A$5:$W$1043,7,0)</f>
        <v>Small Business</v>
      </c>
      <c r="J188" t="str">
        <f>VLOOKUP(C188,[1]Orders!$A$5:$W$1043,8,0)</f>
        <v>Connor Betts</v>
      </c>
      <c r="K188" t="str">
        <f>VLOOKUP(C188,[1]Orders!$A$5:$W$1043,9,0)</f>
        <v>Critical</v>
      </c>
    </row>
    <row r="189" spans="3:11" x14ac:dyDescent="0.25">
      <c r="C189" s="61" t="s">
        <v>281</v>
      </c>
      <c r="D189" t="str">
        <f>VLOOKUP(C189,[1]Orders!$A$5:$W$1043,3,0)</f>
        <v>Aaron Smayling</v>
      </c>
      <c r="E189">
        <f>VLOOKUP(C189,[1]Orders!$A$5:$W$1043,23,0)</f>
        <v>1012.9699999999999</v>
      </c>
      <c r="F189" t="str">
        <f>VLOOKUP(C189,[1]Orders!$A$5:$W$1043,5,0)</f>
        <v>Sydney</v>
      </c>
      <c r="G189" t="str">
        <f>VLOOKUP(C189,[1]Orders!$A$5:$W$1043,5,0)</f>
        <v>Sydney</v>
      </c>
      <c r="H189" t="str">
        <f>VLOOKUP(C189,[1]Orders!$A$5:$W$1043,6,0)</f>
        <v>NSW</v>
      </c>
      <c r="I189" t="str">
        <f>VLOOKUP(C189,[1]Orders!$A$5:$W$1043,7,0)</f>
        <v>Small Business</v>
      </c>
      <c r="J189" t="str">
        <f>VLOOKUP(C189,[1]Orders!$A$5:$W$1043,8,0)</f>
        <v>Nicholas Fernandes</v>
      </c>
      <c r="K189" t="str">
        <f>VLOOKUP(C189,[1]Orders!$A$5:$W$1043,9,0)</f>
        <v>Medium</v>
      </c>
    </row>
    <row r="190" spans="3:11" x14ac:dyDescent="0.25">
      <c r="C190" s="61" t="s">
        <v>282</v>
      </c>
      <c r="D190" t="str">
        <f>VLOOKUP(C190,[1]Orders!$A$5:$W$1043,3,0)</f>
        <v>Julie Kriz</v>
      </c>
      <c r="E190">
        <f>VLOOKUP(C190,[1]Orders!$A$5:$W$1043,23,0)</f>
        <v>50.800000000000004</v>
      </c>
      <c r="F190" t="str">
        <f>VLOOKUP(C190,[1]Orders!$A$5:$W$1043,5,0)</f>
        <v>Sydney</v>
      </c>
      <c r="G190" t="str">
        <f>VLOOKUP(C190,[1]Orders!$A$5:$W$1043,5,0)</f>
        <v>Sydney</v>
      </c>
      <c r="H190" t="str">
        <f>VLOOKUP(C190,[1]Orders!$A$5:$W$1043,6,0)</f>
        <v>NSW</v>
      </c>
      <c r="I190" t="str">
        <f>VLOOKUP(C190,[1]Orders!$A$5:$W$1043,7,0)</f>
        <v>Corporate</v>
      </c>
      <c r="J190" t="str">
        <f>VLOOKUP(C190,[1]Orders!$A$5:$W$1043,8,0)</f>
        <v>Nicholas Fernandes</v>
      </c>
      <c r="K190" t="str">
        <f>VLOOKUP(C190,[1]Orders!$A$5:$W$1043,9,0)</f>
        <v>Critical</v>
      </c>
    </row>
    <row r="191" spans="3:11" x14ac:dyDescent="0.25">
      <c r="C191" s="61" t="s">
        <v>283</v>
      </c>
      <c r="D191" t="str">
        <f>VLOOKUP(C191,[1]Orders!$A$5:$W$1043,3,0)</f>
        <v>Craig Carroll</v>
      </c>
      <c r="E191">
        <f>VLOOKUP(C191,[1]Orders!$A$5:$W$1043,23,0)</f>
        <v>56.87</v>
      </c>
      <c r="F191" t="str">
        <f>VLOOKUP(C191,[1]Orders!$A$5:$W$1043,5,0)</f>
        <v>Melbourne</v>
      </c>
      <c r="G191" t="str">
        <f>VLOOKUP(C191,[1]Orders!$A$5:$W$1043,5,0)</f>
        <v>Melbourne</v>
      </c>
      <c r="H191" t="str">
        <f>VLOOKUP(C191,[1]Orders!$A$5:$W$1043,6,0)</f>
        <v>VIC</v>
      </c>
      <c r="I191" t="str">
        <f>VLOOKUP(C191,[1]Orders!$A$5:$W$1043,7,0)</f>
        <v>Corporate</v>
      </c>
      <c r="J191" t="str">
        <f>VLOOKUP(C191,[1]Orders!$A$5:$W$1043,8,0)</f>
        <v>Connor Betts</v>
      </c>
      <c r="K191" t="str">
        <f>VLOOKUP(C191,[1]Orders!$A$5:$W$1043,9,0)</f>
        <v>Not Specified</v>
      </c>
    </row>
    <row r="192" spans="3:11" x14ac:dyDescent="0.25">
      <c r="C192" s="61" t="s">
        <v>284</v>
      </c>
      <c r="D192" t="str">
        <f>VLOOKUP(C192,[1]Orders!$A$5:$W$1043,3,0)</f>
        <v>George Zrebassa</v>
      </c>
      <c r="E192">
        <f>VLOOKUP(C192,[1]Orders!$A$5:$W$1043,23,0)</f>
        <v>13.2</v>
      </c>
      <c r="F192" t="str">
        <f>VLOOKUP(C192,[1]Orders!$A$5:$W$1043,5,0)</f>
        <v>Sydney</v>
      </c>
      <c r="G192" t="str">
        <f>VLOOKUP(C192,[1]Orders!$A$5:$W$1043,5,0)</f>
        <v>Sydney</v>
      </c>
      <c r="H192" t="str">
        <f>VLOOKUP(C192,[1]Orders!$A$5:$W$1043,6,0)</f>
        <v>NSW</v>
      </c>
      <c r="I192" t="str">
        <f>VLOOKUP(C192,[1]Orders!$A$5:$W$1043,7,0)</f>
        <v>Home Office</v>
      </c>
      <c r="J192" t="str">
        <f>VLOOKUP(C192,[1]Orders!$A$5:$W$1043,8,0)</f>
        <v>Samantha Chairs</v>
      </c>
      <c r="K192" t="str">
        <f>VLOOKUP(C192,[1]Orders!$A$5:$W$1043,9,0)</f>
        <v>Critical</v>
      </c>
    </row>
    <row r="193" spans="3:11" x14ac:dyDescent="0.25">
      <c r="C193" s="61" t="s">
        <v>285</v>
      </c>
      <c r="D193" t="str">
        <f>VLOOKUP(C193,[1]Orders!$A$5:$W$1043,3,0)</f>
        <v>Rob Haberlin</v>
      </c>
      <c r="E193">
        <f>VLOOKUP(C193,[1]Orders!$A$5:$W$1043,23,0)</f>
        <v>62.69</v>
      </c>
      <c r="F193" t="str">
        <f>VLOOKUP(C193,[1]Orders!$A$5:$W$1043,5,0)</f>
        <v>Melbourne</v>
      </c>
      <c r="G193" t="str">
        <f>VLOOKUP(C193,[1]Orders!$A$5:$W$1043,5,0)</f>
        <v>Melbourne</v>
      </c>
      <c r="H193" t="str">
        <f>VLOOKUP(C193,[1]Orders!$A$5:$W$1043,6,0)</f>
        <v>VIC</v>
      </c>
      <c r="I193" t="str">
        <f>VLOOKUP(C193,[1]Orders!$A$5:$W$1043,7,0)</f>
        <v>Corporate</v>
      </c>
      <c r="J193" t="str">
        <f>VLOOKUP(C193,[1]Orders!$A$5:$W$1043,8,0)</f>
        <v>Connor Betts</v>
      </c>
      <c r="K193" t="str">
        <f>VLOOKUP(C193,[1]Orders!$A$5:$W$1043,9,0)</f>
        <v>High</v>
      </c>
    </row>
    <row r="194" spans="3:11" x14ac:dyDescent="0.25">
      <c r="C194" s="61" t="s">
        <v>286</v>
      </c>
      <c r="D194" t="str">
        <f>VLOOKUP(C194,[1]Orders!$A$5:$W$1043,3,0)</f>
        <v>Pauline Webber</v>
      </c>
      <c r="E194">
        <f>VLOOKUP(C194,[1]Orders!$A$5:$W$1043,23,0)</f>
        <v>3541.0799999999995</v>
      </c>
      <c r="F194" t="str">
        <f>VLOOKUP(C194,[1]Orders!$A$5:$W$1043,5,0)</f>
        <v>Melbourne</v>
      </c>
      <c r="G194" t="str">
        <f>VLOOKUP(C194,[1]Orders!$A$5:$W$1043,5,0)</f>
        <v>Melbourne</v>
      </c>
      <c r="H194" t="str">
        <f>VLOOKUP(C194,[1]Orders!$A$5:$W$1043,6,0)</f>
        <v>VIC</v>
      </c>
      <c r="I194" t="str">
        <f>VLOOKUP(C194,[1]Orders!$A$5:$W$1043,7,0)</f>
        <v>Consumer</v>
      </c>
      <c r="J194" t="str">
        <f>VLOOKUP(C194,[1]Orders!$A$5:$W$1043,8,0)</f>
        <v>Yvette Biti</v>
      </c>
      <c r="K194" t="str">
        <f>VLOOKUP(C194,[1]Orders!$A$5:$W$1043,9,0)</f>
        <v>Low</v>
      </c>
    </row>
    <row r="195" spans="3:11" x14ac:dyDescent="0.25">
      <c r="C195" s="61" t="s">
        <v>287</v>
      </c>
      <c r="D195" t="str">
        <f>VLOOKUP(C195,[1]Orders!$A$5:$W$1043,3,0)</f>
        <v>Ben Wallace</v>
      </c>
      <c r="E195">
        <f>VLOOKUP(C195,[1]Orders!$A$5:$W$1043,23,0)</f>
        <v>127.74</v>
      </c>
      <c r="F195" t="str">
        <f>VLOOKUP(C195,[1]Orders!$A$5:$W$1043,5,0)</f>
        <v>Melbourne</v>
      </c>
      <c r="G195" t="str">
        <f>VLOOKUP(C195,[1]Orders!$A$5:$W$1043,5,0)</f>
        <v>Melbourne</v>
      </c>
      <c r="H195" t="str">
        <f>VLOOKUP(C195,[1]Orders!$A$5:$W$1043,6,0)</f>
        <v>VIC</v>
      </c>
      <c r="I195" t="str">
        <f>VLOOKUP(C195,[1]Orders!$A$5:$W$1043,7,0)</f>
        <v>Home Office</v>
      </c>
      <c r="J195" t="str">
        <f>VLOOKUP(C195,[1]Orders!$A$5:$W$1043,8,0)</f>
        <v>Yvette Biti</v>
      </c>
      <c r="K195" t="str">
        <f>VLOOKUP(C195,[1]Orders!$A$5:$W$1043,9,0)</f>
        <v>Critical</v>
      </c>
    </row>
    <row r="196" spans="3:11" x14ac:dyDescent="0.25">
      <c r="C196" s="61" t="s">
        <v>288</v>
      </c>
      <c r="D196" t="str">
        <f>VLOOKUP(C196,[1]Orders!$A$5:$W$1043,3,0)</f>
        <v>Giulietta Dortch</v>
      </c>
      <c r="E196">
        <f>VLOOKUP(C196,[1]Orders!$A$5:$W$1043,23,0)</f>
        <v>203.96999999999997</v>
      </c>
      <c r="F196" t="str">
        <f>VLOOKUP(C196,[1]Orders!$A$5:$W$1043,5,0)</f>
        <v>Melbourne</v>
      </c>
      <c r="G196" t="str">
        <f>VLOOKUP(C196,[1]Orders!$A$5:$W$1043,5,0)</f>
        <v>Melbourne</v>
      </c>
      <c r="H196" t="str">
        <f>VLOOKUP(C196,[1]Orders!$A$5:$W$1043,6,0)</f>
        <v>VIC</v>
      </c>
      <c r="I196" t="str">
        <f>VLOOKUP(C196,[1]Orders!$A$5:$W$1043,7,0)</f>
        <v>Small Business</v>
      </c>
      <c r="J196" t="str">
        <f>VLOOKUP(C196,[1]Orders!$A$5:$W$1043,8,0)</f>
        <v>Connor Betts</v>
      </c>
      <c r="K196" t="str">
        <f>VLOOKUP(C196,[1]Orders!$A$5:$W$1043,9,0)</f>
        <v>Critical</v>
      </c>
    </row>
    <row r="197" spans="3:11" x14ac:dyDescent="0.25">
      <c r="C197" s="61" t="s">
        <v>289</v>
      </c>
      <c r="D197" t="str">
        <f>VLOOKUP(C197,[1]Orders!$A$5:$W$1043,3,0)</f>
        <v>Adam Shillingsburg</v>
      </c>
      <c r="E197">
        <f>VLOOKUP(C197,[1]Orders!$A$5:$W$1043,23,0)</f>
        <v>5448.82</v>
      </c>
      <c r="F197" t="str">
        <f>VLOOKUP(C197,[1]Orders!$A$5:$W$1043,5,0)</f>
        <v>Sydney</v>
      </c>
      <c r="G197" t="str">
        <f>VLOOKUP(C197,[1]Orders!$A$5:$W$1043,5,0)</f>
        <v>Sydney</v>
      </c>
      <c r="H197" t="str">
        <f>VLOOKUP(C197,[1]Orders!$A$5:$W$1043,6,0)</f>
        <v>NSW</v>
      </c>
      <c r="I197" t="str">
        <f>VLOOKUP(C197,[1]Orders!$A$5:$W$1043,7,0)</f>
        <v>Corporate</v>
      </c>
      <c r="J197" t="str">
        <f>VLOOKUP(C197,[1]Orders!$A$5:$W$1043,8,0)</f>
        <v>Stevie Bacata</v>
      </c>
      <c r="K197" t="str">
        <f>VLOOKUP(C197,[1]Orders!$A$5:$W$1043,9,0)</f>
        <v>High</v>
      </c>
    </row>
    <row r="198" spans="3:11" x14ac:dyDescent="0.25">
      <c r="C198" s="61" t="s">
        <v>290</v>
      </c>
      <c r="D198" t="str">
        <f>VLOOKUP(C198,[1]Orders!$A$5:$W$1043,3,0)</f>
        <v>Rick Hansen</v>
      </c>
      <c r="E198">
        <f>VLOOKUP(C198,[1]Orders!$A$5:$W$1043,23,0)</f>
        <v>24.36</v>
      </c>
      <c r="F198" t="str">
        <f>VLOOKUP(C198,[1]Orders!$A$5:$W$1043,5,0)</f>
        <v>Sydney</v>
      </c>
      <c r="G198" t="str">
        <f>VLOOKUP(C198,[1]Orders!$A$5:$W$1043,5,0)</f>
        <v>Sydney</v>
      </c>
      <c r="H198" t="str">
        <f>VLOOKUP(C198,[1]Orders!$A$5:$W$1043,6,0)</f>
        <v>NSW</v>
      </c>
      <c r="I198" t="str">
        <f>VLOOKUP(C198,[1]Orders!$A$5:$W$1043,7,0)</f>
        <v>Corporate</v>
      </c>
      <c r="J198" t="str">
        <f>VLOOKUP(C198,[1]Orders!$A$5:$W$1043,8,0)</f>
        <v>Nicholas Fernandes</v>
      </c>
      <c r="K198" t="str">
        <f>VLOOKUP(C198,[1]Orders!$A$5:$W$1043,9,0)</f>
        <v>High</v>
      </c>
    </row>
    <row r="199" spans="3:11" x14ac:dyDescent="0.25">
      <c r="C199" s="61" t="s">
        <v>291</v>
      </c>
      <c r="D199" t="str">
        <f>VLOOKUP(C199,[1]Orders!$A$5:$W$1043,3,0)</f>
        <v>Edward Becker</v>
      </c>
      <c r="E199">
        <f>VLOOKUP(C199,[1]Orders!$A$5:$W$1043,23,0)</f>
        <v>904.89</v>
      </c>
      <c r="F199" t="str">
        <f>VLOOKUP(C199,[1]Orders!$A$5:$W$1043,5,0)</f>
        <v>Sydney</v>
      </c>
      <c r="G199" t="str">
        <f>VLOOKUP(C199,[1]Orders!$A$5:$W$1043,5,0)</f>
        <v>Sydney</v>
      </c>
      <c r="H199" t="str">
        <f>VLOOKUP(C199,[1]Orders!$A$5:$W$1043,6,0)</f>
        <v>NSW</v>
      </c>
      <c r="I199" t="str">
        <f>VLOOKUP(C199,[1]Orders!$A$5:$W$1043,7,0)</f>
        <v>Corporate</v>
      </c>
      <c r="J199" t="str">
        <f>VLOOKUP(C199,[1]Orders!$A$5:$W$1043,8,0)</f>
        <v>Samantha Chairs</v>
      </c>
      <c r="K199" t="str">
        <f>VLOOKUP(C199,[1]Orders!$A$5:$W$1043,9,0)</f>
        <v>Low</v>
      </c>
    </row>
    <row r="200" spans="3:11" x14ac:dyDescent="0.25">
      <c r="C200" s="61" t="s">
        <v>292</v>
      </c>
      <c r="D200" t="str">
        <f>VLOOKUP(C200,[1]Orders!$A$5:$W$1043,3,0)</f>
        <v>Sean ODonnell</v>
      </c>
      <c r="E200">
        <f>VLOOKUP(C200,[1]Orders!$A$5:$W$1043,23,0)</f>
        <v>65.059999999999988</v>
      </c>
      <c r="F200" t="str">
        <f>VLOOKUP(C200,[1]Orders!$A$5:$W$1043,5,0)</f>
        <v>Melbourne</v>
      </c>
      <c r="G200" t="str">
        <f>VLOOKUP(C200,[1]Orders!$A$5:$W$1043,5,0)</f>
        <v>Melbourne</v>
      </c>
      <c r="H200" t="str">
        <f>VLOOKUP(C200,[1]Orders!$A$5:$W$1043,6,0)</f>
        <v>VIC</v>
      </c>
      <c r="I200" t="str">
        <f>VLOOKUP(C200,[1]Orders!$A$5:$W$1043,7,0)</f>
        <v>Corporate</v>
      </c>
      <c r="J200" t="str">
        <f>VLOOKUP(C200,[1]Orders!$A$5:$W$1043,8,0)</f>
        <v>Yvette Biti</v>
      </c>
      <c r="K200" t="str">
        <f>VLOOKUP(C200,[1]Orders!$A$5:$W$1043,9,0)</f>
        <v>Not Specified</v>
      </c>
    </row>
    <row r="201" spans="3:11" x14ac:dyDescent="0.25">
      <c r="C201" s="61" t="s">
        <v>293</v>
      </c>
      <c r="D201" t="str">
        <f>VLOOKUP(C201,[1]Orders!$A$5:$W$1043,3,0)</f>
        <v>Karl Brown</v>
      </c>
      <c r="E201">
        <f>VLOOKUP(C201,[1]Orders!$A$5:$W$1043,23,0)</f>
        <v>85.11999999999999</v>
      </c>
      <c r="F201" t="str">
        <f>VLOOKUP(C201,[1]Orders!$A$5:$W$1043,5,0)</f>
        <v>Sydney</v>
      </c>
      <c r="G201" t="str">
        <f>VLOOKUP(C201,[1]Orders!$A$5:$W$1043,5,0)</f>
        <v>Sydney</v>
      </c>
      <c r="H201" t="str">
        <f>VLOOKUP(C201,[1]Orders!$A$5:$W$1043,6,0)</f>
        <v>NSW</v>
      </c>
      <c r="I201" t="str">
        <f>VLOOKUP(C201,[1]Orders!$A$5:$W$1043,7,0)</f>
        <v>Home Office</v>
      </c>
      <c r="J201" t="str">
        <f>VLOOKUP(C201,[1]Orders!$A$5:$W$1043,8,0)</f>
        <v>Tina Carlton</v>
      </c>
      <c r="K201" t="str">
        <f>VLOOKUP(C201,[1]Orders!$A$5:$W$1043,9,0)</f>
        <v>Critical</v>
      </c>
    </row>
    <row r="202" spans="3:11" x14ac:dyDescent="0.25">
      <c r="C202" s="61" t="s">
        <v>294</v>
      </c>
      <c r="D202" t="str">
        <f>VLOOKUP(C202,[1]Orders!$A$5:$W$1043,3,0)</f>
        <v>Eric Barreto</v>
      </c>
      <c r="E202">
        <f>VLOOKUP(C202,[1]Orders!$A$5:$W$1043,23,0)</f>
        <v>407.37</v>
      </c>
      <c r="F202" t="str">
        <f>VLOOKUP(C202,[1]Orders!$A$5:$W$1043,5,0)</f>
        <v>Sydney</v>
      </c>
      <c r="G202" t="str">
        <f>VLOOKUP(C202,[1]Orders!$A$5:$W$1043,5,0)</f>
        <v>Sydney</v>
      </c>
      <c r="H202" t="str">
        <f>VLOOKUP(C202,[1]Orders!$A$5:$W$1043,6,0)</f>
        <v>NSW</v>
      </c>
      <c r="I202" t="str">
        <f>VLOOKUP(C202,[1]Orders!$A$5:$W$1043,7,0)</f>
        <v>Consumer</v>
      </c>
      <c r="J202" t="str">
        <f>VLOOKUP(C202,[1]Orders!$A$5:$W$1043,8,0)</f>
        <v>Phoebe Gour</v>
      </c>
      <c r="K202" t="str">
        <f>VLOOKUP(C202,[1]Orders!$A$5:$W$1043,9,0)</f>
        <v>Low</v>
      </c>
    </row>
    <row r="203" spans="3:11" x14ac:dyDescent="0.25">
      <c r="C203" s="61" t="s">
        <v>295</v>
      </c>
      <c r="D203" t="str">
        <f>VLOOKUP(C203,[1]Orders!$A$5:$W$1043,3,0)</f>
        <v>Charles Sheldon</v>
      </c>
      <c r="E203">
        <f>VLOOKUP(C203,[1]Orders!$A$5:$W$1043,23,0)</f>
        <v>254.33</v>
      </c>
      <c r="F203" t="str">
        <f>VLOOKUP(C203,[1]Orders!$A$5:$W$1043,5,0)</f>
        <v>Melbourne</v>
      </c>
      <c r="G203" t="str">
        <f>VLOOKUP(C203,[1]Orders!$A$5:$W$1043,5,0)</f>
        <v>Melbourne</v>
      </c>
      <c r="H203" t="str">
        <f>VLOOKUP(C203,[1]Orders!$A$5:$W$1043,6,0)</f>
        <v>VIC</v>
      </c>
      <c r="I203" t="str">
        <f>VLOOKUP(C203,[1]Orders!$A$5:$W$1043,7,0)</f>
        <v>Corporate</v>
      </c>
      <c r="J203" t="str">
        <f>VLOOKUP(C203,[1]Orders!$A$5:$W$1043,8,0)</f>
        <v>Connor Betts</v>
      </c>
      <c r="K203" t="str">
        <f>VLOOKUP(C203,[1]Orders!$A$5:$W$1043,9,0)</f>
        <v>Low</v>
      </c>
    </row>
    <row r="204" spans="3:11" x14ac:dyDescent="0.25">
      <c r="C204" s="61" t="s">
        <v>296</v>
      </c>
      <c r="D204" t="str">
        <f>VLOOKUP(C204,[1]Orders!$A$5:$W$1043,3,0)</f>
        <v>Jesus Ocampo</v>
      </c>
      <c r="E204">
        <f>VLOOKUP(C204,[1]Orders!$A$5:$W$1043,23,0)</f>
        <v>4733.3100000000004</v>
      </c>
      <c r="F204" t="str">
        <f>VLOOKUP(C204,[1]Orders!$A$5:$W$1043,5,0)</f>
        <v>Melbourne</v>
      </c>
      <c r="G204" t="str">
        <f>VLOOKUP(C204,[1]Orders!$A$5:$W$1043,5,0)</f>
        <v>Melbourne</v>
      </c>
      <c r="H204" t="str">
        <f>VLOOKUP(C204,[1]Orders!$A$5:$W$1043,6,0)</f>
        <v>VIC</v>
      </c>
      <c r="I204" t="str">
        <f>VLOOKUP(C204,[1]Orders!$A$5:$W$1043,7,0)</f>
        <v>Small Business</v>
      </c>
      <c r="J204" t="str">
        <f>VLOOKUP(C204,[1]Orders!$A$5:$W$1043,8,0)</f>
        <v>Yvette Biti</v>
      </c>
      <c r="K204" t="str">
        <f>VLOOKUP(C204,[1]Orders!$A$5:$W$1043,9,0)</f>
        <v>Low</v>
      </c>
    </row>
    <row r="205" spans="3:11" x14ac:dyDescent="0.25">
      <c r="C205" s="61" t="s">
        <v>297</v>
      </c>
      <c r="D205" t="str">
        <f>VLOOKUP(C205,[1]Orders!$A$5:$W$1043,3,0)</f>
        <v>Thais Sissman</v>
      </c>
      <c r="E205">
        <f>VLOOKUP(C205,[1]Orders!$A$5:$W$1043,23,0)</f>
        <v>120.13000000000001</v>
      </c>
      <c r="F205" t="str">
        <f>VLOOKUP(C205,[1]Orders!$A$5:$W$1043,5,0)</f>
        <v>Sydney</v>
      </c>
      <c r="G205" t="str">
        <f>VLOOKUP(C205,[1]Orders!$A$5:$W$1043,5,0)</f>
        <v>Sydney</v>
      </c>
      <c r="H205" t="str">
        <f>VLOOKUP(C205,[1]Orders!$A$5:$W$1043,6,0)</f>
        <v>NSW</v>
      </c>
      <c r="I205" t="str">
        <f>VLOOKUP(C205,[1]Orders!$A$5:$W$1043,7,0)</f>
        <v>Corporate</v>
      </c>
      <c r="J205" t="str">
        <f>VLOOKUP(C205,[1]Orders!$A$5:$W$1043,8,0)</f>
        <v>Tina Carlton</v>
      </c>
      <c r="K205" t="str">
        <f>VLOOKUP(C205,[1]Orders!$A$5:$W$1043,9,0)</f>
        <v>Not Specified</v>
      </c>
    </row>
    <row r="206" spans="3:11" x14ac:dyDescent="0.25">
      <c r="C206" s="61" t="s">
        <v>298</v>
      </c>
      <c r="D206" t="str">
        <f>VLOOKUP(C206,[1]Orders!$A$5:$W$1043,3,0)</f>
        <v>Nick Zandusky</v>
      </c>
      <c r="E206">
        <f>VLOOKUP(C206,[1]Orders!$A$5:$W$1043,23,0)</f>
        <v>117.99</v>
      </c>
      <c r="F206" t="str">
        <f>VLOOKUP(C206,[1]Orders!$A$5:$W$1043,5,0)</f>
        <v>Melbourne</v>
      </c>
      <c r="G206" t="str">
        <f>VLOOKUP(C206,[1]Orders!$A$5:$W$1043,5,0)</f>
        <v>Melbourne</v>
      </c>
      <c r="H206" t="str">
        <f>VLOOKUP(C206,[1]Orders!$A$5:$W$1043,6,0)</f>
        <v>VIC</v>
      </c>
      <c r="I206" t="str">
        <f>VLOOKUP(C206,[1]Orders!$A$5:$W$1043,7,0)</f>
        <v>Small Business</v>
      </c>
      <c r="J206" t="str">
        <f>VLOOKUP(C206,[1]Orders!$A$5:$W$1043,8,0)</f>
        <v>Connor Betts</v>
      </c>
      <c r="K206" t="str">
        <f>VLOOKUP(C206,[1]Orders!$A$5:$W$1043,9,0)</f>
        <v>Not Specified</v>
      </c>
    </row>
    <row r="207" spans="3:11" x14ac:dyDescent="0.25">
      <c r="C207" s="61" t="s">
        <v>299</v>
      </c>
      <c r="D207" t="str">
        <f>VLOOKUP(C207,[1]Orders!$A$5:$W$1043,3,0)</f>
        <v>Corinna Mitchell</v>
      </c>
      <c r="E207">
        <f>VLOOKUP(C207,[1]Orders!$A$5:$W$1043,23,0)</f>
        <v>2893.74</v>
      </c>
      <c r="F207" t="str">
        <f>VLOOKUP(C207,[1]Orders!$A$5:$W$1043,5,0)</f>
        <v>Sydney</v>
      </c>
      <c r="G207" t="str">
        <f>VLOOKUP(C207,[1]Orders!$A$5:$W$1043,5,0)</f>
        <v>Sydney</v>
      </c>
      <c r="H207" t="str">
        <f>VLOOKUP(C207,[1]Orders!$A$5:$W$1043,6,0)</f>
        <v>NSW</v>
      </c>
      <c r="I207" t="str">
        <f>VLOOKUP(C207,[1]Orders!$A$5:$W$1043,7,0)</f>
        <v>Corporate</v>
      </c>
      <c r="J207" t="str">
        <f>VLOOKUP(C207,[1]Orders!$A$5:$W$1043,8,0)</f>
        <v>Nicholas Fernandes</v>
      </c>
      <c r="K207" t="str">
        <f>VLOOKUP(C207,[1]Orders!$A$5:$W$1043,9,0)</f>
        <v>Not Specified</v>
      </c>
    </row>
    <row r="208" spans="3:11" x14ac:dyDescent="0.25">
      <c r="C208" s="61" t="s">
        <v>300</v>
      </c>
      <c r="D208" t="str">
        <f>VLOOKUP(C208,[1]Orders!$A$5:$W$1043,3,0)</f>
        <v>Chuck Magee</v>
      </c>
      <c r="E208">
        <f>VLOOKUP(C208,[1]Orders!$A$5:$W$1043,23,0)</f>
        <v>112.50999999999999</v>
      </c>
      <c r="F208" t="str">
        <f>VLOOKUP(C208,[1]Orders!$A$5:$W$1043,5,0)</f>
        <v>Sydney</v>
      </c>
      <c r="G208" t="str">
        <f>VLOOKUP(C208,[1]Orders!$A$5:$W$1043,5,0)</f>
        <v>Sydney</v>
      </c>
      <c r="H208" t="str">
        <f>VLOOKUP(C208,[1]Orders!$A$5:$W$1043,6,0)</f>
        <v>NSW</v>
      </c>
      <c r="I208" t="str">
        <f>VLOOKUP(C208,[1]Orders!$A$5:$W$1043,7,0)</f>
        <v>Corporate</v>
      </c>
      <c r="J208" t="str">
        <f>VLOOKUP(C208,[1]Orders!$A$5:$W$1043,8,0)</f>
        <v>Aanya Zhang</v>
      </c>
      <c r="K208" t="str">
        <f>VLOOKUP(C208,[1]Orders!$A$5:$W$1043,9,0)</f>
        <v>Not Specified</v>
      </c>
    </row>
    <row r="209" spans="3:11" x14ac:dyDescent="0.25">
      <c r="C209" s="61" t="s">
        <v>301</v>
      </c>
      <c r="D209" t="str">
        <f>VLOOKUP(C209,[1]Orders!$A$5:$W$1043,3,0)</f>
        <v>Seth Vernon</v>
      </c>
      <c r="E209">
        <f>VLOOKUP(C209,[1]Orders!$A$5:$W$1043,23,0)</f>
        <v>170.09</v>
      </c>
      <c r="F209" t="str">
        <f>VLOOKUP(C209,[1]Orders!$A$5:$W$1043,5,0)</f>
        <v>Melbourne</v>
      </c>
      <c r="G209" t="str">
        <f>VLOOKUP(C209,[1]Orders!$A$5:$W$1043,5,0)</f>
        <v>Melbourne</v>
      </c>
      <c r="H209" t="str">
        <f>VLOOKUP(C209,[1]Orders!$A$5:$W$1043,6,0)</f>
        <v>VIC</v>
      </c>
      <c r="I209" t="str">
        <f>VLOOKUP(C209,[1]Orders!$A$5:$W$1043,7,0)</f>
        <v>Home Office</v>
      </c>
      <c r="J209" t="str">
        <f>VLOOKUP(C209,[1]Orders!$A$5:$W$1043,8,0)</f>
        <v>Yvette Biti</v>
      </c>
      <c r="K209" t="str">
        <f>VLOOKUP(C209,[1]Orders!$A$5:$W$1043,9,0)</f>
        <v>Critical</v>
      </c>
    </row>
    <row r="210" spans="3:11" x14ac:dyDescent="0.25">
      <c r="C210" s="61" t="s">
        <v>302</v>
      </c>
      <c r="D210" t="str">
        <f>VLOOKUP(C210,[1]Orders!$A$5:$W$1043,3,0)</f>
        <v>Vivian Mathis</v>
      </c>
      <c r="E210">
        <f>VLOOKUP(C210,[1]Orders!$A$5:$W$1043,23,0)</f>
        <v>86.19</v>
      </c>
      <c r="F210" t="str">
        <f>VLOOKUP(C210,[1]Orders!$A$5:$W$1043,5,0)</f>
        <v>Melbourne</v>
      </c>
      <c r="G210" t="str">
        <f>VLOOKUP(C210,[1]Orders!$A$5:$W$1043,5,0)</f>
        <v>Melbourne</v>
      </c>
      <c r="H210" t="str">
        <f>VLOOKUP(C210,[1]Orders!$A$5:$W$1043,6,0)</f>
        <v>VIC</v>
      </c>
      <c r="I210" t="str">
        <f>VLOOKUP(C210,[1]Orders!$A$5:$W$1043,7,0)</f>
        <v>Home Office</v>
      </c>
      <c r="J210" t="str">
        <f>VLOOKUP(C210,[1]Orders!$A$5:$W$1043,8,0)</f>
        <v>Yvette Biti</v>
      </c>
      <c r="K210" t="str">
        <f>VLOOKUP(C210,[1]Orders!$A$5:$W$1043,9,0)</f>
        <v>High</v>
      </c>
    </row>
    <row r="211" spans="3:11" x14ac:dyDescent="0.25">
      <c r="C211" s="61" t="s">
        <v>303</v>
      </c>
      <c r="D211" t="str">
        <f>VLOOKUP(C211,[1]Orders!$A$5:$W$1043,3,0)</f>
        <v>Harold Ryan</v>
      </c>
      <c r="E211">
        <f>VLOOKUP(C211,[1]Orders!$A$5:$W$1043,23,0)</f>
        <v>1369.6000000000001</v>
      </c>
      <c r="F211" t="str">
        <f>VLOOKUP(C211,[1]Orders!$A$5:$W$1043,5,0)</f>
        <v>Sydney</v>
      </c>
      <c r="G211" t="str">
        <f>VLOOKUP(C211,[1]Orders!$A$5:$W$1043,5,0)</f>
        <v>Sydney</v>
      </c>
      <c r="H211" t="str">
        <f>VLOOKUP(C211,[1]Orders!$A$5:$W$1043,6,0)</f>
        <v>NSW</v>
      </c>
      <c r="I211" t="str">
        <f>VLOOKUP(C211,[1]Orders!$A$5:$W$1043,7,0)</f>
        <v>Home Office</v>
      </c>
      <c r="J211" t="str">
        <f>VLOOKUP(C211,[1]Orders!$A$5:$W$1043,8,0)</f>
        <v>Tina Carlton</v>
      </c>
      <c r="K211" t="str">
        <f>VLOOKUP(C211,[1]Orders!$A$5:$W$1043,9,0)</f>
        <v>Not Specified</v>
      </c>
    </row>
    <row r="212" spans="3:11" x14ac:dyDescent="0.25">
      <c r="C212" s="61" t="s">
        <v>304</v>
      </c>
      <c r="D212" t="str">
        <f>VLOOKUP(C212,[1]Orders!$A$5:$W$1043,3,0)</f>
        <v>Kean Takahito</v>
      </c>
      <c r="E212">
        <f>VLOOKUP(C212,[1]Orders!$A$5:$W$1043,23,0)</f>
        <v>239.61</v>
      </c>
      <c r="F212" t="str">
        <f>VLOOKUP(C212,[1]Orders!$A$5:$W$1043,5,0)</f>
        <v>Sydney</v>
      </c>
      <c r="G212" t="str">
        <f>VLOOKUP(C212,[1]Orders!$A$5:$W$1043,5,0)</f>
        <v>Sydney</v>
      </c>
      <c r="H212" t="str">
        <f>VLOOKUP(C212,[1]Orders!$A$5:$W$1043,6,0)</f>
        <v>NSW</v>
      </c>
      <c r="I212" t="str">
        <f>VLOOKUP(C212,[1]Orders!$A$5:$W$1043,7,0)</f>
        <v>Home Office</v>
      </c>
      <c r="J212" t="str">
        <f>VLOOKUP(C212,[1]Orders!$A$5:$W$1043,8,0)</f>
        <v>Aanya Zhang</v>
      </c>
      <c r="K212" t="str">
        <f>VLOOKUP(C212,[1]Orders!$A$5:$W$1043,9,0)</f>
        <v>Not Specified</v>
      </c>
    </row>
    <row r="213" spans="3:11" x14ac:dyDescent="0.25">
      <c r="C213" s="61" t="s">
        <v>305</v>
      </c>
      <c r="D213" t="str">
        <f>VLOOKUP(C213,[1]Orders!$A$5:$W$1043,3,0)</f>
        <v>Tony Sayre</v>
      </c>
      <c r="E213">
        <f>VLOOKUP(C213,[1]Orders!$A$5:$W$1043,23,0)</f>
        <v>18024.05</v>
      </c>
      <c r="F213" t="str">
        <f>VLOOKUP(C213,[1]Orders!$A$5:$W$1043,5,0)</f>
        <v>Melbourne</v>
      </c>
      <c r="G213" t="str">
        <f>VLOOKUP(C213,[1]Orders!$A$5:$W$1043,5,0)</f>
        <v>Melbourne</v>
      </c>
      <c r="H213" t="str">
        <f>VLOOKUP(C213,[1]Orders!$A$5:$W$1043,6,0)</f>
        <v>VIC</v>
      </c>
      <c r="I213" t="str">
        <f>VLOOKUP(C213,[1]Orders!$A$5:$W$1043,7,0)</f>
        <v>Small Business</v>
      </c>
      <c r="J213" t="str">
        <f>VLOOKUP(C213,[1]Orders!$A$5:$W$1043,8,0)</f>
        <v>Yvette Biti</v>
      </c>
      <c r="K213" t="str">
        <f>VLOOKUP(C213,[1]Orders!$A$5:$W$1043,9,0)</f>
        <v>Low</v>
      </c>
    </row>
    <row r="214" spans="3:11" x14ac:dyDescent="0.25">
      <c r="C214" s="61" t="s">
        <v>306</v>
      </c>
      <c r="D214" t="str">
        <f>VLOOKUP(C214,[1]Orders!$A$5:$W$1043,3,0)</f>
        <v>Aaron Bergman</v>
      </c>
      <c r="E214">
        <f>VLOOKUP(C214,[1]Orders!$A$5:$W$1043,23,0)</f>
        <v>4260.17</v>
      </c>
      <c r="F214" t="str">
        <f>VLOOKUP(C214,[1]Orders!$A$5:$W$1043,5,0)</f>
        <v>Sydney</v>
      </c>
      <c r="G214" t="str">
        <f>VLOOKUP(C214,[1]Orders!$A$5:$W$1043,5,0)</f>
        <v>Sydney</v>
      </c>
      <c r="H214" t="str">
        <f>VLOOKUP(C214,[1]Orders!$A$5:$W$1043,6,0)</f>
        <v>NSW</v>
      </c>
      <c r="I214" t="str">
        <f>VLOOKUP(C214,[1]Orders!$A$5:$W$1043,7,0)</f>
        <v>Corporate</v>
      </c>
      <c r="J214" t="str">
        <f>VLOOKUP(C214,[1]Orders!$A$5:$W$1043,8,0)</f>
        <v>Natasha Song</v>
      </c>
      <c r="K214" t="str">
        <f>VLOOKUP(C214,[1]Orders!$A$5:$W$1043,9,0)</f>
        <v>Low</v>
      </c>
    </row>
    <row r="215" spans="3:11" x14ac:dyDescent="0.25">
      <c r="C215" s="61" t="s">
        <v>307</v>
      </c>
      <c r="D215" t="str">
        <f>VLOOKUP(C215,[1]Orders!$A$5:$W$1043,3,0)</f>
        <v>Edward Hooks</v>
      </c>
      <c r="E215">
        <f>VLOOKUP(C215,[1]Orders!$A$5:$W$1043,23,0)</f>
        <v>291.90999999999997</v>
      </c>
      <c r="F215" t="str">
        <f>VLOOKUP(C215,[1]Orders!$A$5:$W$1043,5,0)</f>
        <v>Melbourne</v>
      </c>
      <c r="G215" t="str">
        <f>VLOOKUP(C215,[1]Orders!$A$5:$W$1043,5,0)</f>
        <v>Melbourne</v>
      </c>
      <c r="H215" t="str">
        <f>VLOOKUP(C215,[1]Orders!$A$5:$W$1043,6,0)</f>
        <v>VIC</v>
      </c>
      <c r="I215" t="str">
        <f>VLOOKUP(C215,[1]Orders!$A$5:$W$1043,7,0)</f>
        <v>Consumer</v>
      </c>
      <c r="J215" t="str">
        <f>VLOOKUP(C215,[1]Orders!$A$5:$W$1043,8,0)</f>
        <v>Connor Betts</v>
      </c>
      <c r="K215" t="str">
        <f>VLOOKUP(C215,[1]Orders!$A$5:$W$1043,9,0)</f>
        <v>High</v>
      </c>
    </row>
    <row r="216" spans="3:11" x14ac:dyDescent="0.25">
      <c r="C216" s="61" t="s">
        <v>308</v>
      </c>
      <c r="D216" t="str">
        <f>VLOOKUP(C216,[1]Orders!$A$5:$W$1043,3,0)</f>
        <v>Liz Willingham</v>
      </c>
      <c r="E216">
        <f>VLOOKUP(C216,[1]Orders!$A$5:$W$1043,23,0)</f>
        <v>28.73</v>
      </c>
      <c r="F216" t="str">
        <f>VLOOKUP(C216,[1]Orders!$A$5:$W$1043,5,0)</f>
        <v>Melbourne</v>
      </c>
      <c r="G216" t="str">
        <f>VLOOKUP(C216,[1]Orders!$A$5:$W$1043,5,0)</f>
        <v>Melbourne</v>
      </c>
      <c r="H216" t="str">
        <f>VLOOKUP(C216,[1]Orders!$A$5:$W$1043,6,0)</f>
        <v>VIC</v>
      </c>
      <c r="I216" t="str">
        <f>VLOOKUP(C216,[1]Orders!$A$5:$W$1043,7,0)</f>
        <v>Corporate</v>
      </c>
      <c r="J216" t="str">
        <f>VLOOKUP(C216,[1]Orders!$A$5:$W$1043,8,0)</f>
        <v>Yvette Biti</v>
      </c>
      <c r="K216" t="str">
        <f>VLOOKUP(C216,[1]Orders!$A$5:$W$1043,9,0)</f>
        <v>Low</v>
      </c>
    </row>
    <row r="217" spans="3:11" x14ac:dyDescent="0.25">
      <c r="C217" s="61" t="s">
        <v>309</v>
      </c>
      <c r="D217" t="str">
        <f>VLOOKUP(C217,[1]Orders!$A$5:$W$1043,3,0)</f>
        <v>Dave Poirier</v>
      </c>
      <c r="E217">
        <f>VLOOKUP(C217,[1]Orders!$A$5:$W$1043,23,0)</f>
        <v>6132.3499999999995</v>
      </c>
      <c r="F217" t="str">
        <f>VLOOKUP(C217,[1]Orders!$A$5:$W$1043,5,0)</f>
        <v>Sydney</v>
      </c>
      <c r="G217" t="str">
        <f>VLOOKUP(C217,[1]Orders!$A$5:$W$1043,5,0)</f>
        <v>Sydney</v>
      </c>
      <c r="H217" t="str">
        <f>VLOOKUP(C217,[1]Orders!$A$5:$W$1043,6,0)</f>
        <v>NSW</v>
      </c>
      <c r="I217" t="str">
        <f>VLOOKUP(C217,[1]Orders!$A$5:$W$1043,7,0)</f>
        <v>Small Business</v>
      </c>
      <c r="J217" t="str">
        <f>VLOOKUP(C217,[1]Orders!$A$5:$W$1043,8,0)</f>
        <v>Natasha Song</v>
      </c>
      <c r="K217" t="str">
        <f>VLOOKUP(C217,[1]Orders!$A$5:$W$1043,9,0)</f>
        <v>High</v>
      </c>
    </row>
    <row r="218" spans="3:11" x14ac:dyDescent="0.25">
      <c r="C218" s="61" t="s">
        <v>310</v>
      </c>
      <c r="D218" t="str">
        <f>VLOOKUP(C218,[1]Orders!$A$5:$W$1043,3,0)</f>
        <v>Justin Knight</v>
      </c>
      <c r="E218">
        <f>VLOOKUP(C218,[1]Orders!$A$5:$W$1043,23,0)</f>
        <v>49.03</v>
      </c>
      <c r="F218" t="str">
        <f>VLOOKUP(C218,[1]Orders!$A$5:$W$1043,5,0)</f>
        <v>Sydney</v>
      </c>
      <c r="G218" t="str">
        <f>VLOOKUP(C218,[1]Orders!$A$5:$W$1043,5,0)</f>
        <v>Sydney</v>
      </c>
      <c r="H218" t="str">
        <f>VLOOKUP(C218,[1]Orders!$A$5:$W$1043,6,0)</f>
        <v>NSW</v>
      </c>
      <c r="I218" t="str">
        <f>VLOOKUP(C218,[1]Orders!$A$5:$W$1043,7,0)</f>
        <v>Corporate</v>
      </c>
      <c r="J218" t="str">
        <f>VLOOKUP(C218,[1]Orders!$A$5:$W$1043,8,0)</f>
        <v>Nicholas Fernandes</v>
      </c>
      <c r="K218" t="str">
        <f>VLOOKUP(C218,[1]Orders!$A$5:$W$1043,9,0)</f>
        <v>Low</v>
      </c>
    </row>
    <row r="219" spans="3:11" x14ac:dyDescent="0.25">
      <c r="C219" s="61" t="s">
        <v>311</v>
      </c>
      <c r="D219" t="str">
        <f>VLOOKUP(C219,[1]Orders!$A$5:$W$1043,3,0)</f>
        <v>Aaron Bergman</v>
      </c>
      <c r="E219">
        <f>VLOOKUP(C219,[1]Orders!$A$5:$W$1043,23,0)</f>
        <v>37.840000000000003</v>
      </c>
      <c r="F219" t="str">
        <f>VLOOKUP(C219,[1]Orders!$A$5:$W$1043,5,0)</f>
        <v>Sydney</v>
      </c>
      <c r="G219" t="str">
        <f>VLOOKUP(C219,[1]Orders!$A$5:$W$1043,5,0)</f>
        <v>Sydney</v>
      </c>
      <c r="H219" t="str">
        <f>VLOOKUP(C219,[1]Orders!$A$5:$W$1043,6,0)</f>
        <v>NSW</v>
      </c>
      <c r="I219" t="str">
        <f>VLOOKUP(C219,[1]Orders!$A$5:$W$1043,7,0)</f>
        <v>Corporate</v>
      </c>
      <c r="J219" t="str">
        <f>VLOOKUP(C219,[1]Orders!$A$5:$W$1043,8,0)</f>
        <v>Natasha Song</v>
      </c>
      <c r="K219" t="str">
        <f>VLOOKUP(C219,[1]Orders!$A$5:$W$1043,9,0)</f>
        <v>High</v>
      </c>
    </row>
    <row r="220" spans="3:11" x14ac:dyDescent="0.25">
      <c r="C220" s="61" t="s">
        <v>312</v>
      </c>
      <c r="D220" t="str">
        <f>VLOOKUP(C220,[1]Orders!$A$5:$W$1043,3,0)</f>
        <v>Valerie Dominguez</v>
      </c>
      <c r="E220">
        <f>VLOOKUP(C220,[1]Orders!$A$5:$W$1043,23,0)</f>
        <v>165.28</v>
      </c>
      <c r="F220" t="str">
        <f>VLOOKUP(C220,[1]Orders!$A$5:$W$1043,5,0)</f>
        <v>Sydney</v>
      </c>
      <c r="G220" t="str">
        <f>VLOOKUP(C220,[1]Orders!$A$5:$W$1043,5,0)</f>
        <v>Sydney</v>
      </c>
      <c r="H220" t="str">
        <f>VLOOKUP(C220,[1]Orders!$A$5:$W$1043,6,0)</f>
        <v>NSW</v>
      </c>
      <c r="I220" t="str">
        <f>VLOOKUP(C220,[1]Orders!$A$5:$W$1043,7,0)</f>
        <v>Corporate</v>
      </c>
      <c r="J220" t="str">
        <f>VLOOKUP(C220,[1]Orders!$A$5:$W$1043,8,0)</f>
        <v>Tina Carlton</v>
      </c>
      <c r="K220" t="str">
        <f>VLOOKUP(C220,[1]Orders!$A$5:$W$1043,9,0)</f>
        <v>Not Specified</v>
      </c>
    </row>
    <row r="221" spans="3:11" x14ac:dyDescent="0.25">
      <c r="C221" s="61" t="s">
        <v>313</v>
      </c>
      <c r="D221" t="str">
        <f>VLOOKUP(C221,[1]Orders!$A$5:$W$1043,3,0)</f>
        <v>Jennifer Patt</v>
      </c>
      <c r="E221">
        <f>VLOOKUP(C221,[1]Orders!$A$5:$W$1043,23,0)</f>
        <v>5640.6299999999992</v>
      </c>
      <c r="F221" t="str">
        <f>VLOOKUP(C221,[1]Orders!$A$5:$W$1043,5,0)</f>
        <v>Sydney</v>
      </c>
      <c r="G221" t="str">
        <f>VLOOKUP(C221,[1]Orders!$A$5:$W$1043,5,0)</f>
        <v>Sydney</v>
      </c>
      <c r="H221" t="str">
        <f>VLOOKUP(C221,[1]Orders!$A$5:$W$1043,6,0)</f>
        <v>NSW</v>
      </c>
      <c r="I221" t="str">
        <f>VLOOKUP(C221,[1]Orders!$A$5:$W$1043,7,0)</f>
        <v>Home Office</v>
      </c>
      <c r="J221" t="str">
        <f>VLOOKUP(C221,[1]Orders!$A$5:$W$1043,8,0)</f>
        <v>Aanya Zhang</v>
      </c>
      <c r="K221" t="str">
        <f>VLOOKUP(C221,[1]Orders!$A$5:$W$1043,9,0)</f>
        <v>High</v>
      </c>
    </row>
    <row r="222" spans="3:11" x14ac:dyDescent="0.25">
      <c r="C222" s="61" t="s">
        <v>314</v>
      </c>
      <c r="D222" t="str">
        <f>VLOOKUP(C222,[1]Orders!$A$5:$W$1043,3,0)</f>
        <v>Cynthia Arntzen</v>
      </c>
      <c r="E222">
        <f>VLOOKUP(C222,[1]Orders!$A$5:$W$1043,23,0)</f>
        <v>34.809999999999995</v>
      </c>
      <c r="F222" t="str">
        <f>VLOOKUP(C222,[1]Orders!$A$5:$W$1043,5,0)</f>
        <v>Sydney</v>
      </c>
      <c r="G222" t="str">
        <f>VLOOKUP(C222,[1]Orders!$A$5:$W$1043,5,0)</f>
        <v>Sydney</v>
      </c>
      <c r="H222" t="str">
        <f>VLOOKUP(C222,[1]Orders!$A$5:$W$1043,6,0)</f>
        <v>NSW</v>
      </c>
      <c r="I222" t="str">
        <f>VLOOKUP(C222,[1]Orders!$A$5:$W$1043,7,0)</f>
        <v>Small Business</v>
      </c>
      <c r="J222" t="str">
        <f>VLOOKUP(C222,[1]Orders!$A$5:$W$1043,8,0)</f>
        <v>Tina Carlton</v>
      </c>
      <c r="K222" t="str">
        <f>VLOOKUP(C222,[1]Orders!$A$5:$W$1043,9,0)</f>
        <v>Low</v>
      </c>
    </row>
    <row r="223" spans="3:11" x14ac:dyDescent="0.25">
      <c r="C223" s="61" t="s">
        <v>315</v>
      </c>
      <c r="D223" t="str">
        <f>VLOOKUP(C223,[1]Orders!$A$5:$W$1043,3,0)</f>
        <v>Bradley Drucker</v>
      </c>
      <c r="E223">
        <f>VLOOKUP(C223,[1]Orders!$A$5:$W$1043,23,0)</f>
        <v>3819.5199999999995</v>
      </c>
      <c r="F223" t="str">
        <f>VLOOKUP(C223,[1]Orders!$A$5:$W$1043,5,0)</f>
        <v>Sydney</v>
      </c>
      <c r="G223" t="str">
        <f>VLOOKUP(C223,[1]Orders!$A$5:$W$1043,5,0)</f>
        <v>Sydney</v>
      </c>
      <c r="H223" t="str">
        <f>VLOOKUP(C223,[1]Orders!$A$5:$W$1043,6,0)</f>
        <v>NSW</v>
      </c>
      <c r="I223" t="str">
        <f>VLOOKUP(C223,[1]Orders!$A$5:$W$1043,7,0)</f>
        <v>Small Business</v>
      </c>
      <c r="J223" t="str">
        <f>VLOOKUP(C223,[1]Orders!$A$5:$W$1043,8,0)</f>
        <v>Charlie Bui</v>
      </c>
      <c r="K223" t="str">
        <f>VLOOKUP(C223,[1]Orders!$A$5:$W$1043,9,0)</f>
        <v>Low</v>
      </c>
    </row>
    <row r="224" spans="3:11" x14ac:dyDescent="0.25">
      <c r="C224" s="61" t="s">
        <v>316</v>
      </c>
      <c r="D224" t="str">
        <f>VLOOKUP(C224,[1]Orders!$A$5:$W$1043,3,0)</f>
        <v>Skye Norling</v>
      </c>
      <c r="E224">
        <f>VLOOKUP(C224,[1]Orders!$A$5:$W$1043,23,0)</f>
        <v>587.22</v>
      </c>
      <c r="F224" t="str">
        <f>VLOOKUP(C224,[1]Orders!$A$5:$W$1043,5,0)</f>
        <v>Sydney</v>
      </c>
      <c r="G224" t="str">
        <f>VLOOKUP(C224,[1]Orders!$A$5:$W$1043,5,0)</f>
        <v>Sydney</v>
      </c>
      <c r="H224" t="str">
        <f>VLOOKUP(C224,[1]Orders!$A$5:$W$1043,6,0)</f>
        <v>NSW</v>
      </c>
      <c r="I224" t="str">
        <f>VLOOKUP(C224,[1]Orders!$A$5:$W$1043,7,0)</f>
        <v>Home Office</v>
      </c>
      <c r="J224" t="str">
        <f>VLOOKUP(C224,[1]Orders!$A$5:$W$1043,8,0)</f>
        <v>Natasha Song</v>
      </c>
      <c r="K224" t="str">
        <f>VLOOKUP(C224,[1]Orders!$A$5:$W$1043,9,0)</f>
        <v>Not Specified</v>
      </c>
    </row>
    <row r="225" spans="3:11" x14ac:dyDescent="0.25">
      <c r="C225" s="61" t="s">
        <v>317</v>
      </c>
      <c r="D225" t="str">
        <f>VLOOKUP(C225,[1]Orders!$A$5:$W$1043,3,0)</f>
        <v>Bruce Degenhardt</v>
      </c>
      <c r="E225">
        <f>VLOOKUP(C225,[1]Orders!$A$5:$W$1043,23,0)</f>
        <v>80.449999999999989</v>
      </c>
      <c r="F225" t="str">
        <f>VLOOKUP(C225,[1]Orders!$A$5:$W$1043,5,0)</f>
        <v>Sydney</v>
      </c>
      <c r="G225" t="str">
        <f>VLOOKUP(C225,[1]Orders!$A$5:$W$1043,5,0)</f>
        <v>Sydney</v>
      </c>
      <c r="H225" t="str">
        <f>VLOOKUP(C225,[1]Orders!$A$5:$W$1043,6,0)</f>
        <v>NSW</v>
      </c>
      <c r="I225" t="str">
        <f>VLOOKUP(C225,[1]Orders!$A$5:$W$1043,7,0)</f>
        <v>Home Office</v>
      </c>
      <c r="J225" t="str">
        <f>VLOOKUP(C225,[1]Orders!$A$5:$W$1043,8,0)</f>
        <v>Samantha Chairs</v>
      </c>
      <c r="K225" t="str">
        <f>VLOOKUP(C225,[1]Orders!$A$5:$W$1043,9,0)</f>
        <v>Not Specified</v>
      </c>
    </row>
    <row r="226" spans="3:11" x14ac:dyDescent="0.25">
      <c r="C226" s="61" t="s">
        <v>318</v>
      </c>
      <c r="D226" t="str">
        <f>VLOOKUP(C226,[1]Orders!$A$5:$W$1043,3,0)</f>
        <v>John Castell</v>
      </c>
      <c r="E226">
        <f>VLOOKUP(C226,[1]Orders!$A$5:$W$1043,23,0)</f>
        <v>183.09999999999997</v>
      </c>
      <c r="F226" t="str">
        <f>VLOOKUP(C226,[1]Orders!$A$5:$W$1043,5,0)</f>
        <v>Sydney</v>
      </c>
      <c r="G226" t="str">
        <f>VLOOKUP(C226,[1]Orders!$A$5:$W$1043,5,0)</f>
        <v>Sydney</v>
      </c>
      <c r="H226" t="str">
        <f>VLOOKUP(C226,[1]Orders!$A$5:$W$1043,6,0)</f>
        <v>NSW</v>
      </c>
      <c r="I226" t="str">
        <f>VLOOKUP(C226,[1]Orders!$A$5:$W$1043,7,0)</f>
        <v>Small Business</v>
      </c>
      <c r="J226" t="str">
        <f>VLOOKUP(C226,[1]Orders!$A$5:$W$1043,8,0)</f>
        <v>Natasha Song</v>
      </c>
      <c r="K226" t="str">
        <f>VLOOKUP(C226,[1]Orders!$A$5:$W$1043,9,0)</f>
        <v>Medium</v>
      </c>
    </row>
    <row r="227" spans="3:11" x14ac:dyDescent="0.25">
      <c r="C227" s="61" t="s">
        <v>319</v>
      </c>
      <c r="D227" t="str">
        <f>VLOOKUP(C227,[1]Orders!$A$5:$W$1043,3,0)</f>
        <v>Neil French</v>
      </c>
      <c r="E227">
        <f>VLOOKUP(C227,[1]Orders!$A$5:$W$1043,23,0)</f>
        <v>139.55000000000001</v>
      </c>
      <c r="F227" t="str">
        <f>VLOOKUP(C227,[1]Orders!$A$5:$W$1043,5,0)</f>
        <v>Sydney</v>
      </c>
      <c r="G227" t="str">
        <f>VLOOKUP(C227,[1]Orders!$A$5:$W$1043,5,0)</f>
        <v>Sydney</v>
      </c>
      <c r="H227" t="str">
        <f>VLOOKUP(C227,[1]Orders!$A$5:$W$1043,6,0)</f>
        <v>NSW</v>
      </c>
      <c r="I227" t="str">
        <f>VLOOKUP(C227,[1]Orders!$A$5:$W$1043,7,0)</f>
        <v>Consumer</v>
      </c>
      <c r="J227" t="str">
        <f>VLOOKUP(C227,[1]Orders!$A$5:$W$1043,8,0)</f>
        <v>Aanya Zhang</v>
      </c>
      <c r="K227" t="str">
        <f>VLOOKUP(C227,[1]Orders!$A$5:$W$1043,9,0)</f>
        <v>Not Specified</v>
      </c>
    </row>
    <row r="228" spans="3:11" x14ac:dyDescent="0.25">
      <c r="C228" s="61" t="s">
        <v>320</v>
      </c>
      <c r="D228" t="str">
        <f>VLOOKUP(C228,[1]Orders!$A$5:$W$1043,3,0)</f>
        <v>John Castell</v>
      </c>
      <c r="E228">
        <f>VLOOKUP(C228,[1]Orders!$A$5:$W$1043,23,0)</f>
        <v>117.21999999999998</v>
      </c>
      <c r="F228" t="str">
        <f>VLOOKUP(C228,[1]Orders!$A$5:$W$1043,5,0)</f>
        <v>Sydney</v>
      </c>
      <c r="G228" t="str">
        <f>VLOOKUP(C228,[1]Orders!$A$5:$W$1043,5,0)</f>
        <v>Sydney</v>
      </c>
      <c r="H228" t="str">
        <f>VLOOKUP(C228,[1]Orders!$A$5:$W$1043,6,0)</f>
        <v>NSW</v>
      </c>
      <c r="I228" t="str">
        <f>VLOOKUP(C228,[1]Orders!$A$5:$W$1043,7,0)</f>
        <v>Consumer</v>
      </c>
      <c r="J228" t="str">
        <f>VLOOKUP(C228,[1]Orders!$A$5:$W$1043,8,0)</f>
        <v>Natasha Song</v>
      </c>
      <c r="K228" t="str">
        <f>VLOOKUP(C228,[1]Orders!$A$5:$W$1043,9,0)</f>
        <v>Not Specified</v>
      </c>
    </row>
    <row r="229" spans="3:11" x14ac:dyDescent="0.25">
      <c r="C229" s="61" t="s">
        <v>321</v>
      </c>
      <c r="D229" t="str">
        <f>VLOOKUP(C229,[1]Orders!$A$5:$W$1043,3,0)</f>
        <v>Nancy Lomonaco</v>
      </c>
      <c r="E229">
        <f>VLOOKUP(C229,[1]Orders!$A$5:$W$1043,23,0)</f>
        <v>1218.9000000000001</v>
      </c>
      <c r="F229" t="str">
        <f>VLOOKUP(C229,[1]Orders!$A$5:$W$1043,5,0)</f>
        <v>Sydney</v>
      </c>
      <c r="G229" t="str">
        <f>VLOOKUP(C229,[1]Orders!$A$5:$W$1043,5,0)</f>
        <v>Sydney</v>
      </c>
      <c r="H229" t="str">
        <f>VLOOKUP(C229,[1]Orders!$A$5:$W$1043,6,0)</f>
        <v>NSW</v>
      </c>
      <c r="I229" t="str">
        <f>VLOOKUP(C229,[1]Orders!$A$5:$W$1043,7,0)</f>
        <v>Home Office</v>
      </c>
      <c r="J229" t="str">
        <f>VLOOKUP(C229,[1]Orders!$A$5:$W$1043,8,0)</f>
        <v>Aanya Zhang</v>
      </c>
      <c r="K229" t="str">
        <f>VLOOKUP(C229,[1]Orders!$A$5:$W$1043,9,0)</f>
        <v>Low</v>
      </c>
    </row>
    <row r="230" spans="3:11" x14ac:dyDescent="0.25">
      <c r="C230" s="61" t="s">
        <v>322</v>
      </c>
      <c r="D230" t="str">
        <f>VLOOKUP(C230,[1]Orders!$A$5:$W$1043,3,0)</f>
        <v>Nancy Lomonaco</v>
      </c>
      <c r="E230">
        <f>VLOOKUP(C230,[1]Orders!$A$5:$W$1043,23,0)</f>
        <v>131.4</v>
      </c>
      <c r="F230" t="str">
        <f>VLOOKUP(C230,[1]Orders!$A$5:$W$1043,5,0)</f>
        <v>Sydney</v>
      </c>
      <c r="G230" t="str">
        <f>VLOOKUP(C230,[1]Orders!$A$5:$W$1043,5,0)</f>
        <v>Sydney</v>
      </c>
      <c r="H230" t="str">
        <f>VLOOKUP(C230,[1]Orders!$A$5:$W$1043,6,0)</f>
        <v>NSW</v>
      </c>
      <c r="I230" t="str">
        <f>VLOOKUP(C230,[1]Orders!$A$5:$W$1043,7,0)</f>
        <v>Home Office</v>
      </c>
      <c r="J230" t="str">
        <f>VLOOKUP(C230,[1]Orders!$A$5:$W$1043,8,0)</f>
        <v>Aanya Zhang</v>
      </c>
      <c r="K230" t="str">
        <f>VLOOKUP(C230,[1]Orders!$A$5:$W$1043,9,0)</f>
        <v>Medium</v>
      </c>
    </row>
    <row r="231" spans="3:11" x14ac:dyDescent="0.25">
      <c r="C231" s="61" t="s">
        <v>323</v>
      </c>
      <c r="D231" t="str">
        <f>VLOOKUP(C231,[1]Orders!$A$5:$W$1043,3,0)</f>
        <v>Carol Triggs</v>
      </c>
      <c r="E231">
        <f>VLOOKUP(C231,[1]Orders!$A$5:$W$1043,23,0)</f>
        <v>82.299999999999983</v>
      </c>
      <c r="F231" t="str">
        <f>VLOOKUP(C231,[1]Orders!$A$5:$W$1043,5,0)</f>
        <v>Sydney</v>
      </c>
      <c r="G231" t="str">
        <f>VLOOKUP(C231,[1]Orders!$A$5:$W$1043,5,0)</f>
        <v>Sydney</v>
      </c>
      <c r="H231" t="str">
        <f>VLOOKUP(C231,[1]Orders!$A$5:$W$1043,6,0)</f>
        <v>NSW</v>
      </c>
      <c r="I231" t="str">
        <f>VLOOKUP(C231,[1]Orders!$A$5:$W$1043,7,0)</f>
        <v>Home Office</v>
      </c>
      <c r="J231" t="str">
        <f>VLOOKUP(C231,[1]Orders!$A$5:$W$1043,8,0)</f>
        <v>Radhya Staples</v>
      </c>
      <c r="K231" t="str">
        <f>VLOOKUP(C231,[1]Orders!$A$5:$W$1043,9,0)</f>
        <v>Critical</v>
      </c>
    </row>
    <row r="232" spans="3:11" x14ac:dyDescent="0.25">
      <c r="C232" s="61" t="s">
        <v>324</v>
      </c>
      <c r="D232" t="str">
        <f>VLOOKUP(C232,[1]Orders!$A$5:$W$1043,3,0)</f>
        <v>Andrew Allen</v>
      </c>
      <c r="E232">
        <f>VLOOKUP(C232,[1]Orders!$A$5:$W$1043,23,0)</f>
        <v>102.48</v>
      </c>
      <c r="F232" t="str">
        <f>VLOOKUP(C232,[1]Orders!$A$5:$W$1043,5,0)</f>
        <v>Sydney</v>
      </c>
      <c r="G232" t="str">
        <f>VLOOKUP(C232,[1]Orders!$A$5:$W$1043,5,0)</f>
        <v>Sydney</v>
      </c>
      <c r="H232" t="str">
        <f>VLOOKUP(C232,[1]Orders!$A$5:$W$1043,6,0)</f>
        <v>NSW</v>
      </c>
      <c r="I232" t="str">
        <f>VLOOKUP(C232,[1]Orders!$A$5:$W$1043,7,0)</f>
        <v>Corporate</v>
      </c>
      <c r="J232" t="str">
        <f>VLOOKUP(C232,[1]Orders!$A$5:$W$1043,8,0)</f>
        <v>Phoebe Gour</v>
      </c>
      <c r="K232" t="str">
        <f>VLOOKUP(C232,[1]Orders!$A$5:$W$1043,9,0)</f>
        <v>High</v>
      </c>
    </row>
    <row r="233" spans="3:11" x14ac:dyDescent="0.25">
      <c r="C233" s="61" t="s">
        <v>325</v>
      </c>
      <c r="D233" t="str">
        <f>VLOOKUP(C233,[1]Orders!$A$5:$W$1043,3,0)</f>
        <v>Rob Haberlin</v>
      </c>
      <c r="E233">
        <f>VLOOKUP(C233,[1]Orders!$A$5:$W$1043,23,0)</f>
        <v>96.949999999999989</v>
      </c>
      <c r="F233" t="str">
        <f>VLOOKUP(C233,[1]Orders!$A$5:$W$1043,5,0)</f>
        <v>Melbourne</v>
      </c>
      <c r="G233" t="str">
        <f>VLOOKUP(C233,[1]Orders!$A$5:$W$1043,5,0)</f>
        <v>Melbourne</v>
      </c>
      <c r="H233" t="str">
        <f>VLOOKUP(C233,[1]Orders!$A$5:$W$1043,6,0)</f>
        <v>VIC</v>
      </c>
      <c r="I233" t="str">
        <f>VLOOKUP(C233,[1]Orders!$A$5:$W$1043,7,0)</f>
        <v>Corporate</v>
      </c>
      <c r="J233" t="str">
        <f>VLOOKUP(C233,[1]Orders!$A$5:$W$1043,8,0)</f>
        <v>Connor Betts</v>
      </c>
      <c r="K233" t="str">
        <f>VLOOKUP(C233,[1]Orders!$A$5:$W$1043,9,0)</f>
        <v>Low</v>
      </c>
    </row>
    <row r="234" spans="3:11" x14ac:dyDescent="0.25">
      <c r="C234" s="61" t="s">
        <v>326</v>
      </c>
      <c r="D234" t="str">
        <f>VLOOKUP(C234,[1]Orders!$A$5:$W$1043,3,0)</f>
        <v>Darrin Martin</v>
      </c>
      <c r="E234">
        <f>VLOOKUP(C234,[1]Orders!$A$5:$W$1043,23,0)</f>
        <v>193.63</v>
      </c>
      <c r="F234" t="str">
        <f>VLOOKUP(C234,[1]Orders!$A$5:$W$1043,5,0)</f>
        <v>Melbourne</v>
      </c>
      <c r="G234" t="str">
        <f>VLOOKUP(C234,[1]Orders!$A$5:$W$1043,5,0)</f>
        <v>Melbourne</v>
      </c>
      <c r="H234" t="str">
        <f>VLOOKUP(C234,[1]Orders!$A$5:$W$1043,6,0)</f>
        <v>VIC</v>
      </c>
      <c r="I234" t="str">
        <f>VLOOKUP(C234,[1]Orders!$A$5:$W$1043,7,0)</f>
        <v>Small Business</v>
      </c>
      <c r="J234" t="str">
        <f>VLOOKUP(C234,[1]Orders!$A$5:$W$1043,8,0)</f>
        <v>Yvette Biti</v>
      </c>
      <c r="K234" t="str">
        <f>VLOOKUP(C234,[1]Orders!$A$5:$W$1043,9,0)</f>
        <v>Not Specified</v>
      </c>
    </row>
    <row r="235" spans="3:11" x14ac:dyDescent="0.25">
      <c r="C235" s="61" t="s">
        <v>327</v>
      </c>
      <c r="D235" t="str">
        <f>VLOOKUP(C235,[1]Orders!$A$5:$W$1043,3,0)</f>
        <v>Max Ludwig</v>
      </c>
      <c r="E235">
        <f>VLOOKUP(C235,[1]Orders!$A$5:$W$1043,23,0)</f>
        <v>246.1</v>
      </c>
      <c r="F235" t="str">
        <f>VLOOKUP(C235,[1]Orders!$A$5:$W$1043,5,0)</f>
        <v>Sydney</v>
      </c>
      <c r="G235" t="str">
        <f>VLOOKUP(C235,[1]Orders!$A$5:$W$1043,5,0)</f>
        <v>Sydney</v>
      </c>
      <c r="H235" t="str">
        <f>VLOOKUP(C235,[1]Orders!$A$5:$W$1043,6,0)</f>
        <v>NSW</v>
      </c>
      <c r="I235" t="str">
        <f>VLOOKUP(C235,[1]Orders!$A$5:$W$1043,7,0)</f>
        <v>Corporate</v>
      </c>
      <c r="J235" t="str">
        <f>VLOOKUP(C235,[1]Orders!$A$5:$W$1043,8,0)</f>
        <v>Nicholas Fernandes</v>
      </c>
      <c r="K235" t="str">
        <f>VLOOKUP(C235,[1]Orders!$A$5:$W$1043,9,0)</f>
        <v>Low</v>
      </c>
    </row>
    <row r="236" spans="3:11" x14ac:dyDescent="0.25">
      <c r="C236" s="61" t="s">
        <v>328</v>
      </c>
      <c r="D236" t="str">
        <f>VLOOKUP(C236,[1]Orders!$A$5:$W$1043,3,0)</f>
        <v>Liz Price</v>
      </c>
      <c r="E236">
        <f>VLOOKUP(C236,[1]Orders!$A$5:$W$1043,23,0)</f>
        <v>74.86999999999999</v>
      </c>
      <c r="F236" t="str">
        <f>VLOOKUP(C236,[1]Orders!$A$5:$W$1043,5,0)</f>
        <v>Sydney</v>
      </c>
      <c r="G236" t="str">
        <f>VLOOKUP(C236,[1]Orders!$A$5:$W$1043,5,0)</f>
        <v>Sydney</v>
      </c>
      <c r="H236" t="str">
        <f>VLOOKUP(C236,[1]Orders!$A$5:$W$1043,6,0)</f>
        <v>NSW</v>
      </c>
      <c r="I236" t="str">
        <f>VLOOKUP(C236,[1]Orders!$A$5:$W$1043,7,0)</f>
        <v>Corporate</v>
      </c>
      <c r="J236" t="str">
        <f>VLOOKUP(C236,[1]Orders!$A$5:$W$1043,8,0)</f>
        <v>Phoebe Gour</v>
      </c>
      <c r="K236" t="str">
        <f>VLOOKUP(C236,[1]Orders!$A$5:$W$1043,9,0)</f>
        <v>Not Specified</v>
      </c>
    </row>
    <row r="237" spans="3:11" x14ac:dyDescent="0.25">
      <c r="C237" s="61" t="s">
        <v>329</v>
      </c>
      <c r="D237" t="str">
        <f>VLOOKUP(C237,[1]Orders!$A$5:$W$1043,3,0)</f>
        <v>Grant Thornton</v>
      </c>
      <c r="E237">
        <f>VLOOKUP(C237,[1]Orders!$A$5:$W$1043,23,0)</f>
        <v>92.029999999999987</v>
      </c>
      <c r="F237" t="str">
        <f>VLOOKUP(C237,[1]Orders!$A$5:$W$1043,5,0)</f>
        <v>Sydney</v>
      </c>
      <c r="G237" t="str">
        <f>VLOOKUP(C237,[1]Orders!$A$5:$W$1043,5,0)</f>
        <v>Sydney</v>
      </c>
      <c r="H237" t="str">
        <f>VLOOKUP(C237,[1]Orders!$A$5:$W$1043,6,0)</f>
        <v>NSW</v>
      </c>
      <c r="I237" t="str">
        <f>VLOOKUP(C237,[1]Orders!$A$5:$W$1043,7,0)</f>
        <v>Corporate</v>
      </c>
      <c r="J237" t="str">
        <f>VLOOKUP(C237,[1]Orders!$A$5:$W$1043,8,0)</f>
        <v>Natasha Song</v>
      </c>
      <c r="K237" t="str">
        <f>VLOOKUP(C237,[1]Orders!$A$5:$W$1043,9,0)</f>
        <v>Not Specified</v>
      </c>
    </row>
    <row r="238" spans="3:11" x14ac:dyDescent="0.25">
      <c r="C238" s="61" t="s">
        <v>330</v>
      </c>
      <c r="D238" t="str">
        <f>VLOOKUP(C238,[1]Orders!$A$5:$W$1043,3,0)</f>
        <v>Victoria Brennan</v>
      </c>
      <c r="E238">
        <f>VLOOKUP(C238,[1]Orders!$A$5:$W$1043,23,0)</f>
        <v>407.33</v>
      </c>
      <c r="F238" t="str">
        <f>VLOOKUP(C238,[1]Orders!$A$5:$W$1043,5,0)</f>
        <v>Sydney</v>
      </c>
      <c r="G238" t="str">
        <f>VLOOKUP(C238,[1]Orders!$A$5:$W$1043,5,0)</f>
        <v>Sydney</v>
      </c>
      <c r="H238" t="str">
        <f>VLOOKUP(C238,[1]Orders!$A$5:$W$1043,6,0)</f>
        <v>NSW</v>
      </c>
      <c r="I238" t="str">
        <f>VLOOKUP(C238,[1]Orders!$A$5:$W$1043,7,0)</f>
        <v>Small Business</v>
      </c>
      <c r="J238" t="str">
        <f>VLOOKUP(C238,[1]Orders!$A$5:$W$1043,8,0)</f>
        <v>Nicholas Fernandes</v>
      </c>
      <c r="K238" t="str">
        <f>VLOOKUP(C238,[1]Orders!$A$5:$W$1043,9,0)</f>
        <v>Critical</v>
      </c>
    </row>
    <row r="239" spans="3:11" x14ac:dyDescent="0.25">
      <c r="C239" s="61" t="s">
        <v>331</v>
      </c>
      <c r="D239" t="str">
        <f>VLOOKUP(C239,[1]Orders!$A$5:$W$1043,3,0)</f>
        <v>Sarah Brown</v>
      </c>
      <c r="E239">
        <f>VLOOKUP(C239,[1]Orders!$A$5:$W$1043,23,0)</f>
        <v>337.53999999999996</v>
      </c>
      <c r="F239" t="str">
        <f>VLOOKUP(C239,[1]Orders!$A$5:$W$1043,5,0)</f>
        <v>Sydney</v>
      </c>
      <c r="G239" t="str">
        <f>VLOOKUP(C239,[1]Orders!$A$5:$W$1043,5,0)</f>
        <v>Sydney</v>
      </c>
      <c r="H239" t="str">
        <f>VLOOKUP(C239,[1]Orders!$A$5:$W$1043,6,0)</f>
        <v>NSW</v>
      </c>
      <c r="I239" t="str">
        <f>VLOOKUP(C239,[1]Orders!$A$5:$W$1043,7,0)</f>
        <v>Consumer</v>
      </c>
      <c r="J239" t="str">
        <f>VLOOKUP(C239,[1]Orders!$A$5:$W$1043,8,0)</f>
        <v>Aanya Zhang</v>
      </c>
      <c r="K239" t="str">
        <f>VLOOKUP(C239,[1]Orders!$A$5:$W$1043,9,0)</f>
        <v>Not Specified</v>
      </c>
    </row>
    <row r="240" spans="3:11" x14ac:dyDescent="0.25">
      <c r="C240" s="61" t="s">
        <v>332</v>
      </c>
      <c r="D240" t="str">
        <f>VLOOKUP(C240,[1]Orders!$A$5:$W$1043,3,0)</f>
        <v>Michael Granlund</v>
      </c>
      <c r="E240">
        <f>VLOOKUP(C240,[1]Orders!$A$5:$W$1043,23,0)</f>
        <v>2760.43</v>
      </c>
      <c r="F240" t="str">
        <f>VLOOKUP(C240,[1]Orders!$A$5:$W$1043,5,0)</f>
        <v>Sydney</v>
      </c>
      <c r="G240" t="str">
        <f>VLOOKUP(C240,[1]Orders!$A$5:$W$1043,5,0)</f>
        <v>Sydney</v>
      </c>
      <c r="H240" t="str">
        <f>VLOOKUP(C240,[1]Orders!$A$5:$W$1043,6,0)</f>
        <v>NSW</v>
      </c>
      <c r="I240" t="str">
        <f>VLOOKUP(C240,[1]Orders!$A$5:$W$1043,7,0)</f>
        <v>Corporate</v>
      </c>
      <c r="J240" t="str">
        <f>VLOOKUP(C240,[1]Orders!$A$5:$W$1043,8,0)</f>
        <v>Phoebe Gour</v>
      </c>
      <c r="K240" t="str">
        <f>VLOOKUP(C240,[1]Orders!$A$5:$W$1043,9,0)</f>
        <v>Medium</v>
      </c>
    </row>
    <row r="241" spans="3:11" x14ac:dyDescent="0.25">
      <c r="C241" s="61" t="s">
        <v>333</v>
      </c>
      <c r="D241" t="str">
        <f>VLOOKUP(C241,[1]Orders!$A$5:$W$1043,3,0)</f>
        <v>Jasper Cacioppo</v>
      </c>
      <c r="E241">
        <f>VLOOKUP(C241,[1]Orders!$A$5:$W$1043,23,0)</f>
        <v>264.77999999999997</v>
      </c>
      <c r="F241" t="str">
        <f>VLOOKUP(C241,[1]Orders!$A$5:$W$1043,5,0)</f>
        <v>Sydney</v>
      </c>
      <c r="G241" t="str">
        <f>VLOOKUP(C241,[1]Orders!$A$5:$W$1043,5,0)</f>
        <v>Sydney</v>
      </c>
      <c r="H241" t="str">
        <f>VLOOKUP(C241,[1]Orders!$A$5:$W$1043,6,0)</f>
        <v>NSW</v>
      </c>
      <c r="I241" t="str">
        <f>VLOOKUP(C241,[1]Orders!$A$5:$W$1043,7,0)</f>
        <v>Home Office</v>
      </c>
      <c r="J241" t="str">
        <f>VLOOKUP(C241,[1]Orders!$A$5:$W$1043,8,0)</f>
        <v>Radhya Staples</v>
      </c>
      <c r="K241" t="str">
        <f>VLOOKUP(C241,[1]Orders!$A$5:$W$1043,9,0)</f>
        <v>Low</v>
      </c>
    </row>
    <row r="242" spans="3:11" x14ac:dyDescent="0.25">
      <c r="C242" s="61" t="s">
        <v>334</v>
      </c>
      <c r="D242" t="str">
        <f>VLOOKUP(C242,[1]Orders!$A$5:$W$1043,3,0)</f>
        <v>Marina Lichtenstein</v>
      </c>
      <c r="E242">
        <f>VLOOKUP(C242,[1]Orders!$A$5:$W$1043,23,0)</f>
        <v>22.15</v>
      </c>
      <c r="F242" t="str">
        <f>VLOOKUP(C242,[1]Orders!$A$5:$W$1043,5,0)</f>
        <v>Sydney</v>
      </c>
      <c r="G242" t="str">
        <f>VLOOKUP(C242,[1]Orders!$A$5:$W$1043,5,0)</f>
        <v>Sydney</v>
      </c>
      <c r="H242" t="str">
        <f>VLOOKUP(C242,[1]Orders!$A$5:$W$1043,6,0)</f>
        <v>NSW</v>
      </c>
      <c r="I242" t="str">
        <f>VLOOKUP(C242,[1]Orders!$A$5:$W$1043,7,0)</f>
        <v>Corporate</v>
      </c>
      <c r="J242" t="str">
        <f>VLOOKUP(C242,[1]Orders!$A$5:$W$1043,8,0)</f>
        <v>Tina Carlton</v>
      </c>
      <c r="K242" t="str">
        <f>VLOOKUP(C242,[1]Orders!$A$5:$W$1043,9,0)</f>
        <v>High</v>
      </c>
    </row>
    <row r="243" spans="3:11" x14ac:dyDescent="0.25">
      <c r="C243" s="61" t="s">
        <v>335</v>
      </c>
      <c r="D243" t="str">
        <f>VLOOKUP(C243,[1]Orders!$A$5:$W$1043,3,0)</f>
        <v>Fred Wasserman</v>
      </c>
      <c r="E243">
        <f>VLOOKUP(C243,[1]Orders!$A$5:$W$1043,23,0)</f>
        <v>373.18</v>
      </c>
      <c r="F243" t="str">
        <f>VLOOKUP(C243,[1]Orders!$A$5:$W$1043,5,0)</f>
        <v>Sydney</v>
      </c>
      <c r="G243" t="str">
        <f>VLOOKUP(C243,[1]Orders!$A$5:$W$1043,5,0)</f>
        <v>Sydney</v>
      </c>
      <c r="H243" t="str">
        <f>VLOOKUP(C243,[1]Orders!$A$5:$W$1043,6,0)</f>
        <v>NSW</v>
      </c>
      <c r="I243" t="str">
        <f>VLOOKUP(C243,[1]Orders!$A$5:$W$1043,7,0)</f>
        <v>Home Office</v>
      </c>
      <c r="J243" t="str">
        <f>VLOOKUP(C243,[1]Orders!$A$5:$W$1043,8,0)</f>
        <v>Leighton Forrest</v>
      </c>
      <c r="K243" t="str">
        <f>VLOOKUP(C243,[1]Orders!$A$5:$W$1043,9,0)</f>
        <v>Low</v>
      </c>
    </row>
    <row r="244" spans="3:11" x14ac:dyDescent="0.25">
      <c r="C244" s="61" t="s">
        <v>336</v>
      </c>
      <c r="D244" t="str">
        <f>VLOOKUP(C244,[1]Orders!$A$5:$W$1043,3,0)</f>
        <v>Ann Chong</v>
      </c>
      <c r="E244">
        <f>VLOOKUP(C244,[1]Orders!$A$5:$W$1043,23,0)</f>
        <v>408.09</v>
      </c>
      <c r="F244" t="str">
        <f>VLOOKUP(C244,[1]Orders!$A$5:$W$1043,5,0)</f>
        <v>Sydney</v>
      </c>
      <c r="G244" t="str">
        <f>VLOOKUP(C244,[1]Orders!$A$5:$W$1043,5,0)</f>
        <v>Sydney</v>
      </c>
      <c r="H244" t="str">
        <f>VLOOKUP(C244,[1]Orders!$A$5:$W$1043,6,0)</f>
        <v>NSW</v>
      </c>
      <c r="I244" t="str">
        <f>VLOOKUP(C244,[1]Orders!$A$5:$W$1043,7,0)</f>
        <v>Corporate</v>
      </c>
      <c r="J244" t="str">
        <f>VLOOKUP(C244,[1]Orders!$A$5:$W$1043,8,0)</f>
        <v>Preston Senome</v>
      </c>
      <c r="K244" t="str">
        <f>VLOOKUP(C244,[1]Orders!$A$5:$W$1043,9,0)</f>
        <v>High</v>
      </c>
    </row>
    <row r="245" spans="3:11" x14ac:dyDescent="0.25">
      <c r="C245" s="61" t="s">
        <v>337</v>
      </c>
      <c r="D245" t="str">
        <f>VLOOKUP(C245,[1]Orders!$A$5:$W$1043,3,0)</f>
        <v>Mick Crebagga</v>
      </c>
      <c r="E245">
        <f>VLOOKUP(C245,[1]Orders!$A$5:$W$1043,23,0)</f>
        <v>91.95</v>
      </c>
      <c r="F245" t="str">
        <f>VLOOKUP(C245,[1]Orders!$A$5:$W$1043,5,0)</f>
        <v>Sydney</v>
      </c>
      <c r="G245" t="str">
        <f>VLOOKUP(C245,[1]Orders!$A$5:$W$1043,5,0)</f>
        <v>Sydney</v>
      </c>
      <c r="H245" t="str">
        <f>VLOOKUP(C245,[1]Orders!$A$5:$W$1043,6,0)</f>
        <v>NSW</v>
      </c>
      <c r="I245" t="str">
        <f>VLOOKUP(C245,[1]Orders!$A$5:$W$1043,7,0)</f>
        <v>Home Office</v>
      </c>
      <c r="J245" t="str">
        <f>VLOOKUP(C245,[1]Orders!$A$5:$W$1043,8,0)</f>
        <v>Tina Carlton</v>
      </c>
      <c r="K245" t="str">
        <f>VLOOKUP(C245,[1]Orders!$A$5:$W$1043,9,0)</f>
        <v>Critical</v>
      </c>
    </row>
    <row r="246" spans="3:11" x14ac:dyDescent="0.25">
      <c r="C246" s="61" t="s">
        <v>338</v>
      </c>
      <c r="D246" t="str">
        <f>VLOOKUP(C246,[1]Orders!$A$5:$W$1043,3,0)</f>
        <v>Chloris Kastensmidt</v>
      </c>
      <c r="E246">
        <f>VLOOKUP(C246,[1]Orders!$A$5:$W$1043,23,0)</f>
        <v>443</v>
      </c>
      <c r="F246" t="str">
        <f>VLOOKUP(C246,[1]Orders!$A$5:$W$1043,5,0)</f>
        <v>Sydney</v>
      </c>
      <c r="G246" t="str">
        <f>VLOOKUP(C246,[1]Orders!$A$5:$W$1043,5,0)</f>
        <v>Sydney</v>
      </c>
      <c r="H246" t="str">
        <f>VLOOKUP(C246,[1]Orders!$A$5:$W$1043,6,0)</f>
        <v>NSW</v>
      </c>
      <c r="I246" t="str">
        <f>VLOOKUP(C246,[1]Orders!$A$5:$W$1043,7,0)</f>
        <v>Consumer</v>
      </c>
      <c r="J246" t="str">
        <f>VLOOKUP(C246,[1]Orders!$A$5:$W$1043,8,0)</f>
        <v>Stevie Bacata</v>
      </c>
      <c r="K246" t="str">
        <f>VLOOKUP(C246,[1]Orders!$A$5:$W$1043,9,0)</f>
        <v>Low</v>
      </c>
    </row>
    <row r="247" spans="3:11" x14ac:dyDescent="0.25">
      <c r="C247" s="61" t="s">
        <v>339</v>
      </c>
      <c r="D247" t="str">
        <f>VLOOKUP(C247,[1]Orders!$A$5:$W$1043,3,0)</f>
        <v>Aleksandra Gannaway</v>
      </c>
      <c r="E247">
        <f>VLOOKUP(C247,[1]Orders!$A$5:$W$1043,23,0)</f>
        <v>121.13</v>
      </c>
      <c r="F247" t="str">
        <f>VLOOKUP(C247,[1]Orders!$A$5:$W$1043,5,0)</f>
        <v>Sydney</v>
      </c>
      <c r="G247" t="str">
        <f>VLOOKUP(C247,[1]Orders!$A$5:$W$1043,5,0)</f>
        <v>Sydney</v>
      </c>
      <c r="H247" t="str">
        <f>VLOOKUP(C247,[1]Orders!$A$5:$W$1043,6,0)</f>
        <v>NSW</v>
      </c>
      <c r="I247" t="str">
        <f>VLOOKUP(C247,[1]Orders!$A$5:$W$1043,7,0)</f>
        <v>Home Office</v>
      </c>
      <c r="J247" t="str">
        <f>VLOOKUP(C247,[1]Orders!$A$5:$W$1043,8,0)</f>
        <v>Tina Carlton</v>
      </c>
      <c r="K247" t="str">
        <f>VLOOKUP(C247,[1]Orders!$A$5:$W$1043,9,0)</f>
        <v>Medium</v>
      </c>
    </row>
    <row r="248" spans="3:11" x14ac:dyDescent="0.25">
      <c r="C248" s="61" t="s">
        <v>340</v>
      </c>
      <c r="D248" t="str">
        <f>VLOOKUP(C248,[1]Orders!$A$5:$W$1043,3,0)</f>
        <v>Maribeth Dona</v>
      </c>
      <c r="E248">
        <f>VLOOKUP(C248,[1]Orders!$A$5:$W$1043,23,0)</f>
        <v>529.53</v>
      </c>
      <c r="F248" t="str">
        <f>VLOOKUP(C248,[1]Orders!$A$5:$W$1043,5,0)</f>
        <v>Melbourne</v>
      </c>
      <c r="G248" t="str">
        <f>VLOOKUP(C248,[1]Orders!$A$5:$W$1043,5,0)</f>
        <v>Melbourne</v>
      </c>
      <c r="H248" t="str">
        <f>VLOOKUP(C248,[1]Orders!$A$5:$W$1043,6,0)</f>
        <v>VIC</v>
      </c>
      <c r="I248" t="str">
        <f>VLOOKUP(C248,[1]Orders!$A$5:$W$1043,7,0)</f>
        <v>Home Office</v>
      </c>
      <c r="J248" t="str">
        <f>VLOOKUP(C248,[1]Orders!$A$5:$W$1043,8,0)</f>
        <v>Connor Betts</v>
      </c>
      <c r="K248" t="str">
        <f>VLOOKUP(C248,[1]Orders!$A$5:$W$1043,9,0)</f>
        <v>High</v>
      </c>
    </row>
    <row r="249" spans="3:11" x14ac:dyDescent="0.25">
      <c r="C249" s="61" t="s">
        <v>341</v>
      </c>
      <c r="D249" t="str">
        <f>VLOOKUP(C249,[1]Orders!$A$5:$W$1043,3,0)</f>
        <v>Michael Grace</v>
      </c>
      <c r="E249">
        <f>VLOOKUP(C249,[1]Orders!$A$5:$W$1043,23,0)</f>
        <v>1047.7900000000002</v>
      </c>
      <c r="F249" t="str">
        <f>VLOOKUP(C249,[1]Orders!$A$5:$W$1043,5,0)</f>
        <v>Sydney</v>
      </c>
      <c r="G249" t="str">
        <f>VLOOKUP(C249,[1]Orders!$A$5:$W$1043,5,0)</f>
        <v>Sydney</v>
      </c>
      <c r="H249" t="str">
        <f>VLOOKUP(C249,[1]Orders!$A$5:$W$1043,6,0)</f>
        <v>NSW</v>
      </c>
      <c r="I249" t="str">
        <f>VLOOKUP(C249,[1]Orders!$A$5:$W$1043,7,0)</f>
        <v>Corporate</v>
      </c>
      <c r="J249" t="str">
        <f>VLOOKUP(C249,[1]Orders!$A$5:$W$1043,8,0)</f>
        <v>Natasha Song</v>
      </c>
      <c r="K249" t="str">
        <f>VLOOKUP(C249,[1]Orders!$A$5:$W$1043,9,0)</f>
        <v>Low</v>
      </c>
    </row>
    <row r="250" spans="3:11" x14ac:dyDescent="0.25">
      <c r="C250" s="61" t="s">
        <v>342</v>
      </c>
      <c r="D250" t="str">
        <f>VLOOKUP(C250,[1]Orders!$A$5:$W$1043,3,0)</f>
        <v>Cynthia Delaney</v>
      </c>
      <c r="E250">
        <f>VLOOKUP(C250,[1]Orders!$A$5:$W$1043,23,0)</f>
        <v>53.83</v>
      </c>
      <c r="F250" t="str">
        <f>VLOOKUP(C250,[1]Orders!$A$5:$W$1043,5,0)</f>
        <v>Sydney</v>
      </c>
      <c r="G250" t="str">
        <f>VLOOKUP(C250,[1]Orders!$A$5:$W$1043,5,0)</f>
        <v>Sydney</v>
      </c>
      <c r="H250" t="str">
        <f>VLOOKUP(C250,[1]Orders!$A$5:$W$1043,6,0)</f>
        <v>NSW</v>
      </c>
      <c r="I250" t="str">
        <f>VLOOKUP(C250,[1]Orders!$A$5:$W$1043,7,0)</f>
        <v>Corporate</v>
      </c>
      <c r="J250" t="str">
        <f>VLOOKUP(C250,[1]Orders!$A$5:$W$1043,8,0)</f>
        <v>Natasha Song</v>
      </c>
      <c r="K250" t="str">
        <f>VLOOKUP(C250,[1]Orders!$A$5:$W$1043,9,0)</f>
        <v>Not Specified</v>
      </c>
    </row>
    <row r="251" spans="3:11" x14ac:dyDescent="0.25">
      <c r="C251" s="61" t="s">
        <v>343</v>
      </c>
      <c r="D251" t="str">
        <f>VLOOKUP(C251,[1]Orders!$A$5:$W$1043,3,0)</f>
        <v>John Dryer</v>
      </c>
      <c r="E251">
        <f>VLOOKUP(C251,[1]Orders!$A$5:$W$1043,23,0)</f>
        <v>568.54999999999995</v>
      </c>
      <c r="F251" t="str">
        <f>VLOOKUP(C251,[1]Orders!$A$5:$W$1043,5,0)</f>
        <v>Melbourne</v>
      </c>
      <c r="G251" t="str">
        <f>VLOOKUP(C251,[1]Orders!$A$5:$W$1043,5,0)</f>
        <v>Melbourne</v>
      </c>
      <c r="H251" t="str">
        <f>VLOOKUP(C251,[1]Orders!$A$5:$W$1043,6,0)</f>
        <v>VIC</v>
      </c>
      <c r="I251" t="str">
        <f>VLOOKUP(C251,[1]Orders!$A$5:$W$1043,7,0)</f>
        <v>Corporate</v>
      </c>
      <c r="J251" t="str">
        <f>VLOOKUP(C251,[1]Orders!$A$5:$W$1043,8,0)</f>
        <v>Connor Betts</v>
      </c>
      <c r="K251" t="str">
        <f>VLOOKUP(C251,[1]Orders!$A$5:$W$1043,9,0)</f>
        <v>Medium</v>
      </c>
    </row>
    <row r="252" spans="3:11" x14ac:dyDescent="0.25">
      <c r="C252" s="61" t="s">
        <v>344</v>
      </c>
      <c r="D252" t="str">
        <f>VLOOKUP(C252,[1]Orders!$A$5:$W$1043,3,0)</f>
        <v>Eric Barreto</v>
      </c>
      <c r="E252">
        <f>VLOOKUP(C252,[1]Orders!$A$5:$W$1043,23,0)</f>
        <v>1695.14</v>
      </c>
      <c r="F252" t="str">
        <f>VLOOKUP(C252,[1]Orders!$A$5:$W$1043,5,0)</f>
        <v>Sydney</v>
      </c>
      <c r="G252" t="str">
        <f>VLOOKUP(C252,[1]Orders!$A$5:$W$1043,5,0)</f>
        <v>Sydney</v>
      </c>
      <c r="H252" t="str">
        <f>VLOOKUP(C252,[1]Orders!$A$5:$W$1043,6,0)</f>
        <v>NSW</v>
      </c>
      <c r="I252" t="str">
        <f>VLOOKUP(C252,[1]Orders!$A$5:$W$1043,7,0)</f>
        <v>Consumer</v>
      </c>
      <c r="J252" t="str">
        <f>VLOOKUP(C252,[1]Orders!$A$5:$W$1043,8,0)</f>
        <v>Phoebe Gour</v>
      </c>
      <c r="K252" t="str">
        <f>VLOOKUP(C252,[1]Orders!$A$5:$W$1043,9,0)</f>
        <v>High</v>
      </c>
    </row>
    <row r="253" spans="3:11" x14ac:dyDescent="0.25">
      <c r="C253" s="61" t="s">
        <v>345</v>
      </c>
      <c r="D253" t="str">
        <f>VLOOKUP(C253,[1]Orders!$A$5:$W$1043,3,0)</f>
        <v>Carlos Daly</v>
      </c>
      <c r="E253">
        <f>VLOOKUP(C253,[1]Orders!$A$5:$W$1043,23,0)</f>
        <v>843.05</v>
      </c>
      <c r="F253" t="str">
        <f>VLOOKUP(C253,[1]Orders!$A$5:$W$1043,5,0)</f>
        <v>Sydney</v>
      </c>
      <c r="G253" t="str">
        <f>VLOOKUP(C253,[1]Orders!$A$5:$W$1043,5,0)</f>
        <v>Sydney</v>
      </c>
      <c r="H253" t="str">
        <f>VLOOKUP(C253,[1]Orders!$A$5:$W$1043,6,0)</f>
        <v>NSW</v>
      </c>
      <c r="I253" t="str">
        <f>VLOOKUP(C253,[1]Orders!$A$5:$W$1043,7,0)</f>
        <v>Corporate</v>
      </c>
      <c r="J253" t="str">
        <f>VLOOKUP(C253,[1]Orders!$A$5:$W$1043,8,0)</f>
        <v>Charlie Bui</v>
      </c>
      <c r="K253" t="str">
        <f>VLOOKUP(C253,[1]Orders!$A$5:$W$1043,9,0)</f>
        <v>High</v>
      </c>
    </row>
    <row r="254" spans="3:11" x14ac:dyDescent="0.25">
      <c r="C254" s="61" t="s">
        <v>346</v>
      </c>
      <c r="D254" t="str">
        <f>VLOOKUP(C254,[1]Orders!$A$5:$W$1043,3,0)</f>
        <v>Joni Wasserman</v>
      </c>
      <c r="E254">
        <f>VLOOKUP(C254,[1]Orders!$A$5:$W$1043,23,0)</f>
        <v>1640.73</v>
      </c>
      <c r="F254" t="str">
        <f>VLOOKUP(C254,[1]Orders!$A$5:$W$1043,5,0)</f>
        <v>Sydney</v>
      </c>
      <c r="G254" t="str">
        <f>VLOOKUP(C254,[1]Orders!$A$5:$W$1043,5,0)</f>
        <v>Sydney</v>
      </c>
      <c r="H254" t="str">
        <f>VLOOKUP(C254,[1]Orders!$A$5:$W$1043,6,0)</f>
        <v>NSW</v>
      </c>
      <c r="I254" t="str">
        <f>VLOOKUP(C254,[1]Orders!$A$5:$W$1043,7,0)</f>
        <v>Consumer</v>
      </c>
      <c r="J254" t="str">
        <f>VLOOKUP(C254,[1]Orders!$A$5:$W$1043,8,0)</f>
        <v>Natasha Song</v>
      </c>
      <c r="K254" t="str">
        <f>VLOOKUP(C254,[1]Orders!$A$5:$W$1043,9,0)</f>
        <v>Low</v>
      </c>
    </row>
    <row r="255" spans="3:11" x14ac:dyDescent="0.25">
      <c r="C255" s="61" t="s">
        <v>347</v>
      </c>
      <c r="D255" t="str">
        <f>VLOOKUP(C255,[1]Orders!$A$5:$W$1043,3,0)</f>
        <v>Neil Knudson</v>
      </c>
      <c r="E255">
        <f>VLOOKUP(C255,[1]Orders!$A$5:$W$1043,23,0)</f>
        <v>34.730000000000004</v>
      </c>
      <c r="F255" t="str">
        <f>VLOOKUP(C255,[1]Orders!$A$5:$W$1043,5,0)</f>
        <v>Sydney</v>
      </c>
      <c r="G255" t="str">
        <f>VLOOKUP(C255,[1]Orders!$A$5:$W$1043,5,0)</f>
        <v>Sydney</v>
      </c>
      <c r="H255" t="str">
        <f>VLOOKUP(C255,[1]Orders!$A$5:$W$1043,6,0)</f>
        <v>NSW</v>
      </c>
      <c r="I255" t="str">
        <f>VLOOKUP(C255,[1]Orders!$A$5:$W$1043,7,0)</f>
        <v>Corporate</v>
      </c>
      <c r="J255" t="str">
        <f>VLOOKUP(C255,[1]Orders!$A$5:$W$1043,8,0)</f>
        <v>Tina Carlton</v>
      </c>
      <c r="K255" t="str">
        <f>VLOOKUP(C255,[1]Orders!$A$5:$W$1043,9,0)</f>
        <v>Medium</v>
      </c>
    </row>
    <row r="256" spans="3:11" x14ac:dyDescent="0.25">
      <c r="C256" s="61" t="s">
        <v>348</v>
      </c>
      <c r="D256" t="str">
        <f>VLOOKUP(C256,[1]Orders!$A$5:$W$1043,3,0)</f>
        <v>Roy Skaria</v>
      </c>
      <c r="E256">
        <f>VLOOKUP(C256,[1]Orders!$A$5:$W$1043,23,0)</f>
        <v>529.51</v>
      </c>
      <c r="F256" t="str">
        <f>VLOOKUP(C256,[1]Orders!$A$5:$W$1043,5,0)</f>
        <v>Sydney</v>
      </c>
      <c r="G256" t="str">
        <f>VLOOKUP(C256,[1]Orders!$A$5:$W$1043,5,0)</f>
        <v>Sydney</v>
      </c>
      <c r="H256" t="str">
        <f>VLOOKUP(C256,[1]Orders!$A$5:$W$1043,6,0)</f>
        <v>NSW</v>
      </c>
      <c r="I256" t="str">
        <f>VLOOKUP(C256,[1]Orders!$A$5:$W$1043,7,0)</f>
        <v>Corporate</v>
      </c>
      <c r="J256" t="str">
        <f>VLOOKUP(C256,[1]Orders!$A$5:$W$1043,8,0)</f>
        <v>Samantha Chairs</v>
      </c>
      <c r="K256" t="str">
        <f>VLOOKUP(C256,[1]Orders!$A$5:$W$1043,9,0)</f>
        <v>Medium</v>
      </c>
    </row>
    <row r="257" spans="3:11" x14ac:dyDescent="0.25">
      <c r="C257" s="61" t="s">
        <v>349</v>
      </c>
      <c r="D257" t="str">
        <f>VLOOKUP(C257,[1]Orders!$A$5:$W$1043,3,0)</f>
        <v>Frank Merwin</v>
      </c>
      <c r="E257">
        <f>VLOOKUP(C257,[1]Orders!$A$5:$W$1043,23,0)</f>
        <v>18.009999999999998</v>
      </c>
      <c r="F257" t="str">
        <f>VLOOKUP(C257,[1]Orders!$A$5:$W$1043,5,0)</f>
        <v>Sydney</v>
      </c>
      <c r="G257" t="str">
        <f>VLOOKUP(C257,[1]Orders!$A$5:$W$1043,5,0)</f>
        <v>Sydney</v>
      </c>
      <c r="H257" t="str">
        <f>VLOOKUP(C257,[1]Orders!$A$5:$W$1043,6,0)</f>
        <v>NSW</v>
      </c>
      <c r="I257" t="str">
        <f>VLOOKUP(C257,[1]Orders!$A$5:$W$1043,7,0)</f>
        <v>Corporate</v>
      </c>
      <c r="J257" t="str">
        <f>VLOOKUP(C257,[1]Orders!$A$5:$W$1043,8,0)</f>
        <v>Radhya Staples</v>
      </c>
      <c r="K257" t="str">
        <f>VLOOKUP(C257,[1]Orders!$A$5:$W$1043,9,0)</f>
        <v>Medium</v>
      </c>
    </row>
    <row r="258" spans="3:11" x14ac:dyDescent="0.25">
      <c r="C258" s="61" t="s">
        <v>350</v>
      </c>
      <c r="D258" t="str">
        <f>VLOOKUP(C258,[1]Orders!$A$5:$W$1043,3,0)</f>
        <v>Amy Cox</v>
      </c>
      <c r="E258">
        <f>VLOOKUP(C258,[1]Orders!$A$5:$W$1043,23,0)</f>
        <v>64.77</v>
      </c>
      <c r="F258" t="str">
        <f>VLOOKUP(C258,[1]Orders!$A$5:$W$1043,5,0)</f>
        <v>Sydney</v>
      </c>
      <c r="G258" t="str">
        <f>VLOOKUP(C258,[1]Orders!$A$5:$W$1043,5,0)</f>
        <v>Sydney</v>
      </c>
      <c r="H258" t="str">
        <f>VLOOKUP(C258,[1]Orders!$A$5:$W$1043,6,0)</f>
        <v>NSW</v>
      </c>
      <c r="I258" t="str">
        <f>VLOOKUP(C258,[1]Orders!$A$5:$W$1043,7,0)</f>
        <v>Small Business</v>
      </c>
      <c r="J258" t="str">
        <f>VLOOKUP(C258,[1]Orders!$A$5:$W$1043,8,0)</f>
        <v>Aanya Zhang</v>
      </c>
      <c r="K258" t="str">
        <f>VLOOKUP(C258,[1]Orders!$A$5:$W$1043,9,0)</f>
        <v>Critical</v>
      </c>
    </row>
    <row r="259" spans="3:11" x14ac:dyDescent="0.25">
      <c r="C259" s="61" t="s">
        <v>351</v>
      </c>
      <c r="D259" t="str">
        <f>VLOOKUP(C259,[1]Orders!$A$5:$W$1043,3,0)</f>
        <v>Paul MacIntyre</v>
      </c>
      <c r="E259">
        <f>VLOOKUP(C259,[1]Orders!$A$5:$W$1043,23,0)</f>
        <v>96.000000000000014</v>
      </c>
      <c r="F259" t="str">
        <f>VLOOKUP(C259,[1]Orders!$A$5:$W$1043,5,0)</f>
        <v>Melbourne</v>
      </c>
      <c r="G259" t="str">
        <f>VLOOKUP(C259,[1]Orders!$A$5:$W$1043,5,0)</f>
        <v>Melbourne</v>
      </c>
      <c r="H259" t="str">
        <f>VLOOKUP(C259,[1]Orders!$A$5:$W$1043,6,0)</f>
        <v>VIC</v>
      </c>
      <c r="I259" t="str">
        <f>VLOOKUP(C259,[1]Orders!$A$5:$W$1043,7,0)</f>
        <v>Corporate</v>
      </c>
      <c r="J259" t="str">
        <f>VLOOKUP(C259,[1]Orders!$A$5:$W$1043,8,0)</f>
        <v>Yvette Biti</v>
      </c>
      <c r="K259" t="str">
        <f>VLOOKUP(C259,[1]Orders!$A$5:$W$1043,9,0)</f>
        <v>Critical</v>
      </c>
    </row>
    <row r="260" spans="3:11" x14ac:dyDescent="0.25">
      <c r="C260" s="61" t="s">
        <v>352</v>
      </c>
      <c r="D260" t="str">
        <f>VLOOKUP(C260,[1]Orders!$A$5:$W$1043,3,0)</f>
        <v>Cindy Stewart</v>
      </c>
      <c r="E260">
        <f>VLOOKUP(C260,[1]Orders!$A$5:$W$1043,23,0)</f>
        <v>3.05</v>
      </c>
      <c r="F260" t="str">
        <f>VLOOKUP(C260,[1]Orders!$A$5:$W$1043,5,0)</f>
        <v>Sydney</v>
      </c>
      <c r="G260" t="str">
        <f>VLOOKUP(C260,[1]Orders!$A$5:$W$1043,5,0)</f>
        <v>Sydney</v>
      </c>
      <c r="H260" t="str">
        <f>VLOOKUP(C260,[1]Orders!$A$5:$W$1043,6,0)</f>
        <v>NSW</v>
      </c>
      <c r="I260" t="str">
        <f>VLOOKUP(C260,[1]Orders!$A$5:$W$1043,7,0)</f>
        <v>Corporate</v>
      </c>
      <c r="J260" t="str">
        <f>VLOOKUP(C260,[1]Orders!$A$5:$W$1043,8,0)</f>
        <v>Leighton Forrest</v>
      </c>
      <c r="K260" t="str">
        <f>VLOOKUP(C260,[1]Orders!$A$5:$W$1043,9,0)</f>
        <v>Critical</v>
      </c>
    </row>
    <row r="261" spans="3:11" x14ac:dyDescent="0.25">
      <c r="C261" s="61" t="s">
        <v>353</v>
      </c>
      <c r="D261" t="str">
        <f>VLOOKUP(C261,[1]Orders!$A$5:$W$1043,3,0)</f>
        <v>Tamara Willingham</v>
      </c>
      <c r="E261">
        <f>VLOOKUP(C261,[1]Orders!$A$5:$W$1043,23,0)</f>
        <v>127.05000000000001</v>
      </c>
      <c r="F261" t="str">
        <f>VLOOKUP(C261,[1]Orders!$A$5:$W$1043,5,0)</f>
        <v>Sydney</v>
      </c>
      <c r="G261" t="str">
        <f>VLOOKUP(C261,[1]Orders!$A$5:$W$1043,5,0)</f>
        <v>Sydney</v>
      </c>
      <c r="H261" t="str">
        <f>VLOOKUP(C261,[1]Orders!$A$5:$W$1043,6,0)</f>
        <v>NSW</v>
      </c>
      <c r="I261" t="str">
        <f>VLOOKUP(C261,[1]Orders!$A$5:$W$1043,7,0)</f>
        <v>Corporate</v>
      </c>
      <c r="J261" t="str">
        <f>VLOOKUP(C261,[1]Orders!$A$5:$W$1043,8,0)</f>
        <v>Phoebe Gour</v>
      </c>
      <c r="K261" t="str">
        <f>VLOOKUP(C261,[1]Orders!$A$5:$W$1043,9,0)</f>
        <v>Medium</v>
      </c>
    </row>
    <row r="262" spans="3:11" x14ac:dyDescent="0.25">
      <c r="C262" s="61" t="s">
        <v>354</v>
      </c>
      <c r="D262" t="str">
        <f>VLOOKUP(C262,[1]Orders!$A$5:$W$1043,3,0)</f>
        <v>Darrin Sayre</v>
      </c>
      <c r="E262">
        <f>VLOOKUP(C262,[1]Orders!$A$5:$W$1043,23,0)</f>
        <v>240.69000000000003</v>
      </c>
      <c r="F262" t="str">
        <f>VLOOKUP(C262,[1]Orders!$A$5:$W$1043,5,0)</f>
        <v>Sydney</v>
      </c>
      <c r="G262" t="str">
        <f>VLOOKUP(C262,[1]Orders!$A$5:$W$1043,5,0)</f>
        <v>Sydney</v>
      </c>
      <c r="H262" t="str">
        <f>VLOOKUP(C262,[1]Orders!$A$5:$W$1043,6,0)</f>
        <v>NSW</v>
      </c>
      <c r="I262" t="str">
        <f>VLOOKUP(C262,[1]Orders!$A$5:$W$1043,7,0)</f>
        <v>Consumer</v>
      </c>
      <c r="J262" t="str">
        <f>VLOOKUP(C262,[1]Orders!$A$5:$W$1043,8,0)</f>
        <v>Phoebe Gour</v>
      </c>
      <c r="K262" t="str">
        <f>VLOOKUP(C262,[1]Orders!$A$5:$W$1043,9,0)</f>
        <v>Not Specified</v>
      </c>
    </row>
    <row r="263" spans="3:11" x14ac:dyDescent="0.25">
      <c r="C263" s="61" t="s">
        <v>355</v>
      </c>
      <c r="D263" t="str">
        <f>VLOOKUP(C263,[1]Orders!$A$5:$W$1043,3,0)</f>
        <v>Amy Cox</v>
      </c>
      <c r="E263">
        <f>VLOOKUP(C263,[1]Orders!$A$5:$W$1043,23,0)</f>
        <v>63.46</v>
      </c>
      <c r="F263" t="str">
        <f>VLOOKUP(C263,[1]Orders!$A$5:$W$1043,5,0)</f>
        <v>Sydney</v>
      </c>
      <c r="G263" t="str">
        <f>VLOOKUP(C263,[1]Orders!$A$5:$W$1043,5,0)</f>
        <v>Sydney</v>
      </c>
      <c r="H263" t="str">
        <f>VLOOKUP(C263,[1]Orders!$A$5:$W$1043,6,0)</f>
        <v>NSW</v>
      </c>
      <c r="I263" t="str">
        <f>VLOOKUP(C263,[1]Orders!$A$5:$W$1043,7,0)</f>
        <v>Small Business</v>
      </c>
      <c r="J263" t="str">
        <f>VLOOKUP(C263,[1]Orders!$A$5:$W$1043,8,0)</f>
        <v>Aanya Zhang</v>
      </c>
      <c r="K263" t="str">
        <f>VLOOKUP(C263,[1]Orders!$A$5:$W$1043,9,0)</f>
        <v>Not Specified</v>
      </c>
    </row>
    <row r="264" spans="3:11" x14ac:dyDescent="0.25">
      <c r="C264" s="61" t="s">
        <v>356</v>
      </c>
      <c r="D264" t="str">
        <f>VLOOKUP(C264,[1]Orders!$A$5:$W$1043,3,0)</f>
        <v>Ed Jacobs</v>
      </c>
      <c r="E264">
        <f>VLOOKUP(C264,[1]Orders!$A$5:$W$1043,23,0)</f>
        <v>233.98999999999998</v>
      </c>
      <c r="F264" t="str">
        <f>VLOOKUP(C264,[1]Orders!$A$5:$W$1043,5,0)</f>
        <v>Sydney</v>
      </c>
      <c r="G264" t="str">
        <f>VLOOKUP(C264,[1]Orders!$A$5:$W$1043,5,0)</f>
        <v>Sydney</v>
      </c>
      <c r="H264" t="str">
        <f>VLOOKUP(C264,[1]Orders!$A$5:$W$1043,6,0)</f>
        <v>NSW</v>
      </c>
      <c r="I264" t="str">
        <f>VLOOKUP(C264,[1]Orders!$A$5:$W$1043,7,0)</f>
        <v>Small Business</v>
      </c>
      <c r="J264" t="str">
        <f>VLOOKUP(C264,[1]Orders!$A$5:$W$1043,8,0)</f>
        <v>Mihael Khan</v>
      </c>
      <c r="K264" t="str">
        <f>VLOOKUP(C264,[1]Orders!$A$5:$W$1043,9,0)</f>
        <v>High</v>
      </c>
    </row>
    <row r="265" spans="3:11" x14ac:dyDescent="0.25">
      <c r="C265" s="61" t="s">
        <v>357</v>
      </c>
      <c r="D265" t="str">
        <f>VLOOKUP(C265,[1]Orders!$A$5:$W$1043,3,0)</f>
        <v>Dan Campbell</v>
      </c>
      <c r="E265">
        <f>VLOOKUP(C265,[1]Orders!$A$5:$W$1043,23,0)</f>
        <v>470.75</v>
      </c>
      <c r="F265" t="str">
        <f>VLOOKUP(C265,[1]Orders!$A$5:$W$1043,5,0)</f>
        <v>Sydney</v>
      </c>
      <c r="G265" t="str">
        <f>VLOOKUP(C265,[1]Orders!$A$5:$W$1043,5,0)</f>
        <v>Sydney</v>
      </c>
      <c r="H265" t="str">
        <f>VLOOKUP(C265,[1]Orders!$A$5:$W$1043,6,0)</f>
        <v>NSW</v>
      </c>
      <c r="I265" t="str">
        <f>VLOOKUP(C265,[1]Orders!$A$5:$W$1043,7,0)</f>
        <v>Small Business</v>
      </c>
      <c r="J265" t="str">
        <f>VLOOKUP(C265,[1]Orders!$A$5:$W$1043,8,0)</f>
        <v>Leighton Forrest</v>
      </c>
      <c r="K265" t="str">
        <f>VLOOKUP(C265,[1]Orders!$A$5:$W$1043,9,0)</f>
        <v>High</v>
      </c>
    </row>
    <row r="266" spans="3:11" x14ac:dyDescent="0.25">
      <c r="C266" s="61" t="s">
        <v>358</v>
      </c>
      <c r="D266" t="str">
        <f>VLOOKUP(C266,[1]Orders!$A$5:$W$1043,3,0)</f>
        <v>Shahid Shariari</v>
      </c>
      <c r="E266">
        <f>VLOOKUP(C266,[1]Orders!$A$5:$W$1043,23,0)</f>
        <v>261.55</v>
      </c>
      <c r="F266" t="str">
        <f>VLOOKUP(C266,[1]Orders!$A$5:$W$1043,5,0)</f>
        <v>Sydney</v>
      </c>
      <c r="G266" t="str">
        <f>VLOOKUP(C266,[1]Orders!$A$5:$W$1043,5,0)</f>
        <v>Sydney</v>
      </c>
      <c r="H266" t="str">
        <f>VLOOKUP(C266,[1]Orders!$A$5:$W$1043,6,0)</f>
        <v>NSW</v>
      </c>
      <c r="I266" t="str">
        <f>VLOOKUP(C266,[1]Orders!$A$5:$W$1043,7,0)</f>
        <v>Consumer</v>
      </c>
      <c r="J266" t="str">
        <f>VLOOKUP(C266,[1]Orders!$A$5:$W$1043,8,0)</f>
        <v>Mihael Khan</v>
      </c>
      <c r="K266" t="str">
        <f>VLOOKUP(C266,[1]Orders!$A$5:$W$1043,9,0)</f>
        <v>Not Specified</v>
      </c>
    </row>
    <row r="267" spans="3:11" x14ac:dyDescent="0.25">
      <c r="C267" s="61" t="s">
        <v>359</v>
      </c>
      <c r="D267" t="str">
        <f>VLOOKUP(C267,[1]Orders!$A$5:$W$1043,3,0)</f>
        <v>Toby Knight</v>
      </c>
      <c r="E267">
        <f>VLOOKUP(C267,[1]Orders!$A$5:$W$1043,23,0)</f>
        <v>303.27</v>
      </c>
      <c r="F267" t="str">
        <f>VLOOKUP(C267,[1]Orders!$A$5:$W$1043,5,0)</f>
        <v>Melbourne</v>
      </c>
      <c r="G267" t="str">
        <f>VLOOKUP(C267,[1]Orders!$A$5:$W$1043,5,0)</f>
        <v>Melbourne</v>
      </c>
      <c r="H267" t="str">
        <f>VLOOKUP(C267,[1]Orders!$A$5:$W$1043,6,0)</f>
        <v>VIC</v>
      </c>
      <c r="I267" t="str">
        <f>VLOOKUP(C267,[1]Orders!$A$5:$W$1043,7,0)</f>
        <v>Corporate</v>
      </c>
      <c r="J267" t="str">
        <f>VLOOKUP(C267,[1]Orders!$A$5:$W$1043,8,0)</f>
        <v>Connor Betts</v>
      </c>
      <c r="K267" t="str">
        <f>VLOOKUP(C267,[1]Orders!$A$5:$W$1043,9,0)</f>
        <v>High</v>
      </c>
    </row>
    <row r="268" spans="3:11" x14ac:dyDescent="0.25">
      <c r="C268" s="61" t="s">
        <v>360</v>
      </c>
      <c r="D268" t="str">
        <f>VLOOKUP(C268,[1]Orders!$A$5:$W$1043,3,0)</f>
        <v>Paul Prost</v>
      </c>
      <c r="E268">
        <f>VLOOKUP(C268,[1]Orders!$A$5:$W$1043,23,0)</f>
        <v>459.63</v>
      </c>
      <c r="F268" t="str">
        <f>VLOOKUP(C268,[1]Orders!$A$5:$W$1043,5,0)</f>
        <v>Melbourne</v>
      </c>
      <c r="G268" t="str">
        <f>VLOOKUP(C268,[1]Orders!$A$5:$W$1043,5,0)</f>
        <v>Melbourne</v>
      </c>
      <c r="H268" t="str">
        <f>VLOOKUP(C268,[1]Orders!$A$5:$W$1043,6,0)</f>
        <v>VIC</v>
      </c>
      <c r="I268" t="str">
        <f>VLOOKUP(C268,[1]Orders!$A$5:$W$1043,7,0)</f>
        <v>Corporate</v>
      </c>
      <c r="J268" t="str">
        <f>VLOOKUP(C268,[1]Orders!$A$5:$W$1043,8,0)</f>
        <v>Connor Betts</v>
      </c>
      <c r="K268" t="str">
        <f>VLOOKUP(C268,[1]Orders!$A$5:$W$1043,9,0)</f>
        <v>High</v>
      </c>
    </row>
    <row r="269" spans="3:11" x14ac:dyDescent="0.25">
      <c r="C269" s="61" t="s">
        <v>361</v>
      </c>
      <c r="D269" t="str">
        <f>VLOOKUP(C269,[1]Orders!$A$5:$W$1043,3,0)</f>
        <v>Sung Chung</v>
      </c>
      <c r="E269">
        <f>VLOOKUP(C269,[1]Orders!$A$5:$W$1043,23,0)</f>
        <v>127.22999999999999</v>
      </c>
      <c r="F269" t="str">
        <f>VLOOKUP(C269,[1]Orders!$A$5:$W$1043,5,0)</f>
        <v>Sydney</v>
      </c>
      <c r="G269" t="str">
        <f>VLOOKUP(C269,[1]Orders!$A$5:$W$1043,5,0)</f>
        <v>Sydney</v>
      </c>
      <c r="H269" t="str">
        <f>VLOOKUP(C269,[1]Orders!$A$5:$W$1043,6,0)</f>
        <v>NSW</v>
      </c>
      <c r="I269" t="str">
        <f>VLOOKUP(C269,[1]Orders!$A$5:$W$1043,7,0)</f>
        <v>Home Office</v>
      </c>
      <c r="J269" t="str">
        <f>VLOOKUP(C269,[1]Orders!$A$5:$W$1043,8,0)</f>
        <v>Samantha Chairs</v>
      </c>
      <c r="K269" t="str">
        <f>VLOOKUP(C269,[1]Orders!$A$5:$W$1043,9,0)</f>
        <v>Critical</v>
      </c>
    </row>
    <row r="270" spans="3:11" x14ac:dyDescent="0.25">
      <c r="C270" s="61" t="s">
        <v>362</v>
      </c>
      <c r="D270" t="str">
        <f>VLOOKUP(C270,[1]Orders!$A$5:$W$1043,3,0)</f>
        <v>Kristina Nunn</v>
      </c>
      <c r="E270">
        <f>VLOOKUP(C270,[1]Orders!$A$5:$W$1043,23,0)</f>
        <v>132.72</v>
      </c>
      <c r="F270" t="str">
        <f>VLOOKUP(C270,[1]Orders!$A$5:$W$1043,5,0)</f>
        <v>Sydney</v>
      </c>
      <c r="G270" t="str">
        <f>VLOOKUP(C270,[1]Orders!$A$5:$W$1043,5,0)</f>
        <v>Sydney</v>
      </c>
      <c r="H270" t="str">
        <f>VLOOKUP(C270,[1]Orders!$A$5:$W$1043,6,0)</f>
        <v>NSW</v>
      </c>
      <c r="I270" t="str">
        <f>VLOOKUP(C270,[1]Orders!$A$5:$W$1043,7,0)</f>
        <v>Consumer</v>
      </c>
      <c r="J270" t="str">
        <f>VLOOKUP(C270,[1]Orders!$A$5:$W$1043,8,0)</f>
        <v>Mihael Khan</v>
      </c>
      <c r="K270" t="str">
        <f>VLOOKUP(C270,[1]Orders!$A$5:$W$1043,9,0)</f>
        <v>Critical</v>
      </c>
    </row>
    <row r="271" spans="3:11" x14ac:dyDescent="0.25">
      <c r="C271" s="61" t="s">
        <v>363</v>
      </c>
      <c r="D271" t="str">
        <f>VLOOKUP(C271,[1]Orders!$A$5:$W$1043,3,0)</f>
        <v>Eugene Hildebrand</v>
      </c>
      <c r="E271">
        <f>VLOOKUP(C271,[1]Orders!$A$5:$W$1043,23,0)</f>
        <v>336.18</v>
      </c>
      <c r="F271" t="str">
        <f>VLOOKUP(C271,[1]Orders!$A$5:$W$1043,5,0)</f>
        <v>Melbourne</v>
      </c>
      <c r="G271" t="str">
        <f>VLOOKUP(C271,[1]Orders!$A$5:$W$1043,5,0)</f>
        <v>Melbourne</v>
      </c>
      <c r="H271" t="str">
        <f>VLOOKUP(C271,[1]Orders!$A$5:$W$1043,6,0)</f>
        <v>VIC</v>
      </c>
      <c r="I271" t="str">
        <f>VLOOKUP(C271,[1]Orders!$A$5:$W$1043,7,0)</f>
        <v>Home Office</v>
      </c>
      <c r="J271" t="str">
        <f>VLOOKUP(C271,[1]Orders!$A$5:$W$1043,8,0)</f>
        <v>Yvette Biti</v>
      </c>
      <c r="K271" t="str">
        <f>VLOOKUP(C271,[1]Orders!$A$5:$W$1043,9,0)</f>
        <v>Medium</v>
      </c>
    </row>
    <row r="272" spans="3:11" x14ac:dyDescent="0.25">
      <c r="C272" s="61" t="s">
        <v>364</v>
      </c>
      <c r="D272" t="str">
        <f>VLOOKUP(C272,[1]Orders!$A$5:$W$1043,3,0)</f>
        <v>Jeremy Lonsdale</v>
      </c>
      <c r="E272">
        <f>VLOOKUP(C272,[1]Orders!$A$5:$W$1043,23,0)</f>
        <v>522.29000000000008</v>
      </c>
      <c r="F272" t="str">
        <f>VLOOKUP(C272,[1]Orders!$A$5:$W$1043,5,0)</f>
        <v>Sydney</v>
      </c>
      <c r="G272" t="str">
        <f>VLOOKUP(C272,[1]Orders!$A$5:$W$1043,5,0)</f>
        <v>Sydney</v>
      </c>
      <c r="H272" t="str">
        <f>VLOOKUP(C272,[1]Orders!$A$5:$W$1043,6,0)</f>
        <v>NSW</v>
      </c>
      <c r="I272" t="str">
        <f>VLOOKUP(C272,[1]Orders!$A$5:$W$1043,7,0)</f>
        <v>Corporate</v>
      </c>
      <c r="J272" t="str">
        <f>VLOOKUP(C272,[1]Orders!$A$5:$W$1043,8,0)</f>
        <v>Charlie Bui</v>
      </c>
      <c r="K272" t="str">
        <f>VLOOKUP(C272,[1]Orders!$A$5:$W$1043,9,0)</f>
        <v>Critical</v>
      </c>
    </row>
    <row r="273" spans="3:11" x14ac:dyDescent="0.25">
      <c r="C273" s="61" t="s">
        <v>365</v>
      </c>
      <c r="D273" t="str">
        <f>VLOOKUP(C273,[1]Orders!$A$5:$W$1043,3,0)</f>
        <v>Victoria Pisteka</v>
      </c>
      <c r="E273">
        <f>VLOOKUP(C273,[1]Orders!$A$5:$W$1043,23,0)</f>
        <v>155.44</v>
      </c>
      <c r="F273" t="str">
        <f>VLOOKUP(C273,[1]Orders!$A$5:$W$1043,5,0)</f>
        <v>Sydney</v>
      </c>
      <c r="G273" t="str">
        <f>VLOOKUP(C273,[1]Orders!$A$5:$W$1043,5,0)</f>
        <v>Sydney</v>
      </c>
      <c r="H273" t="str">
        <f>VLOOKUP(C273,[1]Orders!$A$5:$W$1043,6,0)</f>
        <v>NSW</v>
      </c>
      <c r="I273" t="str">
        <f>VLOOKUP(C273,[1]Orders!$A$5:$W$1043,7,0)</f>
        <v>Corporate</v>
      </c>
      <c r="J273" t="str">
        <f>VLOOKUP(C273,[1]Orders!$A$5:$W$1043,8,0)</f>
        <v>Natasha Song</v>
      </c>
      <c r="K273" t="str">
        <f>VLOOKUP(C273,[1]Orders!$A$5:$W$1043,9,0)</f>
        <v>Not Specified</v>
      </c>
    </row>
    <row r="274" spans="3:11" x14ac:dyDescent="0.25">
      <c r="C274" s="61" t="s">
        <v>366</v>
      </c>
      <c r="D274" t="str">
        <f>VLOOKUP(C274,[1]Orders!$A$5:$W$1043,3,0)</f>
        <v>Liz Carlisle</v>
      </c>
      <c r="E274">
        <f>VLOOKUP(C274,[1]Orders!$A$5:$W$1043,23,0)</f>
        <v>270.66999999999996</v>
      </c>
      <c r="F274" t="str">
        <f>VLOOKUP(C274,[1]Orders!$A$5:$W$1043,5,0)</f>
        <v>Sydney</v>
      </c>
      <c r="G274" t="str">
        <f>VLOOKUP(C274,[1]Orders!$A$5:$W$1043,5,0)</f>
        <v>Sydney</v>
      </c>
      <c r="H274" t="str">
        <f>VLOOKUP(C274,[1]Orders!$A$5:$W$1043,6,0)</f>
        <v>NSW</v>
      </c>
      <c r="I274" t="str">
        <f>VLOOKUP(C274,[1]Orders!$A$5:$W$1043,7,0)</f>
        <v>Corporate</v>
      </c>
      <c r="J274" t="str">
        <f>VLOOKUP(C274,[1]Orders!$A$5:$W$1043,8,0)</f>
        <v>Phoebe Gour</v>
      </c>
      <c r="K274" t="str">
        <f>VLOOKUP(C274,[1]Orders!$A$5:$W$1043,9,0)</f>
        <v>Critical</v>
      </c>
    </row>
    <row r="275" spans="3:11" x14ac:dyDescent="0.25">
      <c r="C275" s="61" t="s">
        <v>367</v>
      </c>
      <c r="D275" t="str">
        <f>VLOOKUP(C275,[1]Orders!$A$5:$W$1043,3,0)</f>
        <v>Dennis Kane</v>
      </c>
      <c r="E275">
        <f>VLOOKUP(C275,[1]Orders!$A$5:$W$1043,23,0)</f>
        <v>207.6</v>
      </c>
      <c r="F275" t="str">
        <f>VLOOKUP(C275,[1]Orders!$A$5:$W$1043,5,0)</f>
        <v>Sydney</v>
      </c>
      <c r="G275" t="str">
        <f>VLOOKUP(C275,[1]Orders!$A$5:$W$1043,5,0)</f>
        <v>Sydney</v>
      </c>
      <c r="H275" t="str">
        <f>VLOOKUP(C275,[1]Orders!$A$5:$W$1043,6,0)</f>
        <v>NSW</v>
      </c>
      <c r="I275" t="str">
        <f>VLOOKUP(C275,[1]Orders!$A$5:$W$1043,7,0)</f>
        <v>Small Business</v>
      </c>
      <c r="J275" t="str">
        <f>VLOOKUP(C275,[1]Orders!$A$5:$W$1043,8,0)</f>
        <v>Natasha Song</v>
      </c>
      <c r="K275" t="str">
        <f>VLOOKUP(C275,[1]Orders!$A$5:$W$1043,9,0)</f>
        <v>Medium</v>
      </c>
    </row>
    <row r="276" spans="3:11" x14ac:dyDescent="0.25">
      <c r="C276" s="61" t="s">
        <v>368</v>
      </c>
      <c r="D276" t="str">
        <f>VLOOKUP(C276,[1]Orders!$A$5:$W$1043,3,0)</f>
        <v>Tom Prescott</v>
      </c>
      <c r="E276">
        <f>VLOOKUP(C276,[1]Orders!$A$5:$W$1043,23,0)</f>
        <v>43.419999999999995</v>
      </c>
      <c r="F276" t="str">
        <f>VLOOKUP(C276,[1]Orders!$A$5:$W$1043,5,0)</f>
        <v>Melbourne</v>
      </c>
      <c r="G276" t="str">
        <f>VLOOKUP(C276,[1]Orders!$A$5:$W$1043,5,0)</f>
        <v>Melbourne</v>
      </c>
      <c r="H276" t="str">
        <f>VLOOKUP(C276,[1]Orders!$A$5:$W$1043,6,0)</f>
        <v>VIC</v>
      </c>
      <c r="I276" t="str">
        <f>VLOOKUP(C276,[1]Orders!$A$5:$W$1043,7,0)</f>
        <v>Small Business</v>
      </c>
      <c r="J276" t="str">
        <f>VLOOKUP(C276,[1]Orders!$A$5:$W$1043,8,0)</f>
        <v>Connor Betts</v>
      </c>
      <c r="K276" t="str">
        <f>VLOOKUP(C276,[1]Orders!$A$5:$W$1043,9,0)</f>
        <v>Low</v>
      </c>
    </row>
    <row r="277" spans="3:11" x14ac:dyDescent="0.25">
      <c r="C277" s="61" t="s">
        <v>369</v>
      </c>
      <c r="D277" t="str">
        <f>VLOOKUP(C277,[1]Orders!$A$5:$W$1043,3,0)</f>
        <v>Jas OCarroll</v>
      </c>
      <c r="E277">
        <f>VLOOKUP(C277,[1]Orders!$A$5:$W$1043,23,0)</f>
        <v>100.97000000000001</v>
      </c>
      <c r="F277" t="str">
        <f>VLOOKUP(C277,[1]Orders!$A$5:$W$1043,5,0)</f>
        <v>Melbourne</v>
      </c>
      <c r="G277" t="str">
        <f>VLOOKUP(C277,[1]Orders!$A$5:$W$1043,5,0)</f>
        <v>Melbourne</v>
      </c>
      <c r="H277" t="str">
        <f>VLOOKUP(C277,[1]Orders!$A$5:$W$1043,6,0)</f>
        <v>VIC</v>
      </c>
      <c r="I277" t="str">
        <f>VLOOKUP(C277,[1]Orders!$A$5:$W$1043,7,0)</f>
        <v>Corporate</v>
      </c>
      <c r="J277" t="str">
        <f>VLOOKUP(C277,[1]Orders!$A$5:$W$1043,8,0)</f>
        <v>Yvette Biti</v>
      </c>
      <c r="K277" t="str">
        <f>VLOOKUP(C277,[1]Orders!$A$5:$W$1043,9,0)</f>
        <v>Medium</v>
      </c>
    </row>
    <row r="278" spans="3:11" x14ac:dyDescent="0.25">
      <c r="C278" s="61" t="s">
        <v>370</v>
      </c>
      <c r="D278" t="str">
        <f>VLOOKUP(C278,[1]Orders!$A$5:$W$1043,3,0)</f>
        <v>Liz Price</v>
      </c>
      <c r="E278">
        <f>VLOOKUP(C278,[1]Orders!$A$5:$W$1043,23,0)</f>
        <v>944.79000000000008</v>
      </c>
      <c r="F278" t="str">
        <f>VLOOKUP(C278,[1]Orders!$A$5:$W$1043,5,0)</f>
        <v>Sydney</v>
      </c>
      <c r="G278" t="str">
        <f>VLOOKUP(C278,[1]Orders!$A$5:$W$1043,5,0)</f>
        <v>Sydney</v>
      </c>
      <c r="H278" t="str">
        <f>VLOOKUP(C278,[1]Orders!$A$5:$W$1043,6,0)</f>
        <v>NSW</v>
      </c>
      <c r="I278" t="str">
        <f>VLOOKUP(C278,[1]Orders!$A$5:$W$1043,7,0)</f>
        <v>Consumer</v>
      </c>
      <c r="J278" t="str">
        <f>VLOOKUP(C278,[1]Orders!$A$5:$W$1043,8,0)</f>
        <v>Phoebe Gour</v>
      </c>
      <c r="K278" t="str">
        <f>VLOOKUP(C278,[1]Orders!$A$5:$W$1043,9,0)</f>
        <v>Not Specified</v>
      </c>
    </row>
    <row r="279" spans="3:11" x14ac:dyDescent="0.25">
      <c r="C279" s="61" t="s">
        <v>371</v>
      </c>
      <c r="D279" t="str">
        <f>VLOOKUP(C279,[1]Orders!$A$5:$W$1043,3,0)</f>
        <v>Pamela Stobb</v>
      </c>
      <c r="E279">
        <f>VLOOKUP(C279,[1]Orders!$A$5:$W$1043,23,0)</f>
        <v>332.72</v>
      </c>
      <c r="F279" t="str">
        <f>VLOOKUP(C279,[1]Orders!$A$5:$W$1043,5,0)</f>
        <v>Sydney</v>
      </c>
      <c r="G279" t="str">
        <f>VLOOKUP(C279,[1]Orders!$A$5:$W$1043,5,0)</f>
        <v>Sydney</v>
      </c>
      <c r="H279" t="str">
        <f>VLOOKUP(C279,[1]Orders!$A$5:$W$1043,6,0)</f>
        <v>NSW</v>
      </c>
      <c r="I279" t="str">
        <f>VLOOKUP(C279,[1]Orders!$A$5:$W$1043,7,0)</f>
        <v>Consumer</v>
      </c>
      <c r="J279" t="str">
        <f>VLOOKUP(C279,[1]Orders!$A$5:$W$1043,8,0)</f>
        <v>Leighton Forrest</v>
      </c>
      <c r="K279" t="str">
        <f>VLOOKUP(C279,[1]Orders!$A$5:$W$1043,9,0)</f>
        <v>Not Specified</v>
      </c>
    </row>
    <row r="280" spans="3:11" x14ac:dyDescent="0.25">
      <c r="C280" s="61" t="s">
        <v>372</v>
      </c>
      <c r="D280" t="str">
        <f>VLOOKUP(C280,[1]Orders!$A$5:$W$1043,3,0)</f>
        <v>Peter Fuller</v>
      </c>
      <c r="E280">
        <f>VLOOKUP(C280,[1]Orders!$A$5:$W$1043,23,0)</f>
        <v>68.360000000000014</v>
      </c>
      <c r="F280" t="str">
        <f>VLOOKUP(C280,[1]Orders!$A$5:$W$1043,5,0)</f>
        <v>Sydney</v>
      </c>
      <c r="G280" t="str">
        <f>VLOOKUP(C280,[1]Orders!$A$5:$W$1043,5,0)</f>
        <v>Sydney</v>
      </c>
      <c r="H280" t="str">
        <f>VLOOKUP(C280,[1]Orders!$A$5:$W$1043,6,0)</f>
        <v>NSW</v>
      </c>
      <c r="I280" t="str">
        <f>VLOOKUP(C280,[1]Orders!$A$5:$W$1043,7,0)</f>
        <v>Corporate</v>
      </c>
      <c r="J280" t="str">
        <f>VLOOKUP(C280,[1]Orders!$A$5:$W$1043,8,0)</f>
        <v>Preston Senome</v>
      </c>
      <c r="K280" t="str">
        <f>VLOOKUP(C280,[1]Orders!$A$5:$W$1043,9,0)</f>
        <v>Critical</v>
      </c>
    </row>
    <row r="281" spans="3:11" x14ac:dyDescent="0.25">
      <c r="C281" s="61" t="s">
        <v>373</v>
      </c>
      <c r="D281" t="str">
        <f>VLOOKUP(C281,[1]Orders!$A$5:$W$1043,3,0)</f>
        <v>Erin Ashbrook</v>
      </c>
      <c r="E281">
        <f>VLOOKUP(C281,[1]Orders!$A$5:$W$1043,23,0)</f>
        <v>311.44</v>
      </c>
      <c r="F281" t="str">
        <f>VLOOKUP(C281,[1]Orders!$A$5:$W$1043,5,0)</f>
        <v>Sydney</v>
      </c>
      <c r="G281" t="str">
        <f>VLOOKUP(C281,[1]Orders!$A$5:$W$1043,5,0)</f>
        <v>Sydney</v>
      </c>
      <c r="H281" t="str">
        <f>VLOOKUP(C281,[1]Orders!$A$5:$W$1043,6,0)</f>
        <v>NSW</v>
      </c>
      <c r="I281" t="str">
        <f>VLOOKUP(C281,[1]Orders!$A$5:$W$1043,7,0)</f>
        <v>Consumer</v>
      </c>
      <c r="J281" t="str">
        <f>VLOOKUP(C281,[1]Orders!$A$5:$W$1043,8,0)</f>
        <v>Leighton Forrest</v>
      </c>
      <c r="K281" t="str">
        <f>VLOOKUP(C281,[1]Orders!$A$5:$W$1043,9,0)</f>
        <v>Critical</v>
      </c>
    </row>
    <row r="282" spans="3:11" x14ac:dyDescent="0.25">
      <c r="C282" s="61" t="s">
        <v>374</v>
      </c>
      <c r="D282" t="str">
        <f>VLOOKUP(C282,[1]Orders!$A$5:$W$1043,3,0)</f>
        <v>Allen Armold</v>
      </c>
      <c r="E282">
        <f>VLOOKUP(C282,[1]Orders!$A$5:$W$1043,23,0)</f>
        <v>211.76</v>
      </c>
      <c r="F282" t="str">
        <f>VLOOKUP(C282,[1]Orders!$A$5:$W$1043,5,0)</f>
        <v>Melbourne</v>
      </c>
      <c r="G282" t="str">
        <f>VLOOKUP(C282,[1]Orders!$A$5:$W$1043,5,0)</f>
        <v>Melbourne</v>
      </c>
      <c r="H282" t="str">
        <f>VLOOKUP(C282,[1]Orders!$A$5:$W$1043,6,0)</f>
        <v>VIC</v>
      </c>
      <c r="I282" t="str">
        <f>VLOOKUP(C282,[1]Orders!$A$5:$W$1043,7,0)</f>
        <v>Home Office</v>
      </c>
      <c r="J282" t="str">
        <f>VLOOKUP(C282,[1]Orders!$A$5:$W$1043,8,0)</f>
        <v>Connor Betts</v>
      </c>
      <c r="K282" t="str">
        <f>VLOOKUP(C282,[1]Orders!$A$5:$W$1043,9,0)</f>
        <v>Critical</v>
      </c>
    </row>
    <row r="283" spans="3:11" x14ac:dyDescent="0.25">
      <c r="C283" s="61" t="s">
        <v>375</v>
      </c>
      <c r="D283" t="str">
        <f>VLOOKUP(C283,[1]Orders!$A$5:$W$1043,3,0)</f>
        <v>Eugene Barchas</v>
      </c>
      <c r="E283">
        <f>VLOOKUP(C283,[1]Orders!$A$5:$W$1043,23,0)</f>
        <v>189.84</v>
      </c>
      <c r="F283" t="str">
        <f>VLOOKUP(C283,[1]Orders!$A$5:$W$1043,5,0)</f>
        <v>Melbourne</v>
      </c>
      <c r="G283" t="str">
        <f>VLOOKUP(C283,[1]Orders!$A$5:$W$1043,5,0)</f>
        <v>Melbourne</v>
      </c>
      <c r="H283" t="str">
        <f>VLOOKUP(C283,[1]Orders!$A$5:$W$1043,6,0)</f>
        <v>VIC</v>
      </c>
      <c r="I283" t="str">
        <f>VLOOKUP(C283,[1]Orders!$A$5:$W$1043,7,0)</f>
        <v>Corporate</v>
      </c>
      <c r="J283" t="str">
        <f>VLOOKUP(C283,[1]Orders!$A$5:$W$1043,8,0)</f>
        <v>Connor Betts</v>
      </c>
      <c r="K283" t="str">
        <f>VLOOKUP(C283,[1]Orders!$A$5:$W$1043,9,0)</f>
        <v>High</v>
      </c>
    </row>
    <row r="284" spans="3:11" x14ac:dyDescent="0.25">
      <c r="C284" s="61" t="s">
        <v>376</v>
      </c>
      <c r="D284" t="str">
        <f>VLOOKUP(C284,[1]Orders!$A$5:$W$1043,3,0)</f>
        <v>Phillip Flathmann</v>
      </c>
      <c r="E284">
        <f>VLOOKUP(C284,[1]Orders!$A$5:$W$1043,23,0)</f>
        <v>68.83</v>
      </c>
      <c r="F284" t="str">
        <f>VLOOKUP(C284,[1]Orders!$A$5:$W$1043,5,0)</f>
        <v>Sydney</v>
      </c>
      <c r="G284" t="str">
        <f>VLOOKUP(C284,[1]Orders!$A$5:$W$1043,5,0)</f>
        <v>Sydney</v>
      </c>
      <c r="H284" t="str">
        <f>VLOOKUP(C284,[1]Orders!$A$5:$W$1043,6,0)</f>
        <v>NSW</v>
      </c>
      <c r="I284" t="str">
        <f>VLOOKUP(C284,[1]Orders!$A$5:$W$1043,7,0)</f>
        <v>Small Business</v>
      </c>
      <c r="J284" t="str">
        <f>VLOOKUP(C284,[1]Orders!$A$5:$W$1043,8,0)</f>
        <v>Nicholas Fernandes</v>
      </c>
      <c r="K284" t="str">
        <f>VLOOKUP(C284,[1]Orders!$A$5:$W$1043,9,0)</f>
        <v>Low</v>
      </c>
    </row>
    <row r="285" spans="3:11" x14ac:dyDescent="0.25">
      <c r="C285" s="61" t="s">
        <v>377</v>
      </c>
      <c r="D285" t="str">
        <f>VLOOKUP(C285,[1]Orders!$A$5:$W$1043,3,0)</f>
        <v>Thomas Boland</v>
      </c>
      <c r="E285">
        <f>VLOOKUP(C285,[1]Orders!$A$5:$W$1043,23,0)</f>
        <v>689.42999999999984</v>
      </c>
      <c r="F285" t="str">
        <f>VLOOKUP(C285,[1]Orders!$A$5:$W$1043,5,0)</f>
        <v>Sydney</v>
      </c>
      <c r="G285" t="str">
        <f>VLOOKUP(C285,[1]Orders!$A$5:$W$1043,5,0)</f>
        <v>Sydney</v>
      </c>
      <c r="H285" t="str">
        <f>VLOOKUP(C285,[1]Orders!$A$5:$W$1043,6,0)</f>
        <v>NSW</v>
      </c>
      <c r="I285" t="str">
        <f>VLOOKUP(C285,[1]Orders!$A$5:$W$1043,7,0)</f>
        <v>Corporate</v>
      </c>
      <c r="J285" t="str">
        <f>VLOOKUP(C285,[1]Orders!$A$5:$W$1043,8,0)</f>
        <v>Mihael Khan</v>
      </c>
      <c r="K285" t="str">
        <f>VLOOKUP(C285,[1]Orders!$A$5:$W$1043,9,0)</f>
        <v>High</v>
      </c>
    </row>
    <row r="286" spans="3:11" x14ac:dyDescent="0.25">
      <c r="C286" s="61" t="s">
        <v>378</v>
      </c>
      <c r="D286" t="str">
        <f>VLOOKUP(C286,[1]Orders!$A$5:$W$1043,3,0)</f>
        <v>Chuck Magee</v>
      </c>
      <c r="E286">
        <f>VLOOKUP(C286,[1]Orders!$A$5:$W$1043,23,0)</f>
        <v>32.979999999999997</v>
      </c>
      <c r="F286" t="str">
        <f>VLOOKUP(C286,[1]Orders!$A$5:$W$1043,5,0)</f>
        <v>Sydney</v>
      </c>
      <c r="G286" t="str">
        <f>VLOOKUP(C286,[1]Orders!$A$5:$W$1043,5,0)</f>
        <v>Sydney</v>
      </c>
      <c r="H286" t="str">
        <f>VLOOKUP(C286,[1]Orders!$A$5:$W$1043,6,0)</f>
        <v>NSW</v>
      </c>
      <c r="I286" t="str">
        <f>VLOOKUP(C286,[1]Orders!$A$5:$W$1043,7,0)</f>
        <v>Corporate</v>
      </c>
      <c r="J286" t="str">
        <f>VLOOKUP(C286,[1]Orders!$A$5:$W$1043,8,0)</f>
        <v>Aanya Zhang</v>
      </c>
      <c r="K286" t="str">
        <f>VLOOKUP(C286,[1]Orders!$A$5:$W$1043,9,0)</f>
        <v>Medium</v>
      </c>
    </row>
    <row r="287" spans="3:11" x14ac:dyDescent="0.25">
      <c r="C287" s="61" t="s">
        <v>379</v>
      </c>
      <c r="D287" t="str">
        <f>VLOOKUP(C287,[1]Orders!$A$5:$W$1043,3,0)</f>
        <v>Cindy Stewart</v>
      </c>
      <c r="E287">
        <f>VLOOKUP(C287,[1]Orders!$A$5:$W$1043,23,0)</f>
        <v>493.9</v>
      </c>
      <c r="F287" t="str">
        <f>VLOOKUP(C287,[1]Orders!$A$5:$W$1043,5,0)</f>
        <v>Sydney</v>
      </c>
      <c r="G287" t="str">
        <f>VLOOKUP(C287,[1]Orders!$A$5:$W$1043,5,0)</f>
        <v>Sydney</v>
      </c>
      <c r="H287" t="str">
        <f>VLOOKUP(C287,[1]Orders!$A$5:$W$1043,6,0)</f>
        <v>NSW</v>
      </c>
      <c r="I287" t="str">
        <f>VLOOKUP(C287,[1]Orders!$A$5:$W$1043,7,0)</f>
        <v>Consumer</v>
      </c>
      <c r="J287" t="str">
        <f>VLOOKUP(C287,[1]Orders!$A$5:$W$1043,8,0)</f>
        <v>Leighton Forrest</v>
      </c>
      <c r="K287" t="str">
        <f>VLOOKUP(C287,[1]Orders!$A$5:$W$1043,9,0)</f>
        <v>Low</v>
      </c>
    </row>
    <row r="288" spans="3:11" x14ac:dyDescent="0.25">
      <c r="C288" s="61" t="s">
        <v>380</v>
      </c>
      <c r="D288" t="str">
        <f>VLOOKUP(C288,[1]Orders!$A$5:$W$1043,3,0)</f>
        <v>Toby Knight</v>
      </c>
      <c r="E288">
        <f>VLOOKUP(C288,[1]Orders!$A$5:$W$1043,23,0)</f>
        <v>101.66999999999999</v>
      </c>
      <c r="F288" t="str">
        <f>VLOOKUP(C288,[1]Orders!$A$5:$W$1043,5,0)</f>
        <v>Melbourne</v>
      </c>
      <c r="G288" t="str">
        <f>VLOOKUP(C288,[1]Orders!$A$5:$W$1043,5,0)</f>
        <v>Melbourne</v>
      </c>
      <c r="H288" t="str">
        <f>VLOOKUP(C288,[1]Orders!$A$5:$W$1043,6,0)</f>
        <v>VIC</v>
      </c>
      <c r="I288" t="str">
        <f>VLOOKUP(C288,[1]Orders!$A$5:$W$1043,7,0)</f>
        <v>Corporate</v>
      </c>
      <c r="J288" t="str">
        <f>VLOOKUP(C288,[1]Orders!$A$5:$W$1043,8,0)</f>
        <v>Connor Betts</v>
      </c>
      <c r="K288" t="str">
        <f>VLOOKUP(C288,[1]Orders!$A$5:$W$1043,9,0)</f>
        <v>Not Specified</v>
      </c>
    </row>
    <row r="289" spans="3:11" x14ac:dyDescent="0.25">
      <c r="C289" s="61" t="s">
        <v>381</v>
      </c>
      <c r="D289" t="str">
        <f>VLOOKUP(C289,[1]Orders!$A$5:$W$1043,3,0)</f>
        <v>Justin Hirsh</v>
      </c>
      <c r="E289">
        <f>VLOOKUP(C289,[1]Orders!$A$5:$W$1043,23,0)</f>
        <v>358.04999999999995</v>
      </c>
      <c r="F289" t="str">
        <f>VLOOKUP(C289,[1]Orders!$A$5:$W$1043,5,0)</f>
        <v>Sydney</v>
      </c>
      <c r="G289" t="str">
        <f>VLOOKUP(C289,[1]Orders!$A$5:$W$1043,5,0)</f>
        <v>Sydney</v>
      </c>
      <c r="H289" t="str">
        <f>VLOOKUP(C289,[1]Orders!$A$5:$W$1043,6,0)</f>
        <v>NSW</v>
      </c>
      <c r="I289" t="str">
        <f>VLOOKUP(C289,[1]Orders!$A$5:$W$1043,7,0)</f>
        <v>Consumer</v>
      </c>
      <c r="J289" t="str">
        <f>VLOOKUP(C289,[1]Orders!$A$5:$W$1043,8,0)</f>
        <v>Phoebe Gour</v>
      </c>
      <c r="K289" t="str">
        <f>VLOOKUP(C289,[1]Orders!$A$5:$W$1043,9,0)</f>
        <v>Not Specified</v>
      </c>
    </row>
    <row r="290" spans="3:11" x14ac:dyDescent="0.25">
      <c r="C290" s="61" t="s">
        <v>382</v>
      </c>
      <c r="D290" t="str">
        <f>VLOOKUP(C290,[1]Orders!$A$5:$W$1043,3,0)</f>
        <v>Sarah Foster</v>
      </c>
      <c r="E290">
        <f>VLOOKUP(C290,[1]Orders!$A$5:$W$1043,23,0)</f>
        <v>159.91</v>
      </c>
      <c r="F290" t="str">
        <f>VLOOKUP(C290,[1]Orders!$A$5:$W$1043,5,0)</f>
        <v>Sydney</v>
      </c>
      <c r="G290" t="str">
        <f>VLOOKUP(C290,[1]Orders!$A$5:$W$1043,5,0)</f>
        <v>Sydney</v>
      </c>
      <c r="H290" t="str">
        <f>VLOOKUP(C290,[1]Orders!$A$5:$W$1043,6,0)</f>
        <v>NSW</v>
      </c>
      <c r="I290" t="str">
        <f>VLOOKUP(C290,[1]Orders!$A$5:$W$1043,7,0)</f>
        <v>Corporate</v>
      </c>
      <c r="J290" t="str">
        <f>VLOOKUP(C290,[1]Orders!$A$5:$W$1043,8,0)</f>
        <v>Phoebe Gour</v>
      </c>
      <c r="K290" t="str">
        <f>VLOOKUP(C290,[1]Orders!$A$5:$W$1043,9,0)</f>
        <v>Medium</v>
      </c>
    </row>
    <row r="291" spans="3:11" x14ac:dyDescent="0.25">
      <c r="C291" s="61" t="s">
        <v>383</v>
      </c>
      <c r="D291" t="str">
        <f>VLOOKUP(C291,[1]Orders!$A$5:$W$1043,3,0)</f>
        <v>Tanja Norvell</v>
      </c>
      <c r="E291">
        <f>VLOOKUP(C291,[1]Orders!$A$5:$W$1043,23,0)</f>
        <v>8004.95</v>
      </c>
      <c r="F291" t="str">
        <f>VLOOKUP(C291,[1]Orders!$A$5:$W$1043,5,0)</f>
        <v>Melbourne</v>
      </c>
      <c r="G291" t="str">
        <f>VLOOKUP(C291,[1]Orders!$A$5:$W$1043,5,0)</f>
        <v>Melbourne</v>
      </c>
      <c r="H291" t="str">
        <f>VLOOKUP(C291,[1]Orders!$A$5:$W$1043,6,0)</f>
        <v>VIC</v>
      </c>
      <c r="I291" t="str">
        <f>VLOOKUP(C291,[1]Orders!$A$5:$W$1043,7,0)</f>
        <v>Consumer</v>
      </c>
      <c r="J291" t="str">
        <f>VLOOKUP(C291,[1]Orders!$A$5:$W$1043,8,0)</f>
        <v>Yvette Biti</v>
      </c>
      <c r="K291" t="str">
        <f>VLOOKUP(C291,[1]Orders!$A$5:$W$1043,9,0)</f>
        <v>Critical</v>
      </c>
    </row>
    <row r="292" spans="3:11" x14ac:dyDescent="0.25">
      <c r="C292" s="61" t="s">
        <v>384</v>
      </c>
      <c r="D292" t="str">
        <f>VLOOKUP(C292,[1]Orders!$A$5:$W$1043,3,0)</f>
        <v>Maya Herman</v>
      </c>
      <c r="E292">
        <f>VLOOKUP(C292,[1]Orders!$A$5:$W$1043,23,0)</f>
        <v>973.82999999999993</v>
      </c>
      <c r="F292" t="str">
        <f>VLOOKUP(C292,[1]Orders!$A$5:$W$1043,5,0)</f>
        <v>Sydney</v>
      </c>
      <c r="G292" t="str">
        <f>VLOOKUP(C292,[1]Orders!$A$5:$W$1043,5,0)</f>
        <v>Sydney</v>
      </c>
      <c r="H292" t="str">
        <f>VLOOKUP(C292,[1]Orders!$A$5:$W$1043,6,0)</f>
        <v>NSW</v>
      </c>
      <c r="I292" t="str">
        <f>VLOOKUP(C292,[1]Orders!$A$5:$W$1043,7,0)</f>
        <v>Corporate</v>
      </c>
      <c r="J292" t="str">
        <f>VLOOKUP(C292,[1]Orders!$A$5:$W$1043,8,0)</f>
        <v>Leighton Forrest</v>
      </c>
      <c r="K292" t="str">
        <f>VLOOKUP(C292,[1]Orders!$A$5:$W$1043,9,0)</f>
        <v>High</v>
      </c>
    </row>
    <row r="293" spans="3:11" x14ac:dyDescent="0.25">
      <c r="C293" s="61" t="s">
        <v>385</v>
      </c>
      <c r="D293" t="str">
        <f>VLOOKUP(C293,[1]Orders!$A$5:$W$1043,3,0)</f>
        <v>Trudy Brown</v>
      </c>
      <c r="E293">
        <f>VLOOKUP(C293,[1]Orders!$A$5:$W$1043,23,0)</f>
        <v>2016.43</v>
      </c>
      <c r="F293" t="str">
        <f>VLOOKUP(C293,[1]Orders!$A$5:$W$1043,5,0)</f>
        <v>Melbourne</v>
      </c>
      <c r="G293" t="str">
        <f>VLOOKUP(C293,[1]Orders!$A$5:$W$1043,5,0)</f>
        <v>Melbourne</v>
      </c>
      <c r="H293" t="str">
        <f>VLOOKUP(C293,[1]Orders!$A$5:$W$1043,6,0)</f>
        <v>VIC</v>
      </c>
      <c r="I293" t="str">
        <f>VLOOKUP(C293,[1]Orders!$A$5:$W$1043,7,0)</f>
        <v>Small Business</v>
      </c>
      <c r="J293" t="str">
        <f>VLOOKUP(C293,[1]Orders!$A$5:$W$1043,8,0)</f>
        <v>Connor Betts</v>
      </c>
      <c r="K293" t="str">
        <f>VLOOKUP(C293,[1]Orders!$A$5:$W$1043,9,0)</f>
        <v>Not Specified</v>
      </c>
    </row>
    <row r="294" spans="3:11" x14ac:dyDescent="0.25">
      <c r="C294" s="61" t="s">
        <v>386</v>
      </c>
      <c r="D294" t="str">
        <f>VLOOKUP(C294,[1]Orders!$A$5:$W$1043,3,0)</f>
        <v>Gary Hwang</v>
      </c>
      <c r="E294">
        <f>VLOOKUP(C294,[1]Orders!$A$5:$W$1043,23,0)</f>
        <v>123.84</v>
      </c>
      <c r="F294" t="str">
        <f>VLOOKUP(C294,[1]Orders!$A$5:$W$1043,5,0)</f>
        <v>Sydney</v>
      </c>
      <c r="G294" t="str">
        <f>VLOOKUP(C294,[1]Orders!$A$5:$W$1043,5,0)</f>
        <v>Sydney</v>
      </c>
      <c r="H294" t="str">
        <f>VLOOKUP(C294,[1]Orders!$A$5:$W$1043,6,0)</f>
        <v>NSW</v>
      </c>
      <c r="I294" t="str">
        <f>VLOOKUP(C294,[1]Orders!$A$5:$W$1043,7,0)</f>
        <v>Home Office</v>
      </c>
      <c r="J294" t="str">
        <f>VLOOKUP(C294,[1]Orders!$A$5:$W$1043,8,0)</f>
        <v>Charlie Bui</v>
      </c>
      <c r="K294" t="str">
        <f>VLOOKUP(C294,[1]Orders!$A$5:$W$1043,9,0)</f>
        <v>Low</v>
      </c>
    </row>
    <row r="295" spans="3:11" x14ac:dyDescent="0.25">
      <c r="C295" s="61" t="s">
        <v>387</v>
      </c>
      <c r="D295" t="str">
        <f>VLOOKUP(C295,[1]Orders!$A$5:$W$1043,3,0)</f>
        <v>Larry Tron</v>
      </c>
      <c r="E295">
        <f>VLOOKUP(C295,[1]Orders!$A$5:$W$1043,23,0)</f>
        <v>41.19</v>
      </c>
      <c r="F295" t="str">
        <f>VLOOKUP(C295,[1]Orders!$A$5:$W$1043,5,0)</f>
        <v>Sydney</v>
      </c>
      <c r="G295" t="str">
        <f>VLOOKUP(C295,[1]Orders!$A$5:$W$1043,5,0)</f>
        <v>Sydney</v>
      </c>
      <c r="H295" t="str">
        <f>VLOOKUP(C295,[1]Orders!$A$5:$W$1043,6,0)</f>
        <v>NSW</v>
      </c>
      <c r="I295" t="str">
        <f>VLOOKUP(C295,[1]Orders!$A$5:$W$1043,7,0)</f>
        <v>Home Office</v>
      </c>
      <c r="J295" t="str">
        <f>VLOOKUP(C295,[1]Orders!$A$5:$W$1043,8,0)</f>
        <v>Tina Carlton</v>
      </c>
      <c r="K295" t="str">
        <f>VLOOKUP(C295,[1]Orders!$A$5:$W$1043,9,0)</f>
        <v>Medium</v>
      </c>
    </row>
    <row r="296" spans="3:11" x14ac:dyDescent="0.25">
      <c r="C296" s="61" t="s">
        <v>388</v>
      </c>
      <c r="D296" t="str">
        <f>VLOOKUP(C296,[1]Orders!$A$5:$W$1043,3,0)</f>
        <v>Dan Campbell</v>
      </c>
      <c r="E296">
        <f>VLOOKUP(C296,[1]Orders!$A$5:$W$1043,23,0)</f>
        <v>11.979999999999999</v>
      </c>
      <c r="F296" t="str">
        <f>VLOOKUP(C296,[1]Orders!$A$5:$W$1043,5,0)</f>
        <v>Sydney</v>
      </c>
      <c r="G296" t="str">
        <f>VLOOKUP(C296,[1]Orders!$A$5:$W$1043,5,0)</f>
        <v>Sydney</v>
      </c>
      <c r="H296" t="str">
        <f>VLOOKUP(C296,[1]Orders!$A$5:$W$1043,6,0)</f>
        <v>NSW</v>
      </c>
      <c r="I296" t="str">
        <f>VLOOKUP(C296,[1]Orders!$A$5:$W$1043,7,0)</f>
        <v>Corporate</v>
      </c>
      <c r="J296" t="str">
        <f>VLOOKUP(C296,[1]Orders!$A$5:$W$1043,8,0)</f>
        <v>Leighton Forrest</v>
      </c>
      <c r="K296" t="str">
        <f>VLOOKUP(C296,[1]Orders!$A$5:$W$1043,9,0)</f>
        <v>Critical</v>
      </c>
    </row>
    <row r="297" spans="3:11" x14ac:dyDescent="0.25">
      <c r="C297" s="61" t="s">
        <v>389</v>
      </c>
      <c r="D297" t="str">
        <f>VLOOKUP(C297,[1]Orders!$A$5:$W$1043,3,0)</f>
        <v>Eric Barreto</v>
      </c>
      <c r="E297">
        <f>VLOOKUP(C297,[1]Orders!$A$5:$W$1043,23,0)</f>
        <v>150.96</v>
      </c>
      <c r="F297" t="str">
        <f>VLOOKUP(C297,[1]Orders!$A$5:$W$1043,5,0)</f>
        <v>Sydney</v>
      </c>
      <c r="G297" t="str">
        <f>VLOOKUP(C297,[1]Orders!$A$5:$W$1043,5,0)</f>
        <v>Sydney</v>
      </c>
      <c r="H297" t="str">
        <f>VLOOKUP(C297,[1]Orders!$A$5:$W$1043,6,0)</f>
        <v>NSW</v>
      </c>
      <c r="I297" t="str">
        <f>VLOOKUP(C297,[1]Orders!$A$5:$W$1043,7,0)</f>
        <v>Small Business</v>
      </c>
      <c r="J297" t="str">
        <f>VLOOKUP(C297,[1]Orders!$A$5:$W$1043,8,0)</f>
        <v>Phoebe Gour</v>
      </c>
      <c r="K297" t="str">
        <f>VLOOKUP(C297,[1]Orders!$A$5:$W$1043,9,0)</f>
        <v>Not Specified</v>
      </c>
    </row>
    <row r="298" spans="3:11" x14ac:dyDescent="0.25">
      <c r="C298" s="61" t="s">
        <v>390</v>
      </c>
      <c r="D298" t="str">
        <f>VLOOKUP(C298,[1]Orders!$A$5:$W$1043,3,0)</f>
        <v>Bill Stewart</v>
      </c>
      <c r="E298">
        <f>VLOOKUP(C298,[1]Orders!$A$5:$W$1043,23,0)</f>
        <v>472.92</v>
      </c>
      <c r="F298" t="str">
        <f>VLOOKUP(C298,[1]Orders!$A$5:$W$1043,5,0)</f>
        <v>Sydney</v>
      </c>
      <c r="G298" t="str">
        <f>VLOOKUP(C298,[1]Orders!$A$5:$W$1043,5,0)</f>
        <v>Sydney</v>
      </c>
      <c r="H298" t="str">
        <f>VLOOKUP(C298,[1]Orders!$A$5:$W$1043,6,0)</f>
        <v>NSW</v>
      </c>
      <c r="I298" t="str">
        <f>VLOOKUP(C298,[1]Orders!$A$5:$W$1043,7,0)</f>
        <v>Corporate</v>
      </c>
      <c r="J298" t="str">
        <f>VLOOKUP(C298,[1]Orders!$A$5:$W$1043,8,0)</f>
        <v>Tina Carlton</v>
      </c>
      <c r="K298" t="str">
        <f>VLOOKUP(C298,[1]Orders!$A$5:$W$1043,9,0)</f>
        <v>Low</v>
      </c>
    </row>
    <row r="299" spans="3:11" x14ac:dyDescent="0.25">
      <c r="C299" s="61" t="s">
        <v>391</v>
      </c>
      <c r="D299" t="str">
        <f>VLOOKUP(C299,[1]Orders!$A$5:$W$1043,3,0)</f>
        <v>Joseph Airdo</v>
      </c>
      <c r="E299">
        <f>VLOOKUP(C299,[1]Orders!$A$5:$W$1043,23,0)</f>
        <v>56.899999999999991</v>
      </c>
      <c r="F299" t="str">
        <f>VLOOKUP(C299,[1]Orders!$A$5:$W$1043,5,0)</f>
        <v>Sydney</v>
      </c>
      <c r="G299" t="str">
        <f>VLOOKUP(C299,[1]Orders!$A$5:$W$1043,5,0)</f>
        <v>Sydney</v>
      </c>
      <c r="H299" t="str">
        <f>VLOOKUP(C299,[1]Orders!$A$5:$W$1043,6,0)</f>
        <v>NSW</v>
      </c>
      <c r="I299" t="str">
        <f>VLOOKUP(C299,[1]Orders!$A$5:$W$1043,7,0)</f>
        <v>Consumer</v>
      </c>
      <c r="J299" t="str">
        <f>VLOOKUP(C299,[1]Orders!$A$5:$W$1043,8,0)</f>
        <v>Natasha Song</v>
      </c>
      <c r="K299" t="str">
        <f>VLOOKUP(C299,[1]Orders!$A$5:$W$1043,9,0)</f>
        <v>Not Specified</v>
      </c>
    </row>
    <row r="300" spans="3:11" x14ac:dyDescent="0.25">
      <c r="C300" s="61" t="s">
        <v>392</v>
      </c>
      <c r="D300" t="str">
        <f>VLOOKUP(C300,[1]Orders!$A$5:$W$1043,3,0)</f>
        <v>Ben Peterman</v>
      </c>
      <c r="E300">
        <f>VLOOKUP(C300,[1]Orders!$A$5:$W$1043,23,0)</f>
        <v>21.409999999999997</v>
      </c>
      <c r="F300" t="str">
        <f>VLOOKUP(C300,[1]Orders!$A$5:$W$1043,5,0)</f>
        <v>Sydney</v>
      </c>
      <c r="G300" t="str">
        <f>VLOOKUP(C300,[1]Orders!$A$5:$W$1043,5,0)</f>
        <v>Sydney</v>
      </c>
      <c r="H300" t="str">
        <f>VLOOKUP(C300,[1]Orders!$A$5:$W$1043,6,0)</f>
        <v>NSW</v>
      </c>
      <c r="I300" t="str">
        <f>VLOOKUP(C300,[1]Orders!$A$5:$W$1043,7,0)</f>
        <v>Corporate</v>
      </c>
      <c r="J300" t="str">
        <f>VLOOKUP(C300,[1]Orders!$A$5:$W$1043,8,0)</f>
        <v>Leighton Forrest</v>
      </c>
      <c r="K300" t="str">
        <f>VLOOKUP(C300,[1]Orders!$A$5:$W$1043,9,0)</f>
        <v>Critical</v>
      </c>
    </row>
    <row r="301" spans="3:11" x14ac:dyDescent="0.25">
      <c r="C301" s="61" t="s">
        <v>393</v>
      </c>
      <c r="D301" t="str">
        <f>VLOOKUP(C301,[1]Orders!$A$5:$W$1043,3,0)</f>
        <v>Henry Goldwyn</v>
      </c>
      <c r="E301">
        <f>VLOOKUP(C301,[1]Orders!$A$5:$W$1043,23,0)</f>
        <v>166.47</v>
      </c>
      <c r="F301" t="str">
        <f>VLOOKUP(C301,[1]Orders!$A$5:$W$1043,5,0)</f>
        <v>Melbourne</v>
      </c>
      <c r="G301" t="str">
        <f>VLOOKUP(C301,[1]Orders!$A$5:$W$1043,5,0)</f>
        <v>Melbourne</v>
      </c>
      <c r="H301" t="str">
        <f>VLOOKUP(C301,[1]Orders!$A$5:$W$1043,6,0)</f>
        <v>VIC</v>
      </c>
      <c r="I301" t="str">
        <f>VLOOKUP(C301,[1]Orders!$A$5:$W$1043,7,0)</f>
        <v>Small Business</v>
      </c>
      <c r="J301" t="str">
        <f>VLOOKUP(C301,[1]Orders!$A$5:$W$1043,8,0)</f>
        <v>Yvette Biti</v>
      </c>
      <c r="K301" t="str">
        <f>VLOOKUP(C301,[1]Orders!$A$5:$W$1043,9,0)</f>
        <v>Critical</v>
      </c>
    </row>
    <row r="302" spans="3:11" x14ac:dyDescent="0.25">
      <c r="C302" s="61" t="s">
        <v>394</v>
      </c>
      <c r="D302" t="str">
        <f>VLOOKUP(C302,[1]Orders!$A$5:$W$1043,3,0)</f>
        <v>Tony Molinari</v>
      </c>
      <c r="E302">
        <f>VLOOKUP(C302,[1]Orders!$A$5:$W$1043,23,0)</f>
        <v>203.96999999999997</v>
      </c>
      <c r="F302" t="str">
        <f>VLOOKUP(C302,[1]Orders!$A$5:$W$1043,5,0)</f>
        <v>Sydney</v>
      </c>
      <c r="G302" t="str">
        <f>VLOOKUP(C302,[1]Orders!$A$5:$W$1043,5,0)</f>
        <v>Sydney</v>
      </c>
      <c r="H302" t="str">
        <f>VLOOKUP(C302,[1]Orders!$A$5:$W$1043,6,0)</f>
        <v>NSW</v>
      </c>
      <c r="I302" t="str">
        <f>VLOOKUP(C302,[1]Orders!$A$5:$W$1043,7,0)</f>
        <v>Corporate</v>
      </c>
      <c r="J302" t="str">
        <f>VLOOKUP(C302,[1]Orders!$A$5:$W$1043,8,0)</f>
        <v>Mihael Khan</v>
      </c>
      <c r="K302" t="str">
        <f>VLOOKUP(C302,[1]Orders!$A$5:$W$1043,9,0)</f>
        <v>Critical</v>
      </c>
    </row>
    <row r="303" spans="3:11" x14ac:dyDescent="0.25">
      <c r="C303" s="61" t="s">
        <v>395</v>
      </c>
      <c r="D303" t="str">
        <f>VLOOKUP(C303,[1]Orders!$A$5:$W$1043,3,0)</f>
        <v>Joy Smith</v>
      </c>
      <c r="E303">
        <f>VLOOKUP(C303,[1]Orders!$A$5:$W$1043,23,0)</f>
        <v>1059.8900000000001</v>
      </c>
      <c r="F303" t="str">
        <f>VLOOKUP(C303,[1]Orders!$A$5:$W$1043,5,0)</f>
        <v>Melbourne</v>
      </c>
      <c r="G303" t="str">
        <f>VLOOKUP(C303,[1]Orders!$A$5:$W$1043,5,0)</f>
        <v>Melbourne</v>
      </c>
      <c r="H303" t="str">
        <f>VLOOKUP(C303,[1]Orders!$A$5:$W$1043,6,0)</f>
        <v>VIC</v>
      </c>
      <c r="I303" t="str">
        <f>VLOOKUP(C303,[1]Orders!$A$5:$W$1043,7,0)</f>
        <v>Consumer</v>
      </c>
      <c r="J303" t="str">
        <f>VLOOKUP(C303,[1]Orders!$A$5:$W$1043,8,0)</f>
        <v>Yvette Biti</v>
      </c>
      <c r="K303" t="str">
        <f>VLOOKUP(C303,[1]Orders!$A$5:$W$1043,9,0)</f>
        <v>High</v>
      </c>
    </row>
    <row r="304" spans="3:11" x14ac:dyDescent="0.25">
      <c r="C304" s="61" t="s">
        <v>396</v>
      </c>
      <c r="D304" t="str">
        <f>VLOOKUP(C304,[1]Orders!$A$5:$W$1043,3,0)</f>
        <v>Brian Dahlen</v>
      </c>
      <c r="E304">
        <f>VLOOKUP(C304,[1]Orders!$A$5:$W$1043,23,0)</f>
        <v>6258.11</v>
      </c>
      <c r="F304" t="str">
        <f>VLOOKUP(C304,[1]Orders!$A$5:$W$1043,5,0)</f>
        <v>Sydney</v>
      </c>
      <c r="G304" t="str">
        <f>VLOOKUP(C304,[1]Orders!$A$5:$W$1043,5,0)</f>
        <v>Sydney</v>
      </c>
      <c r="H304" t="str">
        <f>VLOOKUP(C304,[1]Orders!$A$5:$W$1043,6,0)</f>
        <v>NSW</v>
      </c>
      <c r="I304" t="str">
        <f>VLOOKUP(C304,[1]Orders!$A$5:$W$1043,7,0)</f>
        <v>Small Business</v>
      </c>
      <c r="J304" t="str">
        <f>VLOOKUP(C304,[1]Orders!$A$5:$W$1043,8,0)</f>
        <v>Aanya Zhang</v>
      </c>
      <c r="K304" t="str">
        <f>VLOOKUP(C304,[1]Orders!$A$5:$W$1043,9,0)</f>
        <v>Critical</v>
      </c>
    </row>
    <row r="305" spans="3:11" x14ac:dyDescent="0.25">
      <c r="C305" s="61" t="s">
        <v>397</v>
      </c>
      <c r="D305" t="str">
        <f>VLOOKUP(C305,[1]Orders!$A$5:$W$1043,3,0)</f>
        <v>Don Miller</v>
      </c>
      <c r="E305">
        <f>VLOOKUP(C305,[1]Orders!$A$5:$W$1043,23,0)</f>
        <v>59.38</v>
      </c>
      <c r="F305" t="str">
        <f>VLOOKUP(C305,[1]Orders!$A$5:$W$1043,5,0)</f>
        <v>Melbourne</v>
      </c>
      <c r="G305" t="str">
        <f>VLOOKUP(C305,[1]Orders!$A$5:$W$1043,5,0)</f>
        <v>Melbourne</v>
      </c>
      <c r="H305" t="str">
        <f>VLOOKUP(C305,[1]Orders!$A$5:$W$1043,6,0)</f>
        <v>VIC</v>
      </c>
      <c r="I305" t="str">
        <f>VLOOKUP(C305,[1]Orders!$A$5:$W$1043,7,0)</f>
        <v>Home Office</v>
      </c>
      <c r="J305" t="str">
        <f>VLOOKUP(C305,[1]Orders!$A$5:$W$1043,8,0)</f>
        <v>Connor Betts</v>
      </c>
      <c r="K305" t="str">
        <f>VLOOKUP(C305,[1]Orders!$A$5:$W$1043,9,0)</f>
        <v>Medium</v>
      </c>
    </row>
    <row r="306" spans="3:11" x14ac:dyDescent="0.25">
      <c r="C306" s="61" t="s">
        <v>398</v>
      </c>
      <c r="D306" t="str">
        <f>VLOOKUP(C306,[1]Orders!$A$5:$W$1043,3,0)</f>
        <v>Denise Monton</v>
      </c>
      <c r="E306">
        <f>VLOOKUP(C306,[1]Orders!$A$5:$W$1043,23,0)</f>
        <v>1085.47</v>
      </c>
      <c r="F306" t="str">
        <f>VLOOKUP(C306,[1]Orders!$A$5:$W$1043,5,0)</f>
        <v>Sydney</v>
      </c>
      <c r="G306" t="str">
        <f>VLOOKUP(C306,[1]Orders!$A$5:$W$1043,5,0)</f>
        <v>Sydney</v>
      </c>
      <c r="H306" t="str">
        <f>VLOOKUP(C306,[1]Orders!$A$5:$W$1043,6,0)</f>
        <v>NSW</v>
      </c>
      <c r="I306" t="str">
        <f>VLOOKUP(C306,[1]Orders!$A$5:$W$1043,7,0)</f>
        <v>Home Office</v>
      </c>
      <c r="J306" t="str">
        <f>VLOOKUP(C306,[1]Orders!$A$5:$W$1043,8,0)</f>
        <v>Samantha Chairs</v>
      </c>
      <c r="K306" t="str">
        <f>VLOOKUP(C306,[1]Orders!$A$5:$W$1043,9,0)</f>
        <v>Low</v>
      </c>
    </row>
    <row r="307" spans="3:11" x14ac:dyDescent="0.25">
      <c r="C307" s="61" t="s">
        <v>399</v>
      </c>
      <c r="D307" t="str">
        <f>VLOOKUP(C307,[1]Orders!$A$5:$W$1043,3,0)</f>
        <v>Christy Brittain</v>
      </c>
      <c r="E307">
        <f>VLOOKUP(C307,[1]Orders!$A$5:$W$1043,23,0)</f>
        <v>111.86</v>
      </c>
      <c r="F307" t="str">
        <f>VLOOKUP(C307,[1]Orders!$A$5:$W$1043,5,0)</f>
        <v>Sydney</v>
      </c>
      <c r="G307" t="str">
        <f>VLOOKUP(C307,[1]Orders!$A$5:$W$1043,5,0)</f>
        <v>Sydney</v>
      </c>
      <c r="H307" t="str">
        <f>VLOOKUP(C307,[1]Orders!$A$5:$W$1043,6,0)</f>
        <v>NSW</v>
      </c>
      <c r="I307" t="str">
        <f>VLOOKUP(C307,[1]Orders!$A$5:$W$1043,7,0)</f>
        <v>Consumer</v>
      </c>
      <c r="J307" t="str">
        <f>VLOOKUP(C307,[1]Orders!$A$5:$W$1043,8,0)</f>
        <v>Mihael Khan</v>
      </c>
      <c r="K307" t="str">
        <f>VLOOKUP(C307,[1]Orders!$A$5:$W$1043,9,0)</f>
        <v>Medium</v>
      </c>
    </row>
    <row r="308" spans="3:11" x14ac:dyDescent="0.25">
      <c r="C308" s="61" t="s">
        <v>400</v>
      </c>
      <c r="D308" t="str">
        <f>VLOOKUP(C308,[1]Orders!$A$5:$W$1043,3,0)</f>
        <v>John Castell</v>
      </c>
      <c r="E308">
        <f>VLOOKUP(C308,[1]Orders!$A$5:$W$1043,23,0)</f>
        <v>108.06</v>
      </c>
      <c r="F308" t="str">
        <f>VLOOKUP(C308,[1]Orders!$A$5:$W$1043,5,0)</f>
        <v>Sydney</v>
      </c>
      <c r="G308" t="str">
        <f>VLOOKUP(C308,[1]Orders!$A$5:$W$1043,5,0)</f>
        <v>Sydney</v>
      </c>
      <c r="H308" t="str">
        <f>VLOOKUP(C308,[1]Orders!$A$5:$W$1043,6,0)</f>
        <v>NSW</v>
      </c>
      <c r="I308" t="str">
        <f>VLOOKUP(C308,[1]Orders!$A$5:$W$1043,7,0)</f>
        <v>Small Business</v>
      </c>
      <c r="J308" t="str">
        <f>VLOOKUP(C308,[1]Orders!$A$5:$W$1043,8,0)</f>
        <v>Natasha Song</v>
      </c>
      <c r="K308" t="str">
        <f>VLOOKUP(C308,[1]Orders!$A$5:$W$1043,9,0)</f>
        <v>Not Specified</v>
      </c>
    </row>
    <row r="309" spans="3:11" x14ac:dyDescent="0.25">
      <c r="C309" s="61" t="s">
        <v>401</v>
      </c>
      <c r="D309" t="str">
        <f>VLOOKUP(C309,[1]Orders!$A$5:$W$1043,3,0)</f>
        <v>Duane Huffman</v>
      </c>
      <c r="E309">
        <f>VLOOKUP(C309,[1]Orders!$A$5:$W$1043,23,0)</f>
        <v>171.55</v>
      </c>
      <c r="F309" t="str">
        <f>VLOOKUP(C309,[1]Orders!$A$5:$W$1043,5,0)</f>
        <v>Sydney</v>
      </c>
      <c r="G309" t="str">
        <f>VLOOKUP(C309,[1]Orders!$A$5:$W$1043,5,0)</f>
        <v>Sydney</v>
      </c>
      <c r="H309" t="str">
        <f>VLOOKUP(C309,[1]Orders!$A$5:$W$1043,6,0)</f>
        <v>NSW</v>
      </c>
      <c r="I309" t="str">
        <f>VLOOKUP(C309,[1]Orders!$A$5:$W$1043,7,0)</f>
        <v>Small Business</v>
      </c>
      <c r="J309" t="str">
        <f>VLOOKUP(C309,[1]Orders!$A$5:$W$1043,8,0)</f>
        <v>Natasha Song</v>
      </c>
      <c r="K309" t="str">
        <f>VLOOKUP(C309,[1]Orders!$A$5:$W$1043,9,0)</f>
        <v>High</v>
      </c>
    </row>
    <row r="310" spans="3:11" x14ac:dyDescent="0.25">
      <c r="C310" s="61" t="s">
        <v>402</v>
      </c>
      <c r="D310" t="str">
        <f>VLOOKUP(C310,[1]Orders!$A$5:$W$1043,3,0)</f>
        <v>Trudy Brown</v>
      </c>
      <c r="E310">
        <f>VLOOKUP(C310,[1]Orders!$A$5:$W$1043,23,0)</f>
        <v>484.00000000000006</v>
      </c>
      <c r="F310" t="str">
        <f>VLOOKUP(C310,[1]Orders!$A$5:$W$1043,5,0)</f>
        <v>Melbourne</v>
      </c>
      <c r="G310" t="str">
        <f>VLOOKUP(C310,[1]Orders!$A$5:$W$1043,5,0)</f>
        <v>Melbourne</v>
      </c>
      <c r="H310" t="str">
        <f>VLOOKUP(C310,[1]Orders!$A$5:$W$1043,6,0)</f>
        <v>VIC</v>
      </c>
      <c r="I310" t="str">
        <f>VLOOKUP(C310,[1]Orders!$A$5:$W$1043,7,0)</f>
        <v>Small Business</v>
      </c>
      <c r="J310" t="str">
        <f>VLOOKUP(C310,[1]Orders!$A$5:$W$1043,8,0)</f>
        <v>Connor Betts</v>
      </c>
      <c r="K310" t="str">
        <f>VLOOKUP(C310,[1]Orders!$A$5:$W$1043,9,0)</f>
        <v>Low</v>
      </c>
    </row>
    <row r="311" spans="3:11" x14ac:dyDescent="0.25">
      <c r="C311" s="61" t="s">
        <v>403</v>
      </c>
      <c r="D311" t="str">
        <f>VLOOKUP(C311,[1]Orders!$A$5:$W$1043,3,0)</f>
        <v>Philip Fox</v>
      </c>
      <c r="E311">
        <f>VLOOKUP(C311,[1]Orders!$A$5:$W$1043,23,0)</f>
        <v>8114.7399999999989</v>
      </c>
      <c r="F311" t="str">
        <f>VLOOKUP(C311,[1]Orders!$A$5:$W$1043,5,0)</f>
        <v>Sydney</v>
      </c>
      <c r="G311" t="str">
        <f>VLOOKUP(C311,[1]Orders!$A$5:$W$1043,5,0)</f>
        <v>Sydney</v>
      </c>
      <c r="H311" t="str">
        <f>VLOOKUP(C311,[1]Orders!$A$5:$W$1043,6,0)</f>
        <v>NSW</v>
      </c>
      <c r="I311" t="str">
        <f>VLOOKUP(C311,[1]Orders!$A$5:$W$1043,7,0)</f>
        <v>Home Office</v>
      </c>
      <c r="J311" t="str">
        <f>VLOOKUP(C311,[1]Orders!$A$5:$W$1043,8,0)</f>
        <v>Tina Carlton</v>
      </c>
      <c r="K311" t="str">
        <f>VLOOKUP(C311,[1]Orders!$A$5:$W$1043,9,0)</f>
        <v>High</v>
      </c>
    </row>
    <row r="312" spans="3:11" x14ac:dyDescent="0.25">
      <c r="C312" s="61" t="s">
        <v>404</v>
      </c>
      <c r="D312" t="str">
        <f>VLOOKUP(C312,[1]Orders!$A$5:$W$1043,3,0)</f>
        <v>Charlotte Melton</v>
      </c>
      <c r="E312">
        <f>VLOOKUP(C312,[1]Orders!$A$5:$W$1043,23,0)</f>
        <v>178.35</v>
      </c>
      <c r="F312" t="str">
        <f>VLOOKUP(C312,[1]Orders!$A$5:$W$1043,5,0)</f>
        <v>Sydney</v>
      </c>
      <c r="G312" t="str">
        <f>VLOOKUP(C312,[1]Orders!$A$5:$W$1043,5,0)</f>
        <v>Sydney</v>
      </c>
      <c r="H312" t="str">
        <f>VLOOKUP(C312,[1]Orders!$A$5:$W$1043,6,0)</f>
        <v>NSW</v>
      </c>
      <c r="I312" t="str">
        <f>VLOOKUP(C312,[1]Orders!$A$5:$W$1043,7,0)</f>
        <v>Home Office</v>
      </c>
      <c r="J312" t="str">
        <f>VLOOKUP(C312,[1]Orders!$A$5:$W$1043,8,0)</f>
        <v>Preston Senome</v>
      </c>
      <c r="K312" t="str">
        <f>VLOOKUP(C312,[1]Orders!$A$5:$W$1043,9,0)</f>
        <v>Medium</v>
      </c>
    </row>
    <row r="313" spans="3:11" x14ac:dyDescent="0.25">
      <c r="C313" s="61" t="s">
        <v>405</v>
      </c>
      <c r="D313" t="str">
        <f>VLOOKUP(C313,[1]Orders!$A$5:$W$1043,3,0)</f>
        <v>Dionis Lloyd</v>
      </c>
      <c r="E313">
        <f>VLOOKUP(C313,[1]Orders!$A$5:$W$1043,23,0)</f>
        <v>485.03999999999996</v>
      </c>
      <c r="F313" t="str">
        <f>VLOOKUP(C313,[1]Orders!$A$5:$W$1043,5,0)</f>
        <v>Sydney</v>
      </c>
      <c r="G313" t="str">
        <f>VLOOKUP(C313,[1]Orders!$A$5:$W$1043,5,0)</f>
        <v>Sydney</v>
      </c>
      <c r="H313" t="str">
        <f>VLOOKUP(C313,[1]Orders!$A$5:$W$1043,6,0)</f>
        <v>NSW</v>
      </c>
      <c r="I313" t="str">
        <f>VLOOKUP(C313,[1]Orders!$A$5:$W$1043,7,0)</f>
        <v>Small Business</v>
      </c>
      <c r="J313" t="str">
        <f>VLOOKUP(C313,[1]Orders!$A$5:$W$1043,8,0)</f>
        <v>Mihael Khan</v>
      </c>
      <c r="K313" t="str">
        <f>VLOOKUP(C313,[1]Orders!$A$5:$W$1043,9,0)</f>
        <v>Low</v>
      </c>
    </row>
    <row r="314" spans="3:11" x14ac:dyDescent="0.25">
      <c r="C314" s="61" t="s">
        <v>406</v>
      </c>
      <c r="D314" t="str">
        <f>VLOOKUP(C314,[1]Orders!$A$5:$W$1043,3,0)</f>
        <v>Sean ODonnell</v>
      </c>
      <c r="E314">
        <f>VLOOKUP(C314,[1]Orders!$A$5:$W$1043,23,0)</f>
        <v>133.44999999999999</v>
      </c>
      <c r="F314" t="str">
        <f>VLOOKUP(C314,[1]Orders!$A$5:$W$1043,5,0)</f>
        <v>Melbourne</v>
      </c>
      <c r="G314" t="str">
        <f>VLOOKUP(C314,[1]Orders!$A$5:$W$1043,5,0)</f>
        <v>Melbourne</v>
      </c>
      <c r="H314" t="str">
        <f>VLOOKUP(C314,[1]Orders!$A$5:$W$1043,6,0)</f>
        <v>VIC</v>
      </c>
      <c r="I314" t="str">
        <f>VLOOKUP(C314,[1]Orders!$A$5:$W$1043,7,0)</f>
        <v>Corporate</v>
      </c>
      <c r="J314" t="str">
        <f>VLOOKUP(C314,[1]Orders!$A$5:$W$1043,8,0)</f>
        <v>Yvette Biti</v>
      </c>
      <c r="K314" t="str">
        <f>VLOOKUP(C314,[1]Orders!$A$5:$W$1043,9,0)</f>
        <v>Low</v>
      </c>
    </row>
    <row r="315" spans="3:11" x14ac:dyDescent="0.25">
      <c r="C315" s="61" t="s">
        <v>407</v>
      </c>
      <c r="D315" t="str">
        <f>VLOOKUP(C315,[1]Orders!$A$5:$W$1043,3,0)</f>
        <v>Nick Zandusky</v>
      </c>
      <c r="E315">
        <f>VLOOKUP(C315,[1]Orders!$A$5:$W$1043,23,0)</f>
        <v>2490.1099999999997</v>
      </c>
      <c r="F315" t="str">
        <f>VLOOKUP(C315,[1]Orders!$A$5:$W$1043,5,0)</f>
        <v>Melbourne</v>
      </c>
      <c r="G315" t="str">
        <f>VLOOKUP(C315,[1]Orders!$A$5:$W$1043,5,0)</f>
        <v>Melbourne</v>
      </c>
      <c r="H315" t="str">
        <f>VLOOKUP(C315,[1]Orders!$A$5:$W$1043,6,0)</f>
        <v>VIC</v>
      </c>
      <c r="I315" t="str">
        <f>VLOOKUP(C315,[1]Orders!$A$5:$W$1043,7,0)</f>
        <v>Small Business</v>
      </c>
      <c r="J315" t="str">
        <f>VLOOKUP(C315,[1]Orders!$A$5:$W$1043,8,0)</f>
        <v>Connor Betts</v>
      </c>
      <c r="K315" t="str">
        <f>VLOOKUP(C315,[1]Orders!$A$5:$W$1043,9,0)</f>
        <v>Not Specified</v>
      </c>
    </row>
    <row r="316" spans="3:11" x14ac:dyDescent="0.25">
      <c r="C316" s="61" t="s">
        <v>408</v>
      </c>
      <c r="D316" t="str">
        <f>VLOOKUP(C316,[1]Orders!$A$5:$W$1043,3,0)</f>
        <v>Ashley Jarboe</v>
      </c>
      <c r="E316">
        <f>VLOOKUP(C316,[1]Orders!$A$5:$W$1043,23,0)</f>
        <v>473.79</v>
      </c>
      <c r="F316" t="str">
        <f>VLOOKUP(C316,[1]Orders!$A$5:$W$1043,5,0)</f>
        <v>Melbourne</v>
      </c>
      <c r="G316" t="str">
        <f>VLOOKUP(C316,[1]Orders!$A$5:$W$1043,5,0)</f>
        <v>Melbourne</v>
      </c>
      <c r="H316" t="str">
        <f>VLOOKUP(C316,[1]Orders!$A$5:$W$1043,6,0)</f>
        <v>VIC</v>
      </c>
      <c r="I316" t="str">
        <f>VLOOKUP(C316,[1]Orders!$A$5:$W$1043,7,0)</f>
        <v>Home Office</v>
      </c>
      <c r="J316" t="str">
        <f>VLOOKUP(C316,[1]Orders!$A$5:$W$1043,8,0)</f>
        <v>Connor Betts</v>
      </c>
      <c r="K316" t="str">
        <f>VLOOKUP(C316,[1]Orders!$A$5:$W$1043,9,0)</f>
        <v>Low</v>
      </c>
    </row>
    <row r="317" spans="3:11" x14ac:dyDescent="0.25">
      <c r="C317" s="61" t="s">
        <v>409</v>
      </c>
      <c r="D317" t="str">
        <f>VLOOKUP(C317,[1]Orders!$A$5:$W$1043,3,0)</f>
        <v>Nat Gilpin</v>
      </c>
      <c r="E317">
        <f>VLOOKUP(C317,[1]Orders!$A$5:$W$1043,23,0)</f>
        <v>83.29</v>
      </c>
      <c r="F317" t="str">
        <f>VLOOKUP(C317,[1]Orders!$A$5:$W$1043,5,0)</f>
        <v>Sydney</v>
      </c>
      <c r="G317" t="str">
        <f>VLOOKUP(C317,[1]Orders!$A$5:$W$1043,5,0)</f>
        <v>Sydney</v>
      </c>
      <c r="H317" t="str">
        <f>VLOOKUP(C317,[1]Orders!$A$5:$W$1043,6,0)</f>
        <v>NSW</v>
      </c>
      <c r="I317" t="str">
        <f>VLOOKUP(C317,[1]Orders!$A$5:$W$1043,7,0)</f>
        <v>Consumer</v>
      </c>
      <c r="J317" t="str">
        <f>VLOOKUP(C317,[1]Orders!$A$5:$W$1043,8,0)</f>
        <v>Leighton Forrest</v>
      </c>
      <c r="K317" t="str">
        <f>VLOOKUP(C317,[1]Orders!$A$5:$W$1043,9,0)</f>
        <v>Not Specified</v>
      </c>
    </row>
    <row r="318" spans="3:11" x14ac:dyDescent="0.25">
      <c r="C318" s="61" t="s">
        <v>410</v>
      </c>
      <c r="D318" t="str">
        <f>VLOOKUP(C318,[1]Orders!$A$5:$W$1043,3,0)</f>
        <v>Fred Wasserman</v>
      </c>
      <c r="E318">
        <f>VLOOKUP(C318,[1]Orders!$A$5:$W$1043,23,0)</f>
        <v>163.94000000000003</v>
      </c>
      <c r="F318" t="str">
        <f>VLOOKUP(C318,[1]Orders!$A$5:$W$1043,5,0)</f>
        <v>Sydney</v>
      </c>
      <c r="G318" t="str">
        <f>VLOOKUP(C318,[1]Orders!$A$5:$W$1043,5,0)</f>
        <v>Sydney</v>
      </c>
      <c r="H318" t="str">
        <f>VLOOKUP(C318,[1]Orders!$A$5:$W$1043,6,0)</f>
        <v>NSW</v>
      </c>
      <c r="I318" t="str">
        <f>VLOOKUP(C318,[1]Orders!$A$5:$W$1043,7,0)</f>
        <v>Home Office</v>
      </c>
      <c r="J318" t="str">
        <f>VLOOKUP(C318,[1]Orders!$A$5:$W$1043,8,0)</f>
        <v>Leighton Forrest</v>
      </c>
      <c r="K318" t="str">
        <f>VLOOKUP(C318,[1]Orders!$A$5:$W$1043,9,0)</f>
        <v>Not Specified</v>
      </c>
    </row>
    <row r="319" spans="3:11" x14ac:dyDescent="0.25">
      <c r="C319" s="61" t="s">
        <v>411</v>
      </c>
      <c r="D319" t="str">
        <f>VLOOKUP(C319,[1]Orders!$A$5:$W$1043,3,0)</f>
        <v>Aleksandra Gannaway</v>
      </c>
      <c r="E319">
        <f>VLOOKUP(C319,[1]Orders!$A$5:$W$1043,23,0)</f>
        <v>444.41999999999996</v>
      </c>
      <c r="F319" t="str">
        <f>VLOOKUP(C319,[1]Orders!$A$5:$W$1043,5,0)</f>
        <v>Sydney</v>
      </c>
      <c r="G319" t="str">
        <f>VLOOKUP(C319,[1]Orders!$A$5:$W$1043,5,0)</f>
        <v>Sydney</v>
      </c>
      <c r="H319" t="str">
        <f>VLOOKUP(C319,[1]Orders!$A$5:$W$1043,6,0)</f>
        <v>NSW</v>
      </c>
      <c r="I319" t="str">
        <f>VLOOKUP(C319,[1]Orders!$A$5:$W$1043,7,0)</f>
        <v>Corporate</v>
      </c>
      <c r="J319" t="str">
        <f>VLOOKUP(C319,[1]Orders!$A$5:$W$1043,8,0)</f>
        <v>Tina Carlton</v>
      </c>
      <c r="K319" t="str">
        <f>VLOOKUP(C319,[1]Orders!$A$5:$W$1043,9,0)</f>
        <v>Medium</v>
      </c>
    </row>
    <row r="320" spans="3:11" x14ac:dyDescent="0.25">
      <c r="C320" s="61" t="s">
        <v>412</v>
      </c>
      <c r="D320" t="str">
        <f>VLOOKUP(C320,[1]Orders!$A$5:$W$1043,3,0)</f>
        <v>Sanjit Engle</v>
      </c>
      <c r="E320">
        <f>VLOOKUP(C320,[1]Orders!$A$5:$W$1043,23,0)</f>
        <v>550.29000000000008</v>
      </c>
      <c r="F320" t="str">
        <f>VLOOKUP(C320,[1]Orders!$A$5:$W$1043,5,0)</f>
        <v>Sydney</v>
      </c>
      <c r="G320" t="str">
        <f>VLOOKUP(C320,[1]Orders!$A$5:$W$1043,5,0)</f>
        <v>Sydney</v>
      </c>
      <c r="H320" t="str">
        <f>VLOOKUP(C320,[1]Orders!$A$5:$W$1043,6,0)</f>
        <v>NSW</v>
      </c>
      <c r="I320" t="str">
        <f>VLOOKUP(C320,[1]Orders!$A$5:$W$1043,7,0)</f>
        <v>Home Office</v>
      </c>
      <c r="J320" t="str">
        <f>VLOOKUP(C320,[1]Orders!$A$5:$W$1043,8,0)</f>
        <v>Nicholas Fernandes</v>
      </c>
      <c r="K320" t="str">
        <f>VLOOKUP(C320,[1]Orders!$A$5:$W$1043,9,0)</f>
        <v>Medium</v>
      </c>
    </row>
    <row r="321" spans="3:11" x14ac:dyDescent="0.25">
      <c r="C321" s="61" t="s">
        <v>413</v>
      </c>
      <c r="D321" t="str">
        <f>VLOOKUP(C321,[1]Orders!$A$5:$W$1043,3,0)</f>
        <v>Patrick OBrill</v>
      </c>
      <c r="E321">
        <f>VLOOKUP(C321,[1]Orders!$A$5:$W$1043,23,0)</f>
        <v>202.06</v>
      </c>
      <c r="F321" t="str">
        <f>VLOOKUP(C321,[1]Orders!$A$5:$W$1043,5,0)</f>
        <v>Sydney</v>
      </c>
      <c r="G321" t="str">
        <f>VLOOKUP(C321,[1]Orders!$A$5:$W$1043,5,0)</f>
        <v>Sydney</v>
      </c>
      <c r="H321" t="str">
        <f>VLOOKUP(C321,[1]Orders!$A$5:$W$1043,6,0)</f>
        <v>NSW</v>
      </c>
      <c r="I321" t="str">
        <f>VLOOKUP(C321,[1]Orders!$A$5:$W$1043,7,0)</f>
        <v>Home Office</v>
      </c>
      <c r="J321" t="str">
        <f>VLOOKUP(C321,[1]Orders!$A$5:$W$1043,8,0)</f>
        <v>Tina Carlton</v>
      </c>
      <c r="K321" t="str">
        <f>VLOOKUP(C321,[1]Orders!$A$5:$W$1043,9,0)</f>
        <v>Critical</v>
      </c>
    </row>
    <row r="322" spans="3:11" x14ac:dyDescent="0.25">
      <c r="C322" s="61" t="s">
        <v>414</v>
      </c>
      <c r="D322" t="str">
        <f>VLOOKUP(C322,[1]Orders!$A$5:$W$1043,3,0)</f>
        <v>Mark Van Huff</v>
      </c>
      <c r="E322">
        <f>VLOOKUP(C322,[1]Orders!$A$5:$W$1043,23,0)</f>
        <v>40.660000000000004</v>
      </c>
      <c r="F322" t="str">
        <f>VLOOKUP(C322,[1]Orders!$A$5:$W$1043,5,0)</f>
        <v>Sydney</v>
      </c>
      <c r="G322" t="str">
        <f>VLOOKUP(C322,[1]Orders!$A$5:$W$1043,5,0)</f>
        <v>Sydney</v>
      </c>
      <c r="H322" t="str">
        <f>VLOOKUP(C322,[1]Orders!$A$5:$W$1043,6,0)</f>
        <v>NSW</v>
      </c>
      <c r="I322" t="str">
        <f>VLOOKUP(C322,[1]Orders!$A$5:$W$1043,7,0)</f>
        <v>Home Office</v>
      </c>
      <c r="J322" t="str">
        <f>VLOOKUP(C322,[1]Orders!$A$5:$W$1043,8,0)</f>
        <v>Charlie Bui</v>
      </c>
      <c r="K322" t="str">
        <f>VLOOKUP(C322,[1]Orders!$A$5:$W$1043,9,0)</f>
        <v>Not Specified</v>
      </c>
    </row>
    <row r="323" spans="3:11" x14ac:dyDescent="0.25">
      <c r="C323" s="61" t="s">
        <v>415</v>
      </c>
      <c r="D323" t="str">
        <f>VLOOKUP(C323,[1]Orders!$A$5:$W$1043,3,0)</f>
        <v>Helen Andreada</v>
      </c>
      <c r="E323">
        <f>VLOOKUP(C323,[1]Orders!$A$5:$W$1043,23,0)</f>
        <v>1573.83</v>
      </c>
      <c r="F323" t="str">
        <f>VLOOKUP(C323,[1]Orders!$A$5:$W$1043,5,0)</f>
        <v>Sydney</v>
      </c>
      <c r="G323" t="str">
        <f>VLOOKUP(C323,[1]Orders!$A$5:$W$1043,5,0)</f>
        <v>Sydney</v>
      </c>
      <c r="H323" t="str">
        <f>VLOOKUP(C323,[1]Orders!$A$5:$W$1043,6,0)</f>
        <v>NSW</v>
      </c>
      <c r="I323" t="str">
        <f>VLOOKUP(C323,[1]Orders!$A$5:$W$1043,7,0)</f>
        <v>Corporate</v>
      </c>
      <c r="J323" t="str">
        <f>VLOOKUP(C323,[1]Orders!$A$5:$W$1043,8,0)</f>
        <v>Tina Carlton</v>
      </c>
      <c r="K323" t="str">
        <f>VLOOKUP(C323,[1]Orders!$A$5:$W$1043,9,0)</f>
        <v>High</v>
      </c>
    </row>
    <row r="324" spans="3:11" x14ac:dyDescent="0.25">
      <c r="C324" s="61" t="s">
        <v>416</v>
      </c>
      <c r="D324" t="str">
        <f>VLOOKUP(C324,[1]Orders!$A$5:$W$1043,3,0)</f>
        <v>Darrin Van Huff</v>
      </c>
      <c r="E324">
        <f>VLOOKUP(C324,[1]Orders!$A$5:$W$1043,23,0)</f>
        <v>72.510000000000005</v>
      </c>
      <c r="F324" t="str">
        <f>VLOOKUP(C324,[1]Orders!$A$5:$W$1043,5,0)</f>
        <v>Sydney</v>
      </c>
      <c r="G324" t="str">
        <f>VLOOKUP(C324,[1]Orders!$A$5:$W$1043,5,0)</f>
        <v>Sydney</v>
      </c>
      <c r="H324" t="str">
        <f>VLOOKUP(C324,[1]Orders!$A$5:$W$1043,6,0)</f>
        <v>NSW</v>
      </c>
      <c r="I324" t="str">
        <f>VLOOKUP(C324,[1]Orders!$A$5:$W$1043,7,0)</f>
        <v>Home Office</v>
      </c>
      <c r="J324" t="str">
        <f>VLOOKUP(C324,[1]Orders!$A$5:$W$1043,8,0)</f>
        <v>Tina Carlton</v>
      </c>
      <c r="K324" t="str">
        <f>VLOOKUP(C324,[1]Orders!$A$5:$W$1043,9,0)</f>
        <v>Medium</v>
      </c>
    </row>
    <row r="325" spans="3:11" x14ac:dyDescent="0.25">
      <c r="C325" s="61" t="s">
        <v>417</v>
      </c>
      <c r="D325" t="str">
        <f>VLOOKUP(C325,[1]Orders!$A$5:$W$1043,3,0)</f>
        <v>Sarah Jordon</v>
      </c>
      <c r="E325">
        <f>VLOOKUP(C325,[1]Orders!$A$5:$W$1043,23,0)</f>
        <v>234.94</v>
      </c>
      <c r="F325" t="str">
        <f>VLOOKUP(C325,[1]Orders!$A$5:$W$1043,5,0)</f>
        <v>Melbourne</v>
      </c>
      <c r="G325" t="str">
        <f>VLOOKUP(C325,[1]Orders!$A$5:$W$1043,5,0)</f>
        <v>Melbourne</v>
      </c>
      <c r="H325" t="str">
        <f>VLOOKUP(C325,[1]Orders!$A$5:$W$1043,6,0)</f>
        <v>VIC</v>
      </c>
      <c r="I325" t="str">
        <f>VLOOKUP(C325,[1]Orders!$A$5:$W$1043,7,0)</f>
        <v>Consumer</v>
      </c>
      <c r="J325" t="str">
        <f>VLOOKUP(C325,[1]Orders!$A$5:$W$1043,8,0)</f>
        <v>Connor Betts</v>
      </c>
      <c r="K325" t="str">
        <f>VLOOKUP(C325,[1]Orders!$A$5:$W$1043,9,0)</f>
        <v>Low</v>
      </c>
    </row>
    <row r="326" spans="3:11" x14ac:dyDescent="0.25">
      <c r="C326" s="61" t="s">
        <v>418</v>
      </c>
      <c r="D326" t="str">
        <f>VLOOKUP(C326,[1]Orders!$A$5:$W$1043,3,0)</f>
        <v>Bill Eplett</v>
      </c>
      <c r="E326">
        <f>VLOOKUP(C326,[1]Orders!$A$5:$W$1043,23,0)</f>
        <v>131.80000000000001</v>
      </c>
      <c r="F326" t="str">
        <f>VLOOKUP(C326,[1]Orders!$A$5:$W$1043,5,0)</f>
        <v>Sydney</v>
      </c>
      <c r="G326" t="str">
        <f>VLOOKUP(C326,[1]Orders!$A$5:$W$1043,5,0)</f>
        <v>Sydney</v>
      </c>
      <c r="H326" t="str">
        <f>VLOOKUP(C326,[1]Orders!$A$5:$W$1043,6,0)</f>
        <v>NSW</v>
      </c>
      <c r="I326" t="str">
        <f>VLOOKUP(C326,[1]Orders!$A$5:$W$1043,7,0)</f>
        <v>Corporate</v>
      </c>
      <c r="J326" t="str">
        <f>VLOOKUP(C326,[1]Orders!$A$5:$W$1043,8,0)</f>
        <v>Tina Carlton</v>
      </c>
      <c r="K326" t="str">
        <f>VLOOKUP(C326,[1]Orders!$A$5:$W$1043,9,0)</f>
        <v>Critical</v>
      </c>
    </row>
    <row r="327" spans="3:11" x14ac:dyDescent="0.25">
      <c r="C327" s="61" t="s">
        <v>419</v>
      </c>
      <c r="D327" t="str">
        <f>VLOOKUP(C327,[1]Orders!$A$5:$W$1043,3,0)</f>
        <v>Ken Lonsdale</v>
      </c>
      <c r="E327">
        <f>VLOOKUP(C327,[1]Orders!$A$5:$W$1043,23,0)</f>
        <v>40.549999999999997</v>
      </c>
      <c r="F327" t="str">
        <f>VLOOKUP(C327,[1]Orders!$A$5:$W$1043,5,0)</f>
        <v>Melbourne</v>
      </c>
      <c r="G327" t="str">
        <f>VLOOKUP(C327,[1]Orders!$A$5:$W$1043,5,0)</f>
        <v>Melbourne</v>
      </c>
      <c r="H327" t="str">
        <f>VLOOKUP(C327,[1]Orders!$A$5:$W$1043,6,0)</f>
        <v>VIC</v>
      </c>
      <c r="I327" t="str">
        <f>VLOOKUP(C327,[1]Orders!$A$5:$W$1043,7,0)</f>
        <v>Consumer</v>
      </c>
      <c r="J327" t="str">
        <f>VLOOKUP(C327,[1]Orders!$A$5:$W$1043,8,0)</f>
        <v>Connor Betts</v>
      </c>
      <c r="K327" t="str">
        <f>VLOOKUP(C327,[1]Orders!$A$5:$W$1043,9,0)</f>
        <v>High</v>
      </c>
    </row>
    <row r="328" spans="3:11" x14ac:dyDescent="0.25">
      <c r="C328" s="61" t="s">
        <v>420</v>
      </c>
      <c r="D328" t="str">
        <f>VLOOKUP(C328,[1]Orders!$A$5:$W$1043,3,0)</f>
        <v>Michael Nguyen</v>
      </c>
      <c r="E328">
        <f>VLOOKUP(C328,[1]Orders!$A$5:$W$1043,23,0)</f>
        <v>2462.9499999999998</v>
      </c>
      <c r="F328" t="str">
        <f>VLOOKUP(C328,[1]Orders!$A$5:$W$1043,5,0)</f>
        <v>Sydney</v>
      </c>
      <c r="G328" t="str">
        <f>VLOOKUP(C328,[1]Orders!$A$5:$W$1043,5,0)</f>
        <v>Sydney</v>
      </c>
      <c r="H328" t="str">
        <f>VLOOKUP(C328,[1]Orders!$A$5:$W$1043,6,0)</f>
        <v>NSW</v>
      </c>
      <c r="I328" t="str">
        <f>VLOOKUP(C328,[1]Orders!$A$5:$W$1043,7,0)</f>
        <v>Small Business</v>
      </c>
      <c r="J328" t="str">
        <f>VLOOKUP(C328,[1]Orders!$A$5:$W$1043,8,0)</f>
        <v>Natasha Song</v>
      </c>
      <c r="K328" t="str">
        <f>VLOOKUP(C328,[1]Orders!$A$5:$W$1043,9,0)</f>
        <v>High</v>
      </c>
    </row>
    <row r="329" spans="3:11" x14ac:dyDescent="0.25">
      <c r="C329" s="61" t="s">
        <v>421</v>
      </c>
      <c r="D329" t="str">
        <f>VLOOKUP(C329,[1]Orders!$A$5:$W$1043,3,0)</f>
        <v>Hilary Holden</v>
      </c>
      <c r="E329">
        <f>VLOOKUP(C329,[1]Orders!$A$5:$W$1043,23,0)</f>
        <v>651.78</v>
      </c>
      <c r="F329" t="str">
        <f>VLOOKUP(C329,[1]Orders!$A$5:$W$1043,5,0)</f>
        <v>Sydney</v>
      </c>
      <c r="G329" t="str">
        <f>VLOOKUP(C329,[1]Orders!$A$5:$W$1043,5,0)</f>
        <v>Sydney</v>
      </c>
      <c r="H329" t="str">
        <f>VLOOKUP(C329,[1]Orders!$A$5:$W$1043,6,0)</f>
        <v>NSW</v>
      </c>
      <c r="I329" t="str">
        <f>VLOOKUP(C329,[1]Orders!$A$5:$W$1043,7,0)</f>
        <v>Corporate</v>
      </c>
      <c r="J329" t="str">
        <f>VLOOKUP(C329,[1]Orders!$A$5:$W$1043,8,0)</f>
        <v>Phoebe Gour</v>
      </c>
      <c r="K329" t="str">
        <f>VLOOKUP(C329,[1]Orders!$A$5:$W$1043,9,0)</f>
        <v>Critical</v>
      </c>
    </row>
    <row r="330" spans="3:11" x14ac:dyDescent="0.25">
      <c r="C330" s="61" t="s">
        <v>422</v>
      </c>
      <c r="D330" t="str">
        <f>VLOOKUP(C330,[1]Orders!$A$5:$W$1043,3,0)</f>
        <v>Brooke Gillingham</v>
      </c>
      <c r="E330">
        <f>VLOOKUP(C330,[1]Orders!$A$5:$W$1043,23,0)</f>
        <v>11.709999999999999</v>
      </c>
      <c r="F330" t="str">
        <f>VLOOKUP(C330,[1]Orders!$A$5:$W$1043,5,0)</f>
        <v>Sydney</v>
      </c>
      <c r="G330" t="str">
        <f>VLOOKUP(C330,[1]Orders!$A$5:$W$1043,5,0)</f>
        <v>Sydney</v>
      </c>
      <c r="H330" t="str">
        <f>VLOOKUP(C330,[1]Orders!$A$5:$W$1043,6,0)</f>
        <v>NSW</v>
      </c>
      <c r="I330" t="str">
        <f>VLOOKUP(C330,[1]Orders!$A$5:$W$1043,7,0)</f>
        <v>Small Business</v>
      </c>
      <c r="J330" t="str">
        <f>VLOOKUP(C330,[1]Orders!$A$5:$W$1043,8,0)</f>
        <v>Aanya Zhang</v>
      </c>
      <c r="K330" t="str">
        <f>VLOOKUP(C330,[1]Orders!$A$5:$W$1043,9,0)</f>
        <v>Medium</v>
      </c>
    </row>
    <row r="331" spans="3:11" x14ac:dyDescent="0.25">
      <c r="C331" s="61" t="s">
        <v>423</v>
      </c>
      <c r="D331" t="str">
        <f>VLOOKUP(C331,[1]Orders!$A$5:$W$1043,3,0)</f>
        <v>Suzanne McNair</v>
      </c>
      <c r="E331">
        <f>VLOOKUP(C331,[1]Orders!$A$5:$W$1043,23,0)</f>
        <v>76.22</v>
      </c>
      <c r="F331" t="str">
        <f>VLOOKUP(C331,[1]Orders!$A$5:$W$1043,5,0)</f>
        <v>Melbourne</v>
      </c>
      <c r="G331" t="str">
        <f>VLOOKUP(C331,[1]Orders!$A$5:$W$1043,5,0)</f>
        <v>Melbourne</v>
      </c>
      <c r="H331" t="str">
        <f>VLOOKUP(C331,[1]Orders!$A$5:$W$1043,6,0)</f>
        <v>VIC</v>
      </c>
      <c r="I331" t="str">
        <f>VLOOKUP(C331,[1]Orders!$A$5:$W$1043,7,0)</f>
        <v>Small Business</v>
      </c>
      <c r="J331" t="str">
        <f>VLOOKUP(C331,[1]Orders!$A$5:$W$1043,8,0)</f>
        <v>Connor Betts</v>
      </c>
      <c r="K331" t="str">
        <f>VLOOKUP(C331,[1]Orders!$A$5:$W$1043,9,0)</f>
        <v>Low</v>
      </c>
    </row>
    <row r="332" spans="3:11" x14ac:dyDescent="0.25">
      <c r="C332" s="61" t="s">
        <v>424</v>
      </c>
      <c r="D332" t="str">
        <f>VLOOKUP(C332,[1]Orders!$A$5:$W$1043,3,0)</f>
        <v>Mathew Reese</v>
      </c>
      <c r="E332">
        <f>VLOOKUP(C332,[1]Orders!$A$5:$W$1043,23,0)</f>
        <v>1521.65</v>
      </c>
      <c r="F332" t="str">
        <f>VLOOKUP(C332,[1]Orders!$A$5:$W$1043,5,0)</f>
        <v>Sydney</v>
      </c>
      <c r="G332" t="str">
        <f>VLOOKUP(C332,[1]Orders!$A$5:$W$1043,5,0)</f>
        <v>Sydney</v>
      </c>
      <c r="H332" t="str">
        <f>VLOOKUP(C332,[1]Orders!$A$5:$W$1043,6,0)</f>
        <v>NSW</v>
      </c>
      <c r="I332" t="str">
        <f>VLOOKUP(C332,[1]Orders!$A$5:$W$1043,7,0)</f>
        <v>Small Business</v>
      </c>
      <c r="J332" t="str">
        <f>VLOOKUP(C332,[1]Orders!$A$5:$W$1043,8,0)</f>
        <v>Nicholas Fernandes</v>
      </c>
      <c r="K332" t="str">
        <f>VLOOKUP(C332,[1]Orders!$A$5:$W$1043,9,0)</f>
        <v>Critical</v>
      </c>
    </row>
    <row r="333" spans="3:11" x14ac:dyDescent="0.25">
      <c r="C333" s="61" t="s">
        <v>425</v>
      </c>
      <c r="D333" t="str">
        <f>VLOOKUP(C333,[1]Orders!$A$5:$W$1043,3,0)</f>
        <v>Dennis Kane</v>
      </c>
      <c r="E333">
        <f>VLOOKUP(C333,[1]Orders!$A$5:$W$1043,23,0)</f>
        <v>17598.53</v>
      </c>
      <c r="F333" t="str">
        <f>VLOOKUP(C333,[1]Orders!$A$5:$W$1043,5,0)</f>
        <v>Sydney</v>
      </c>
      <c r="G333" t="str">
        <f>VLOOKUP(C333,[1]Orders!$A$5:$W$1043,5,0)</f>
        <v>Sydney</v>
      </c>
      <c r="H333" t="str">
        <f>VLOOKUP(C333,[1]Orders!$A$5:$W$1043,6,0)</f>
        <v>NSW</v>
      </c>
      <c r="I333" t="str">
        <f>VLOOKUP(C333,[1]Orders!$A$5:$W$1043,7,0)</f>
        <v>Small Business</v>
      </c>
      <c r="J333" t="str">
        <f>VLOOKUP(C333,[1]Orders!$A$5:$W$1043,8,0)</f>
        <v>Natasha Song</v>
      </c>
      <c r="K333" t="str">
        <f>VLOOKUP(C333,[1]Orders!$A$5:$W$1043,9,0)</f>
        <v>Medium</v>
      </c>
    </row>
    <row r="334" spans="3:11" x14ac:dyDescent="0.25">
      <c r="C334" s="61" t="s">
        <v>426</v>
      </c>
      <c r="D334" t="str">
        <f>VLOOKUP(C334,[1]Orders!$A$5:$W$1043,3,0)</f>
        <v>Susan MacKendrick</v>
      </c>
      <c r="E334">
        <f>VLOOKUP(C334,[1]Orders!$A$5:$W$1043,23,0)</f>
        <v>155.82000000000002</v>
      </c>
      <c r="F334" t="str">
        <f>VLOOKUP(C334,[1]Orders!$A$5:$W$1043,5,0)</f>
        <v>Sydney</v>
      </c>
      <c r="G334" t="str">
        <f>VLOOKUP(C334,[1]Orders!$A$5:$W$1043,5,0)</f>
        <v>Sydney</v>
      </c>
      <c r="H334" t="str">
        <f>VLOOKUP(C334,[1]Orders!$A$5:$W$1043,6,0)</f>
        <v>NSW</v>
      </c>
      <c r="I334" t="str">
        <f>VLOOKUP(C334,[1]Orders!$A$5:$W$1043,7,0)</f>
        <v>Corporate</v>
      </c>
      <c r="J334" t="str">
        <f>VLOOKUP(C334,[1]Orders!$A$5:$W$1043,8,0)</f>
        <v>Tina Carlton</v>
      </c>
      <c r="K334" t="str">
        <f>VLOOKUP(C334,[1]Orders!$A$5:$W$1043,9,0)</f>
        <v>Low</v>
      </c>
    </row>
    <row r="335" spans="3:11" x14ac:dyDescent="0.25">
      <c r="C335" s="61" t="s">
        <v>427</v>
      </c>
      <c r="D335" t="str">
        <f>VLOOKUP(C335,[1]Orders!$A$5:$W$1043,3,0)</f>
        <v>Dennis Pardue</v>
      </c>
      <c r="E335">
        <f>VLOOKUP(C335,[1]Orders!$A$5:$W$1043,23,0)</f>
        <v>886.31999999999982</v>
      </c>
      <c r="F335" t="str">
        <f>VLOOKUP(C335,[1]Orders!$A$5:$W$1043,5,0)</f>
        <v>Melbourne</v>
      </c>
      <c r="G335" t="str">
        <f>VLOOKUP(C335,[1]Orders!$A$5:$W$1043,5,0)</f>
        <v>Melbourne</v>
      </c>
      <c r="H335" t="str">
        <f>VLOOKUP(C335,[1]Orders!$A$5:$W$1043,6,0)</f>
        <v>VIC</v>
      </c>
      <c r="I335" t="str">
        <f>VLOOKUP(C335,[1]Orders!$A$5:$W$1043,7,0)</f>
        <v>Small Business</v>
      </c>
      <c r="J335" t="str">
        <f>VLOOKUP(C335,[1]Orders!$A$5:$W$1043,8,0)</f>
        <v>Connor Betts</v>
      </c>
      <c r="K335" t="str">
        <f>VLOOKUP(C335,[1]Orders!$A$5:$W$1043,9,0)</f>
        <v>Critical</v>
      </c>
    </row>
    <row r="336" spans="3:11" x14ac:dyDescent="0.25">
      <c r="C336" s="61" t="s">
        <v>428</v>
      </c>
      <c r="D336" t="str">
        <f>VLOOKUP(C336,[1]Orders!$A$5:$W$1043,3,0)</f>
        <v>Elpida Rittenbach</v>
      </c>
      <c r="E336">
        <f>VLOOKUP(C336,[1]Orders!$A$5:$W$1043,23,0)</f>
        <v>760.78000000000009</v>
      </c>
      <c r="F336" t="str">
        <f>VLOOKUP(C336,[1]Orders!$A$5:$W$1043,5,0)</f>
        <v>Sydney</v>
      </c>
      <c r="G336" t="str">
        <f>VLOOKUP(C336,[1]Orders!$A$5:$W$1043,5,0)</f>
        <v>Sydney</v>
      </c>
      <c r="H336" t="str">
        <f>VLOOKUP(C336,[1]Orders!$A$5:$W$1043,6,0)</f>
        <v>NSW</v>
      </c>
      <c r="I336" t="str">
        <f>VLOOKUP(C336,[1]Orders!$A$5:$W$1043,7,0)</f>
        <v>Consumer</v>
      </c>
      <c r="J336" t="str">
        <f>VLOOKUP(C336,[1]Orders!$A$5:$W$1043,8,0)</f>
        <v>Charlie Bui</v>
      </c>
      <c r="K336" t="str">
        <f>VLOOKUP(C336,[1]Orders!$A$5:$W$1043,9,0)</f>
        <v>Low</v>
      </c>
    </row>
    <row r="337" spans="3:11" x14ac:dyDescent="0.25">
      <c r="C337" s="61" t="s">
        <v>429</v>
      </c>
      <c r="D337" t="str">
        <f>VLOOKUP(C337,[1]Orders!$A$5:$W$1043,3,0)</f>
        <v>Julie Prescott</v>
      </c>
      <c r="E337">
        <f>VLOOKUP(C337,[1]Orders!$A$5:$W$1043,23,0)</f>
        <v>2274.4199999999996</v>
      </c>
      <c r="F337" t="str">
        <f>VLOOKUP(C337,[1]Orders!$A$5:$W$1043,5,0)</f>
        <v>Sydney</v>
      </c>
      <c r="G337" t="str">
        <f>VLOOKUP(C337,[1]Orders!$A$5:$W$1043,5,0)</f>
        <v>Sydney</v>
      </c>
      <c r="H337" t="str">
        <f>VLOOKUP(C337,[1]Orders!$A$5:$W$1043,6,0)</f>
        <v>NSW</v>
      </c>
      <c r="I337" t="str">
        <f>VLOOKUP(C337,[1]Orders!$A$5:$W$1043,7,0)</f>
        <v>Home Office</v>
      </c>
      <c r="J337" t="str">
        <f>VLOOKUP(C337,[1]Orders!$A$5:$W$1043,8,0)</f>
        <v>Natasha Song</v>
      </c>
      <c r="K337" t="str">
        <f>VLOOKUP(C337,[1]Orders!$A$5:$W$1043,9,0)</f>
        <v>High</v>
      </c>
    </row>
    <row r="338" spans="3:11" x14ac:dyDescent="0.25">
      <c r="C338" s="61" t="s">
        <v>430</v>
      </c>
      <c r="D338" t="str">
        <f>VLOOKUP(C338,[1]Orders!$A$5:$W$1043,3,0)</f>
        <v>Steve Nguyen</v>
      </c>
      <c r="E338">
        <f>VLOOKUP(C338,[1]Orders!$A$5:$W$1043,23,0)</f>
        <v>119.96000000000001</v>
      </c>
      <c r="F338" t="str">
        <f>VLOOKUP(C338,[1]Orders!$A$5:$W$1043,5,0)</f>
        <v>Sydney</v>
      </c>
      <c r="G338" t="str">
        <f>VLOOKUP(C338,[1]Orders!$A$5:$W$1043,5,0)</f>
        <v>Sydney</v>
      </c>
      <c r="H338" t="str">
        <f>VLOOKUP(C338,[1]Orders!$A$5:$W$1043,6,0)</f>
        <v>NSW</v>
      </c>
      <c r="I338" t="str">
        <f>VLOOKUP(C338,[1]Orders!$A$5:$W$1043,7,0)</f>
        <v>Consumer</v>
      </c>
      <c r="J338" t="str">
        <f>VLOOKUP(C338,[1]Orders!$A$5:$W$1043,8,0)</f>
        <v>Leighton Forrest</v>
      </c>
      <c r="K338" t="str">
        <f>VLOOKUP(C338,[1]Orders!$A$5:$W$1043,9,0)</f>
        <v>High</v>
      </c>
    </row>
    <row r="339" spans="3:11" x14ac:dyDescent="0.25">
      <c r="C339" s="61" t="s">
        <v>431</v>
      </c>
      <c r="D339" t="str">
        <f>VLOOKUP(C339,[1]Orders!$A$5:$W$1043,3,0)</f>
        <v>Sandra Glassco</v>
      </c>
      <c r="E339">
        <f>VLOOKUP(C339,[1]Orders!$A$5:$W$1043,23,0)</f>
        <v>51.559999999999995</v>
      </c>
      <c r="F339" t="str">
        <f>VLOOKUP(C339,[1]Orders!$A$5:$W$1043,5,0)</f>
        <v>Melbourne</v>
      </c>
      <c r="G339" t="str">
        <f>VLOOKUP(C339,[1]Orders!$A$5:$W$1043,5,0)</f>
        <v>Melbourne</v>
      </c>
      <c r="H339" t="str">
        <f>VLOOKUP(C339,[1]Orders!$A$5:$W$1043,6,0)</f>
        <v>VIC</v>
      </c>
      <c r="I339" t="str">
        <f>VLOOKUP(C339,[1]Orders!$A$5:$W$1043,7,0)</f>
        <v>Home Office</v>
      </c>
      <c r="J339" t="str">
        <f>VLOOKUP(C339,[1]Orders!$A$5:$W$1043,8,0)</f>
        <v>Connor Betts</v>
      </c>
      <c r="K339" t="str">
        <f>VLOOKUP(C339,[1]Orders!$A$5:$W$1043,9,0)</f>
        <v>Medium</v>
      </c>
    </row>
    <row r="340" spans="3:11" x14ac:dyDescent="0.25">
      <c r="C340" s="61" t="s">
        <v>432</v>
      </c>
      <c r="D340" t="str">
        <f>VLOOKUP(C340,[1]Orders!$A$5:$W$1043,3,0)</f>
        <v>Yana Sorensen</v>
      </c>
      <c r="E340">
        <f>VLOOKUP(C340,[1]Orders!$A$5:$W$1043,23,0)</f>
        <v>145.29999999999998</v>
      </c>
      <c r="F340" t="str">
        <f>VLOOKUP(C340,[1]Orders!$A$5:$W$1043,5,0)</f>
        <v>Sydney</v>
      </c>
      <c r="G340" t="str">
        <f>VLOOKUP(C340,[1]Orders!$A$5:$W$1043,5,0)</f>
        <v>Sydney</v>
      </c>
      <c r="H340" t="str">
        <f>VLOOKUP(C340,[1]Orders!$A$5:$W$1043,6,0)</f>
        <v>NSW</v>
      </c>
      <c r="I340" t="str">
        <f>VLOOKUP(C340,[1]Orders!$A$5:$W$1043,7,0)</f>
        <v>Corporate</v>
      </c>
      <c r="J340" t="str">
        <f>VLOOKUP(C340,[1]Orders!$A$5:$W$1043,8,0)</f>
        <v>Tina Carlton</v>
      </c>
      <c r="K340" t="str">
        <f>VLOOKUP(C340,[1]Orders!$A$5:$W$1043,9,0)</f>
        <v>Low</v>
      </c>
    </row>
    <row r="341" spans="3:11" x14ac:dyDescent="0.25">
      <c r="C341" s="61" t="s">
        <v>433</v>
      </c>
      <c r="D341" t="str">
        <f>VLOOKUP(C341,[1]Orders!$A$5:$W$1043,3,0)</f>
        <v>Pamela Coakley</v>
      </c>
      <c r="E341">
        <f>VLOOKUP(C341,[1]Orders!$A$5:$W$1043,23,0)</f>
        <v>508.56</v>
      </c>
      <c r="F341" t="str">
        <f>VLOOKUP(C341,[1]Orders!$A$5:$W$1043,5,0)</f>
        <v>Melbourne</v>
      </c>
      <c r="G341" t="str">
        <f>VLOOKUP(C341,[1]Orders!$A$5:$W$1043,5,0)</f>
        <v>Melbourne</v>
      </c>
      <c r="H341" t="str">
        <f>VLOOKUP(C341,[1]Orders!$A$5:$W$1043,6,0)</f>
        <v>VIC</v>
      </c>
      <c r="I341" t="str">
        <f>VLOOKUP(C341,[1]Orders!$A$5:$W$1043,7,0)</f>
        <v>Corporate</v>
      </c>
      <c r="J341" t="str">
        <f>VLOOKUP(C341,[1]Orders!$A$5:$W$1043,8,0)</f>
        <v>Yvette Biti</v>
      </c>
      <c r="K341" t="str">
        <f>VLOOKUP(C341,[1]Orders!$A$5:$W$1043,9,0)</f>
        <v>High</v>
      </c>
    </row>
    <row r="342" spans="3:11" x14ac:dyDescent="0.25">
      <c r="C342" s="61" t="s">
        <v>434</v>
      </c>
      <c r="D342" t="str">
        <f>VLOOKUP(C342,[1]Orders!$A$5:$W$1043,3,0)</f>
        <v>Amy Cox</v>
      </c>
      <c r="E342">
        <f>VLOOKUP(C342,[1]Orders!$A$5:$W$1043,23,0)</f>
        <v>96.68</v>
      </c>
      <c r="F342" t="str">
        <f>VLOOKUP(C342,[1]Orders!$A$5:$W$1043,5,0)</f>
        <v>Sydney</v>
      </c>
      <c r="G342" t="str">
        <f>VLOOKUP(C342,[1]Orders!$A$5:$W$1043,5,0)</f>
        <v>Sydney</v>
      </c>
      <c r="H342" t="str">
        <f>VLOOKUP(C342,[1]Orders!$A$5:$W$1043,6,0)</f>
        <v>NSW</v>
      </c>
      <c r="I342" t="str">
        <f>VLOOKUP(C342,[1]Orders!$A$5:$W$1043,7,0)</f>
        <v>Corporate</v>
      </c>
      <c r="J342" t="str">
        <f>VLOOKUP(C342,[1]Orders!$A$5:$W$1043,8,0)</f>
        <v>Aanya Zhang</v>
      </c>
      <c r="K342" t="str">
        <f>VLOOKUP(C342,[1]Orders!$A$5:$W$1043,9,0)</f>
        <v>Critical</v>
      </c>
    </row>
    <row r="343" spans="3:11" x14ac:dyDescent="0.25">
      <c r="C343" s="61" t="s">
        <v>435</v>
      </c>
      <c r="D343" t="str">
        <f>VLOOKUP(C343,[1]Orders!$A$5:$W$1043,3,0)</f>
        <v>Sanjit Jacobs</v>
      </c>
      <c r="E343">
        <f>VLOOKUP(C343,[1]Orders!$A$5:$W$1043,23,0)</f>
        <v>68.78</v>
      </c>
      <c r="F343" t="str">
        <f>VLOOKUP(C343,[1]Orders!$A$5:$W$1043,5,0)</f>
        <v>Melbourne</v>
      </c>
      <c r="G343" t="str">
        <f>VLOOKUP(C343,[1]Orders!$A$5:$W$1043,5,0)</f>
        <v>Melbourne</v>
      </c>
      <c r="H343" t="str">
        <f>VLOOKUP(C343,[1]Orders!$A$5:$W$1043,6,0)</f>
        <v>VIC</v>
      </c>
      <c r="I343" t="str">
        <f>VLOOKUP(C343,[1]Orders!$A$5:$W$1043,7,0)</f>
        <v>Consumer</v>
      </c>
      <c r="J343" t="str">
        <f>VLOOKUP(C343,[1]Orders!$A$5:$W$1043,8,0)</f>
        <v>Yvette Biti</v>
      </c>
      <c r="K343" t="str">
        <f>VLOOKUP(C343,[1]Orders!$A$5:$W$1043,9,0)</f>
        <v>High</v>
      </c>
    </row>
    <row r="344" spans="3:11" x14ac:dyDescent="0.25">
      <c r="C344" s="61" t="s">
        <v>436</v>
      </c>
      <c r="D344" t="str">
        <f>VLOOKUP(C344,[1]Orders!$A$5:$W$1043,3,0)</f>
        <v>Grant Thornton</v>
      </c>
      <c r="E344">
        <f>VLOOKUP(C344,[1]Orders!$A$5:$W$1043,23,0)</f>
        <v>473.85</v>
      </c>
      <c r="F344" t="str">
        <f>VLOOKUP(C344,[1]Orders!$A$5:$W$1043,5,0)</f>
        <v>Sydney</v>
      </c>
      <c r="G344" t="str">
        <f>VLOOKUP(C344,[1]Orders!$A$5:$W$1043,5,0)</f>
        <v>Sydney</v>
      </c>
      <c r="H344" t="str">
        <f>VLOOKUP(C344,[1]Orders!$A$5:$W$1043,6,0)</f>
        <v>NSW</v>
      </c>
      <c r="I344" t="str">
        <f>VLOOKUP(C344,[1]Orders!$A$5:$W$1043,7,0)</f>
        <v>Corporate</v>
      </c>
      <c r="J344" t="str">
        <f>VLOOKUP(C344,[1]Orders!$A$5:$W$1043,8,0)</f>
        <v>Natasha Song</v>
      </c>
      <c r="K344" t="str">
        <f>VLOOKUP(C344,[1]Orders!$A$5:$W$1043,9,0)</f>
        <v>High</v>
      </c>
    </row>
    <row r="345" spans="3:11" x14ac:dyDescent="0.25">
      <c r="C345" s="61" t="s">
        <v>437</v>
      </c>
      <c r="D345" t="str">
        <f>VLOOKUP(C345,[1]Orders!$A$5:$W$1043,3,0)</f>
        <v>Erica Hackney</v>
      </c>
      <c r="E345">
        <f>VLOOKUP(C345,[1]Orders!$A$5:$W$1043,23,0)</f>
        <v>3651.28</v>
      </c>
      <c r="F345" t="str">
        <f>VLOOKUP(C345,[1]Orders!$A$5:$W$1043,5,0)</f>
        <v>Melbourne</v>
      </c>
      <c r="G345" t="str">
        <f>VLOOKUP(C345,[1]Orders!$A$5:$W$1043,5,0)</f>
        <v>Melbourne</v>
      </c>
      <c r="H345" t="str">
        <f>VLOOKUP(C345,[1]Orders!$A$5:$W$1043,6,0)</f>
        <v>VIC</v>
      </c>
      <c r="I345" t="str">
        <f>VLOOKUP(C345,[1]Orders!$A$5:$W$1043,7,0)</f>
        <v>Small Business</v>
      </c>
      <c r="J345" t="str">
        <f>VLOOKUP(C345,[1]Orders!$A$5:$W$1043,8,0)</f>
        <v>Yvette Biti</v>
      </c>
      <c r="K345" t="str">
        <f>VLOOKUP(C345,[1]Orders!$A$5:$W$1043,9,0)</f>
        <v>Medium</v>
      </c>
    </row>
    <row r="346" spans="3:11" x14ac:dyDescent="0.25">
      <c r="C346" s="61" t="s">
        <v>438</v>
      </c>
      <c r="D346" t="str">
        <f>VLOOKUP(C346,[1]Orders!$A$5:$W$1043,3,0)</f>
        <v>Chad McGuire</v>
      </c>
      <c r="E346">
        <f>VLOOKUP(C346,[1]Orders!$A$5:$W$1043,23,0)</f>
        <v>28.4</v>
      </c>
      <c r="F346" t="str">
        <f>VLOOKUP(C346,[1]Orders!$A$5:$W$1043,5,0)</f>
        <v>Sydney</v>
      </c>
      <c r="G346" t="str">
        <f>VLOOKUP(C346,[1]Orders!$A$5:$W$1043,5,0)</f>
        <v>Sydney</v>
      </c>
      <c r="H346" t="str">
        <f>VLOOKUP(C346,[1]Orders!$A$5:$W$1043,6,0)</f>
        <v>NSW</v>
      </c>
      <c r="I346" t="str">
        <f>VLOOKUP(C346,[1]Orders!$A$5:$W$1043,7,0)</f>
        <v>Small Business</v>
      </c>
      <c r="J346" t="str">
        <f>VLOOKUP(C346,[1]Orders!$A$5:$W$1043,8,0)</f>
        <v>Natasha Song</v>
      </c>
      <c r="K346" t="str">
        <f>VLOOKUP(C346,[1]Orders!$A$5:$W$1043,9,0)</f>
        <v>Critical</v>
      </c>
    </row>
    <row r="347" spans="3:11" x14ac:dyDescent="0.25">
      <c r="C347" s="61" t="s">
        <v>439</v>
      </c>
      <c r="D347" t="str">
        <f>VLOOKUP(C347,[1]Orders!$A$5:$W$1043,3,0)</f>
        <v>Pauline Chand</v>
      </c>
      <c r="E347">
        <f>VLOOKUP(C347,[1]Orders!$A$5:$W$1043,23,0)</f>
        <v>133.22</v>
      </c>
      <c r="F347" t="str">
        <f>VLOOKUP(C347,[1]Orders!$A$5:$W$1043,5,0)</f>
        <v>Sydney</v>
      </c>
      <c r="G347" t="str">
        <f>VLOOKUP(C347,[1]Orders!$A$5:$W$1043,5,0)</f>
        <v>Sydney</v>
      </c>
      <c r="H347" t="str">
        <f>VLOOKUP(C347,[1]Orders!$A$5:$W$1043,6,0)</f>
        <v>NSW</v>
      </c>
      <c r="I347" t="str">
        <f>VLOOKUP(C347,[1]Orders!$A$5:$W$1043,7,0)</f>
        <v>Small Business</v>
      </c>
      <c r="J347" t="str">
        <f>VLOOKUP(C347,[1]Orders!$A$5:$W$1043,8,0)</f>
        <v>Samantha Chairs</v>
      </c>
      <c r="K347" t="str">
        <f>VLOOKUP(C347,[1]Orders!$A$5:$W$1043,9,0)</f>
        <v>Not Specified</v>
      </c>
    </row>
    <row r="348" spans="3:11" x14ac:dyDescent="0.25">
      <c r="C348" s="61" t="s">
        <v>440</v>
      </c>
      <c r="D348" t="str">
        <f>VLOOKUP(C348,[1]Orders!$A$5:$W$1043,3,0)</f>
        <v>Bobby Elias</v>
      </c>
      <c r="E348">
        <f>VLOOKUP(C348,[1]Orders!$A$5:$W$1043,23,0)</f>
        <v>86.18</v>
      </c>
      <c r="F348" t="str">
        <f>VLOOKUP(C348,[1]Orders!$A$5:$W$1043,5,0)</f>
        <v>Melbourne</v>
      </c>
      <c r="G348" t="str">
        <f>VLOOKUP(C348,[1]Orders!$A$5:$W$1043,5,0)</f>
        <v>Melbourne</v>
      </c>
      <c r="H348" t="str">
        <f>VLOOKUP(C348,[1]Orders!$A$5:$W$1043,6,0)</f>
        <v>VIC</v>
      </c>
      <c r="I348" t="str">
        <f>VLOOKUP(C348,[1]Orders!$A$5:$W$1043,7,0)</f>
        <v>Small Business</v>
      </c>
      <c r="J348" t="str">
        <f>VLOOKUP(C348,[1]Orders!$A$5:$W$1043,8,0)</f>
        <v>Connor Betts</v>
      </c>
      <c r="K348" t="str">
        <f>VLOOKUP(C348,[1]Orders!$A$5:$W$1043,9,0)</f>
        <v>Not Specified</v>
      </c>
    </row>
    <row r="349" spans="3:11" x14ac:dyDescent="0.25">
      <c r="C349" s="61" t="s">
        <v>441</v>
      </c>
      <c r="D349" t="str">
        <f>VLOOKUP(C349,[1]Orders!$A$5:$W$1043,3,0)</f>
        <v>Gary Hwang</v>
      </c>
      <c r="E349">
        <f>VLOOKUP(C349,[1]Orders!$A$5:$W$1043,23,0)</f>
        <v>221.91</v>
      </c>
      <c r="F349" t="str">
        <f>VLOOKUP(C349,[1]Orders!$A$5:$W$1043,5,0)</f>
        <v>Sydney</v>
      </c>
      <c r="G349" t="str">
        <f>VLOOKUP(C349,[1]Orders!$A$5:$W$1043,5,0)</f>
        <v>Sydney</v>
      </c>
      <c r="H349" t="str">
        <f>VLOOKUP(C349,[1]Orders!$A$5:$W$1043,6,0)</f>
        <v>NSW</v>
      </c>
      <c r="I349" t="str">
        <f>VLOOKUP(C349,[1]Orders!$A$5:$W$1043,7,0)</f>
        <v>Home Office</v>
      </c>
      <c r="J349" t="str">
        <f>VLOOKUP(C349,[1]Orders!$A$5:$W$1043,8,0)</f>
        <v>Charlie Bui</v>
      </c>
      <c r="K349" t="str">
        <f>VLOOKUP(C349,[1]Orders!$A$5:$W$1043,9,0)</f>
        <v>Critical</v>
      </c>
    </row>
    <row r="350" spans="3:11" x14ac:dyDescent="0.25">
      <c r="C350" s="61" t="s">
        <v>442</v>
      </c>
      <c r="D350" t="str">
        <f>VLOOKUP(C350,[1]Orders!$A$5:$W$1043,3,0)</f>
        <v>Lena Radford</v>
      </c>
      <c r="E350">
        <f>VLOOKUP(C350,[1]Orders!$A$5:$W$1043,23,0)</f>
        <v>44.760000000000005</v>
      </c>
      <c r="F350" t="str">
        <f>VLOOKUP(C350,[1]Orders!$A$5:$W$1043,5,0)</f>
        <v>Sydney</v>
      </c>
      <c r="G350" t="str">
        <f>VLOOKUP(C350,[1]Orders!$A$5:$W$1043,5,0)</f>
        <v>Sydney</v>
      </c>
      <c r="H350" t="str">
        <f>VLOOKUP(C350,[1]Orders!$A$5:$W$1043,6,0)</f>
        <v>NSW</v>
      </c>
      <c r="I350" t="str">
        <f>VLOOKUP(C350,[1]Orders!$A$5:$W$1043,7,0)</f>
        <v>Small Business</v>
      </c>
      <c r="J350" t="str">
        <f>VLOOKUP(C350,[1]Orders!$A$5:$W$1043,8,0)</f>
        <v>Tina Carlton</v>
      </c>
      <c r="K350" t="str">
        <f>VLOOKUP(C350,[1]Orders!$A$5:$W$1043,9,0)</f>
        <v>Medium</v>
      </c>
    </row>
    <row r="351" spans="3:11" x14ac:dyDescent="0.25">
      <c r="C351" s="61" t="s">
        <v>443</v>
      </c>
      <c r="D351" t="str">
        <f>VLOOKUP(C351,[1]Orders!$A$5:$W$1043,3,0)</f>
        <v>Edward Nazzal</v>
      </c>
      <c r="E351">
        <f>VLOOKUP(C351,[1]Orders!$A$5:$W$1043,23,0)</f>
        <v>35.42</v>
      </c>
      <c r="F351" t="str">
        <f>VLOOKUP(C351,[1]Orders!$A$5:$W$1043,5,0)</f>
        <v>Sydney</v>
      </c>
      <c r="G351" t="str">
        <f>VLOOKUP(C351,[1]Orders!$A$5:$W$1043,5,0)</f>
        <v>Sydney</v>
      </c>
      <c r="H351" t="str">
        <f>VLOOKUP(C351,[1]Orders!$A$5:$W$1043,6,0)</f>
        <v>NSW</v>
      </c>
      <c r="I351" t="str">
        <f>VLOOKUP(C351,[1]Orders!$A$5:$W$1043,7,0)</f>
        <v>Home Office</v>
      </c>
      <c r="J351" t="str">
        <f>VLOOKUP(C351,[1]Orders!$A$5:$W$1043,8,0)</f>
        <v>Phoebe Gour</v>
      </c>
      <c r="K351" t="str">
        <f>VLOOKUP(C351,[1]Orders!$A$5:$W$1043,9,0)</f>
        <v>Medium</v>
      </c>
    </row>
    <row r="352" spans="3:11" x14ac:dyDescent="0.25">
      <c r="C352" s="61" t="s">
        <v>444</v>
      </c>
      <c r="D352" t="str">
        <f>VLOOKUP(C352,[1]Orders!$A$5:$W$1043,3,0)</f>
        <v>Delfina Latchford</v>
      </c>
      <c r="E352">
        <f>VLOOKUP(C352,[1]Orders!$A$5:$W$1043,23,0)</f>
        <v>352.88</v>
      </c>
      <c r="F352" t="str">
        <f>VLOOKUP(C352,[1]Orders!$A$5:$W$1043,5,0)</f>
        <v>Melbourne</v>
      </c>
      <c r="G352" t="str">
        <f>VLOOKUP(C352,[1]Orders!$A$5:$W$1043,5,0)</f>
        <v>Melbourne</v>
      </c>
      <c r="H352" t="str">
        <f>VLOOKUP(C352,[1]Orders!$A$5:$W$1043,6,0)</f>
        <v>VIC</v>
      </c>
      <c r="I352" t="str">
        <f>VLOOKUP(C352,[1]Orders!$A$5:$W$1043,7,0)</f>
        <v>Small Business</v>
      </c>
      <c r="J352" t="str">
        <f>VLOOKUP(C352,[1]Orders!$A$5:$W$1043,8,0)</f>
        <v>Connor Betts</v>
      </c>
      <c r="K352" t="str">
        <f>VLOOKUP(C352,[1]Orders!$A$5:$W$1043,9,0)</f>
        <v>Critical</v>
      </c>
    </row>
    <row r="353" spans="3:11" x14ac:dyDescent="0.25">
      <c r="C353" s="61" t="s">
        <v>445</v>
      </c>
      <c r="D353" t="str">
        <f>VLOOKUP(C353,[1]Orders!$A$5:$W$1043,3,0)</f>
        <v>Adam Hart</v>
      </c>
      <c r="E353">
        <f>VLOOKUP(C353,[1]Orders!$A$5:$W$1043,23,0)</f>
        <v>3.99</v>
      </c>
      <c r="F353" t="str">
        <f>VLOOKUP(C353,[1]Orders!$A$5:$W$1043,5,0)</f>
        <v>Sydney</v>
      </c>
      <c r="G353" t="str">
        <f>VLOOKUP(C353,[1]Orders!$A$5:$W$1043,5,0)</f>
        <v>Sydney</v>
      </c>
      <c r="H353" t="str">
        <f>VLOOKUP(C353,[1]Orders!$A$5:$W$1043,6,0)</f>
        <v>NSW</v>
      </c>
      <c r="I353" t="str">
        <f>VLOOKUP(C353,[1]Orders!$A$5:$W$1043,7,0)</f>
        <v>Corporate</v>
      </c>
      <c r="J353" t="str">
        <f>VLOOKUP(C353,[1]Orders!$A$5:$W$1043,8,0)</f>
        <v>Phoebe Gour</v>
      </c>
      <c r="K353" t="str">
        <f>VLOOKUP(C353,[1]Orders!$A$5:$W$1043,9,0)</f>
        <v>Not Specified</v>
      </c>
    </row>
    <row r="354" spans="3:11" x14ac:dyDescent="0.25">
      <c r="C354" s="61" t="s">
        <v>446</v>
      </c>
      <c r="D354" t="str">
        <f>VLOOKUP(C354,[1]Orders!$A$5:$W$1043,3,0)</f>
        <v>Rick Duston</v>
      </c>
      <c r="E354">
        <f>VLOOKUP(C354,[1]Orders!$A$5:$W$1043,23,0)</f>
        <v>4216.3899999999994</v>
      </c>
      <c r="F354" t="str">
        <f>VLOOKUP(C354,[1]Orders!$A$5:$W$1043,5,0)</f>
        <v>Sydney</v>
      </c>
      <c r="G354" t="str">
        <f>VLOOKUP(C354,[1]Orders!$A$5:$W$1043,5,0)</f>
        <v>Sydney</v>
      </c>
      <c r="H354" t="str">
        <f>VLOOKUP(C354,[1]Orders!$A$5:$W$1043,6,0)</f>
        <v>NSW</v>
      </c>
      <c r="I354" t="str">
        <f>VLOOKUP(C354,[1]Orders!$A$5:$W$1043,7,0)</f>
        <v>Corporate</v>
      </c>
      <c r="J354" t="str">
        <f>VLOOKUP(C354,[1]Orders!$A$5:$W$1043,8,0)</f>
        <v>Nicholas Fernandes</v>
      </c>
      <c r="K354" t="str">
        <f>VLOOKUP(C354,[1]Orders!$A$5:$W$1043,9,0)</f>
        <v>Medium</v>
      </c>
    </row>
    <row r="355" spans="3:11" x14ac:dyDescent="0.25">
      <c r="C355" s="61" t="s">
        <v>447</v>
      </c>
      <c r="D355" t="str">
        <f>VLOOKUP(C355,[1]Orders!$A$5:$W$1043,3,0)</f>
        <v>Matt Collister</v>
      </c>
      <c r="E355">
        <f>VLOOKUP(C355,[1]Orders!$A$5:$W$1043,23,0)</f>
        <v>512.06000000000006</v>
      </c>
      <c r="F355" t="str">
        <f>VLOOKUP(C355,[1]Orders!$A$5:$W$1043,5,0)</f>
        <v>Sydney</v>
      </c>
      <c r="G355" t="str">
        <f>VLOOKUP(C355,[1]Orders!$A$5:$W$1043,5,0)</f>
        <v>Sydney</v>
      </c>
      <c r="H355" t="str">
        <f>VLOOKUP(C355,[1]Orders!$A$5:$W$1043,6,0)</f>
        <v>NSW</v>
      </c>
      <c r="I355" t="str">
        <f>VLOOKUP(C355,[1]Orders!$A$5:$W$1043,7,0)</f>
        <v>Home Office</v>
      </c>
      <c r="J355" t="str">
        <f>VLOOKUP(C355,[1]Orders!$A$5:$W$1043,8,0)</f>
        <v>Natasha Song</v>
      </c>
      <c r="K355" t="str">
        <f>VLOOKUP(C355,[1]Orders!$A$5:$W$1043,9,0)</f>
        <v>High</v>
      </c>
    </row>
    <row r="356" spans="3:11" x14ac:dyDescent="0.25">
      <c r="C356" s="61" t="s">
        <v>448</v>
      </c>
      <c r="D356" t="str">
        <f>VLOOKUP(C356,[1]Orders!$A$5:$W$1043,3,0)</f>
        <v>Dennis Pardue</v>
      </c>
      <c r="E356">
        <f>VLOOKUP(C356,[1]Orders!$A$5:$W$1043,23,0)</f>
        <v>243.04</v>
      </c>
      <c r="F356" t="str">
        <f>VLOOKUP(C356,[1]Orders!$A$5:$W$1043,5,0)</f>
        <v>Melbourne</v>
      </c>
      <c r="G356" t="str">
        <f>VLOOKUP(C356,[1]Orders!$A$5:$W$1043,5,0)</f>
        <v>Melbourne</v>
      </c>
      <c r="H356" t="str">
        <f>VLOOKUP(C356,[1]Orders!$A$5:$W$1043,6,0)</f>
        <v>VIC</v>
      </c>
      <c r="I356" t="str">
        <f>VLOOKUP(C356,[1]Orders!$A$5:$W$1043,7,0)</f>
        <v>Corporate</v>
      </c>
      <c r="J356" t="str">
        <f>VLOOKUP(C356,[1]Orders!$A$5:$W$1043,8,0)</f>
        <v>Connor Betts</v>
      </c>
      <c r="K356" t="str">
        <f>VLOOKUP(C356,[1]Orders!$A$5:$W$1043,9,0)</f>
        <v>Low</v>
      </c>
    </row>
    <row r="357" spans="3:11" x14ac:dyDescent="0.25">
      <c r="C357" s="61" t="s">
        <v>449</v>
      </c>
      <c r="D357" t="str">
        <f>VLOOKUP(C357,[1]Orders!$A$5:$W$1043,3,0)</f>
        <v>Toby Swindell</v>
      </c>
      <c r="E357">
        <f>VLOOKUP(C357,[1]Orders!$A$5:$W$1043,23,0)</f>
        <v>263.31</v>
      </c>
      <c r="F357" t="str">
        <f>VLOOKUP(C357,[1]Orders!$A$5:$W$1043,5,0)</f>
        <v>Sydney</v>
      </c>
      <c r="G357" t="str">
        <f>VLOOKUP(C357,[1]Orders!$A$5:$W$1043,5,0)</f>
        <v>Sydney</v>
      </c>
      <c r="H357" t="str">
        <f>VLOOKUP(C357,[1]Orders!$A$5:$W$1043,6,0)</f>
        <v>NSW</v>
      </c>
      <c r="I357" t="str">
        <f>VLOOKUP(C357,[1]Orders!$A$5:$W$1043,7,0)</f>
        <v>Small Business</v>
      </c>
      <c r="J357" t="str">
        <f>VLOOKUP(C357,[1]Orders!$A$5:$W$1043,8,0)</f>
        <v>Leighton Forrest</v>
      </c>
      <c r="K357" t="str">
        <f>VLOOKUP(C357,[1]Orders!$A$5:$W$1043,9,0)</f>
        <v>Critical</v>
      </c>
    </row>
    <row r="358" spans="3:11" x14ac:dyDescent="0.25">
      <c r="C358" s="61" t="s">
        <v>450</v>
      </c>
      <c r="D358" t="str">
        <f>VLOOKUP(C358,[1]Orders!$A$5:$W$1043,3,0)</f>
        <v>Troy Blackwell</v>
      </c>
      <c r="E358">
        <f>VLOOKUP(C358,[1]Orders!$A$5:$W$1043,23,0)</f>
        <v>114.19</v>
      </c>
      <c r="F358" t="str">
        <f>VLOOKUP(C358,[1]Orders!$A$5:$W$1043,5,0)</f>
        <v>Sydney</v>
      </c>
      <c r="G358" t="str">
        <f>VLOOKUP(C358,[1]Orders!$A$5:$W$1043,5,0)</f>
        <v>Sydney</v>
      </c>
      <c r="H358" t="str">
        <f>VLOOKUP(C358,[1]Orders!$A$5:$W$1043,6,0)</f>
        <v>NSW</v>
      </c>
      <c r="I358" t="str">
        <f>VLOOKUP(C358,[1]Orders!$A$5:$W$1043,7,0)</f>
        <v>Home Office</v>
      </c>
      <c r="J358" t="str">
        <f>VLOOKUP(C358,[1]Orders!$A$5:$W$1043,8,0)</f>
        <v>Mihael Khan</v>
      </c>
      <c r="K358" t="str">
        <f>VLOOKUP(C358,[1]Orders!$A$5:$W$1043,9,0)</f>
        <v>Critical</v>
      </c>
    </row>
    <row r="359" spans="3:11" x14ac:dyDescent="0.25">
      <c r="C359" s="61" t="s">
        <v>451</v>
      </c>
      <c r="D359" t="str">
        <f>VLOOKUP(C359,[1]Orders!$A$5:$W$1043,3,0)</f>
        <v>Carl Ludwig</v>
      </c>
      <c r="E359">
        <f>VLOOKUP(C359,[1]Orders!$A$5:$W$1043,23,0)</f>
        <v>750.14</v>
      </c>
      <c r="F359" t="str">
        <f>VLOOKUP(C359,[1]Orders!$A$5:$W$1043,5,0)</f>
        <v>Sydney</v>
      </c>
      <c r="G359" t="str">
        <f>VLOOKUP(C359,[1]Orders!$A$5:$W$1043,5,0)</f>
        <v>Sydney</v>
      </c>
      <c r="H359" t="str">
        <f>VLOOKUP(C359,[1]Orders!$A$5:$W$1043,6,0)</f>
        <v>NSW</v>
      </c>
      <c r="I359" t="str">
        <f>VLOOKUP(C359,[1]Orders!$A$5:$W$1043,7,0)</f>
        <v>Corporate</v>
      </c>
      <c r="J359" t="str">
        <f>VLOOKUP(C359,[1]Orders!$A$5:$W$1043,8,0)</f>
        <v>Leighton Forrest</v>
      </c>
      <c r="K359" t="str">
        <f>VLOOKUP(C359,[1]Orders!$A$5:$W$1043,9,0)</f>
        <v>Not Specified</v>
      </c>
    </row>
    <row r="360" spans="3:11" x14ac:dyDescent="0.25">
      <c r="C360" s="61" t="s">
        <v>452</v>
      </c>
      <c r="D360" t="str">
        <f>VLOOKUP(C360,[1]Orders!$A$5:$W$1043,3,0)</f>
        <v>Chad Cunningham</v>
      </c>
      <c r="E360">
        <f>VLOOKUP(C360,[1]Orders!$A$5:$W$1043,23,0)</f>
        <v>749.16</v>
      </c>
      <c r="F360" t="str">
        <f>VLOOKUP(C360,[1]Orders!$A$5:$W$1043,5,0)</f>
        <v>Melbourne</v>
      </c>
      <c r="G360" t="str">
        <f>VLOOKUP(C360,[1]Orders!$A$5:$W$1043,5,0)</f>
        <v>Melbourne</v>
      </c>
      <c r="H360" t="str">
        <f>VLOOKUP(C360,[1]Orders!$A$5:$W$1043,6,0)</f>
        <v>VIC</v>
      </c>
      <c r="I360" t="str">
        <f>VLOOKUP(C360,[1]Orders!$A$5:$W$1043,7,0)</f>
        <v>Small Business</v>
      </c>
      <c r="J360" t="str">
        <f>VLOOKUP(C360,[1]Orders!$A$5:$W$1043,8,0)</f>
        <v>Yvette Biti</v>
      </c>
      <c r="K360" t="str">
        <f>VLOOKUP(C360,[1]Orders!$A$5:$W$1043,9,0)</f>
        <v>Not Specified</v>
      </c>
    </row>
    <row r="361" spans="3:11" x14ac:dyDescent="0.25">
      <c r="C361" s="61" t="s">
        <v>453</v>
      </c>
      <c r="D361" t="str">
        <f>VLOOKUP(C361,[1]Orders!$A$5:$W$1043,3,0)</f>
        <v>Michael Paige</v>
      </c>
      <c r="E361">
        <f>VLOOKUP(C361,[1]Orders!$A$5:$W$1043,23,0)</f>
        <v>145.09</v>
      </c>
      <c r="F361" t="str">
        <f>VLOOKUP(C361,[1]Orders!$A$5:$W$1043,5,0)</f>
        <v>Melbourne</v>
      </c>
      <c r="G361" t="str">
        <f>VLOOKUP(C361,[1]Orders!$A$5:$W$1043,5,0)</f>
        <v>Melbourne</v>
      </c>
      <c r="H361" t="str">
        <f>VLOOKUP(C361,[1]Orders!$A$5:$W$1043,6,0)</f>
        <v>VIC</v>
      </c>
      <c r="I361" t="str">
        <f>VLOOKUP(C361,[1]Orders!$A$5:$W$1043,7,0)</f>
        <v>Small Business</v>
      </c>
      <c r="J361" t="str">
        <f>VLOOKUP(C361,[1]Orders!$A$5:$W$1043,8,0)</f>
        <v>Connor Betts</v>
      </c>
      <c r="K361" t="str">
        <f>VLOOKUP(C361,[1]Orders!$A$5:$W$1043,9,0)</f>
        <v>Critical</v>
      </c>
    </row>
    <row r="362" spans="3:11" x14ac:dyDescent="0.25">
      <c r="C362" s="61" t="s">
        <v>454</v>
      </c>
      <c r="D362" t="str">
        <f>VLOOKUP(C362,[1]Orders!$A$5:$W$1043,3,0)</f>
        <v>Justin Ellison</v>
      </c>
      <c r="E362">
        <f>VLOOKUP(C362,[1]Orders!$A$5:$W$1043,23,0)</f>
        <v>16.329999999999998</v>
      </c>
      <c r="F362" t="str">
        <f>VLOOKUP(C362,[1]Orders!$A$5:$W$1043,5,0)</f>
        <v>Sydney</v>
      </c>
      <c r="G362" t="str">
        <f>VLOOKUP(C362,[1]Orders!$A$5:$W$1043,5,0)</f>
        <v>Sydney</v>
      </c>
      <c r="H362" t="str">
        <f>VLOOKUP(C362,[1]Orders!$A$5:$W$1043,6,0)</f>
        <v>NSW</v>
      </c>
      <c r="I362" t="str">
        <f>VLOOKUP(C362,[1]Orders!$A$5:$W$1043,7,0)</f>
        <v>Home Office</v>
      </c>
      <c r="J362" t="str">
        <f>VLOOKUP(C362,[1]Orders!$A$5:$W$1043,8,0)</f>
        <v>Charlie Bui</v>
      </c>
      <c r="K362" t="str">
        <f>VLOOKUP(C362,[1]Orders!$A$5:$W$1043,9,0)</f>
        <v>Low</v>
      </c>
    </row>
    <row r="363" spans="3:11" x14ac:dyDescent="0.25">
      <c r="C363" s="61" t="s">
        <v>455</v>
      </c>
      <c r="D363" t="str">
        <f>VLOOKUP(C363,[1]Orders!$A$5:$W$1043,3,0)</f>
        <v>Dionis Lloyd</v>
      </c>
      <c r="E363">
        <f>VLOOKUP(C363,[1]Orders!$A$5:$W$1043,23,0)</f>
        <v>538.74</v>
      </c>
      <c r="F363" t="str">
        <f>VLOOKUP(C363,[1]Orders!$A$5:$W$1043,5,0)</f>
        <v>Sydney</v>
      </c>
      <c r="G363" t="str">
        <f>VLOOKUP(C363,[1]Orders!$A$5:$W$1043,5,0)</f>
        <v>Sydney</v>
      </c>
      <c r="H363" t="str">
        <f>VLOOKUP(C363,[1]Orders!$A$5:$W$1043,6,0)</f>
        <v>NSW</v>
      </c>
      <c r="I363" t="str">
        <f>VLOOKUP(C363,[1]Orders!$A$5:$W$1043,7,0)</f>
        <v>Small Business</v>
      </c>
      <c r="J363" t="str">
        <f>VLOOKUP(C363,[1]Orders!$A$5:$W$1043,8,0)</f>
        <v>Mihael Khan</v>
      </c>
      <c r="K363" t="str">
        <f>VLOOKUP(C363,[1]Orders!$A$5:$W$1043,9,0)</f>
        <v>High</v>
      </c>
    </row>
    <row r="364" spans="3:11" x14ac:dyDescent="0.25">
      <c r="C364" s="61" t="s">
        <v>456</v>
      </c>
      <c r="D364" t="str">
        <f>VLOOKUP(C364,[1]Orders!$A$5:$W$1043,3,0)</f>
        <v>Ralph Knight</v>
      </c>
      <c r="E364">
        <f>VLOOKUP(C364,[1]Orders!$A$5:$W$1043,23,0)</f>
        <v>139.07</v>
      </c>
      <c r="F364" t="str">
        <f>VLOOKUP(C364,[1]Orders!$A$5:$W$1043,5,0)</f>
        <v>Sydney</v>
      </c>
      <c r="G364" t="str">
        <f>VLOOKUP(C364,[1]Orders!$A$5:$W$1043,5,0)</f>
        <v>Sydney</v>
      </c>
      <c r="H364" t="str">
        <f>VLOOKUP(C364,[1]Orders!$A$5:$W$1043,6,0)</f>
        <v>NSW</v>
      </c>
      <c r="I364" t="str">
        <f>VLOOKUP(C364,[1]Orders!$A$5:$W$1043,7,0)</f>
        <v>Consumer</v>
      </c>
      <c r="J364" t="str">
        <f>VLOOKUP(C364,[1]Orders!$A$5:$W$1043,8,0)</f>
        <v>Charlie Bui</v>
      </c>
      <c r="K364" t="str">
        <f>VLOOKUP(C364,[1]Orders!$A$5:$W$1043,9,0)</f>
        <v>Not Specified</v>
      </c>
    </row>
    <row r="365" spans="3:11" x14ac:dyDescent="0.25">
      <c r="C365" s="61" t="s">
        <v>457</v>
      </c>
      <c r="D365" t="str">
        <f>VLOOKUP(C365,[1]Orders!$A$5:$W$1043,3,0)</f>
        <v>Roland Murray</v>
      </c>
      <c r="E365">
        <f>VLOOKUP(C365,[1]Orders!$A$5:$W$1043,23,0)</f>
        <v>11.26</v>
      </c>
      <c r="F365" t="str">
        <f>VLOOKUP(C365,[1]Orders!$A$5:$W$1043,5,0)</f>
        <v>Sydney</v>
      </c>
      <c r="G365" t="str">
        <f>VLOOKUP(C365,[1]Orders!$A$5:$W$1043,5,0)</f>
        <v>Sydney</v>
      </c>
      <c r="H365" t="str">
        <f>VLOOKUP(C365,[1]Orders!$A$5:$W$1043,6,0)</f>
        <v>NSW</v>
      </c>
      <c r="I365" t="str">
        <f>VLOOKUP(C365,[1]Orders!$A$5:$W$1043,7,0)</f>
        <v>Home Office</v>
      </c>
      <c r="J365" t="str">
        <f>VLOOKUP(C365,[1]Orders!$A$5:$W$1043,8,0)</f>
        <v>Nicholas Fernandes</v>
      </c>
      <c r="K365" t="str">
        <f>VLOOKUP(C365,[1]Orders!$A$5:$W$1043,9,0)</f>
        <v>Not Specified</v>
      </c>
    </row>
    <row r="366" spans="3:11" x14ac:dyDescent="0.25">
      <c r="C366" s="61" t="s">
        <v>458</v>
      </c>
      <c r="D366" t="str">
        <f>VLOOKUP(C366,[1]Orders!$A$5:$W$1043,3,0)</f>
        <v>Anne Pryor</v>
      </c>
      <c r="E366">
        <f>VLOOKUP(C366,[1]Orders!$A$5:$W$1043,23,0)</f>
        <v>1811.59</v>
      </c>
      <c r="F366" t="str">
        <f>VLOOKUP(C366,[1]Orders!$A$5:$W$1043,5,0)</f>
        <v>Sydney</v>
      </c>
      <c r="G366" t="str">
        <f>VLOOKUP(C366,[1]Orders!$A$5:$W$1043,5,0)</f>
        <v>Sydney</v>
      </c>
      <c r="H366" t="str">
        <f>VLOOKUP(C366,[1]Orders!$A$5:$W$1043,6,0)</f>
        <v>NSW</v>
      </c>
      <c r="I366" t="str">
        <f>VLOOKUP(C366,[1]Orders!$A$5:$W$1043,7,0)</f>
        <v>Consumer</v>
      </c>
      <c r="J366" t="str">
        <f>VLOOKUP(C366,[1]Orders!$A$5:$W$1043,8,0)</f>
        <v>Aanya Zhang</v>
      </c>
      <c r="K366" t="str">
        <f>VLOOKUP(C366,[1]Orders!$A$5:$W$1043,9,0)</f>
        <v>Critical</v>
      </c>
    </row>
    <row r="367" spans="3:11" x14ac:dyDescent="0.25">
      <c r="C367" s="61" t="s">
        <v>459</v>
      </c>
      <c r="D367" t="str">
        <f>VLOOKUP(C367,[1]Orders!$A$5:$W$1043,3,0)</f>
        <v>Rob Haberlin</v>
      </c>
      <c r="E367">
        <f>VLOOKUP(C367,[1]Orders!$A$5:$W$1043,23,0)</f>
        <v>823.6</v>
      </c>
      <c r="F367" t="str">
        <f>VLOOKUP(C367,[1]Orders!$A$5:$W$1043,5,0)</f>
        <v>Melbourne</v>
      </c>
      <c r="G367" t="str">
        <f>VLOOKUP(C367,[1]Orders!$A$5:$W$1043,5,0)</f>
        <v>Melbourne</v>
      </c>
      <c r="H367" t="str">
        <f>VLOOKUP(C367,[1]Orders!$A$5:$W$1043,6,0)</f>
        <v>VIC</v>
      </c>
      <c r="I367" t="str">
        <f>VLOOKUP(C367,[1]Orders!$A$5:$W$1043,7,0)</f>
        <v>Corporate</v>
      </c>
      <c r="J367" t="str">
        <f>VLOOKUP(C367,[1]Orders!$A$5:$W$1043,8,0)</f>
        <v>Connor Betts</v>
      </c>
      <c r="K367" t="str">
        <f>VLOOKUP(C367,[1]Orders!$A$5:$W$1043,9,0)</f>
        <v>Medium</v>
      </c>
    </row>
    <row r="368" spans="3:11" x14ac:dyDescent="0.25">
      <c r="C368" s="61" t="s">
        <v>460</v>
      </c>
      <c r="D368" t="str">
        <f>VLOOKUP(C368,[1]Orders!$A$5:$W$1043,3,0)</f>
        <v>Patrick Bzostek</v>
      </c>
      <c r="E368">
        <f>VLOOKUP(C368,[1]Orders!$A$5:$W$1043,23,0)</f>
        <v>150.51</v>
      </c>
      <c r="F368" t="str">
        <f>VLOOKUP(C368,[1]Orders!$A$5:$W$1043,5,0)</f>
        <v>Sydney</v>
      </c>
      <c r="G368" t="str">
        <f>VLOOKUP(C368,[1]Orders!$A$5:$W$1043,5,0)</f>
        <v>Sydney</v>
      </c>
      <c r="H368" t="str">
        <f>VLOOKUP(C368,[1]Orders!$A$5:$W$1043,6,0)</f>
        <v>NSW</v>
      </c>
      <c r="I368" t="str">
        <f>VLOOKUP(C368,[1]Orders!$A$5:$W$1043,7,0)</f>
        <v>Consumer</v>
      </c>
      <c r="J368" t="str">
        <f>VLOOKUP(C368,[1]Orders!$A$5:$W$1043,8,0)</f>
        <v>Preston Senome</v>
      </c>
      <c r="K368" t="str">
        <f>VLOOKUP(C368,[1]Orders!$A$5:$W$1043,9,0)</f>
        <v>Critical</v>
      </c>
    </row>
    <row r="369" spans="3:11" x14ac:dyDescent="0.25">
      <c r="C369" s="61" t="s">
        <v>461</v>
      </c>
      <c r="D369" t="str">
        <f>VLOOKUP(C369,[1]Orders!$A$5:$W$1043,3,0)</f>
        <v>Alex Grayson</v>
      </c>
      <c r="E369">
        <f>VLOOKUP(C369,[1]Orders!$A$5:$W$1043,23,0)</f>
        <v>161.29000000000002</v>
      </c>
      <c r="F369" t="str">
        <f>VLOOKUP(C369,[1]Orders!$A$5:$W$1043,5,0)</f>
        <v>Sydney</v>
      </c>
      <c r="G369" t="str">
        <f>VLOOKUP(C369,[1]Orders!$A$5:$W$1043,5,0)</f>
        <v>Sydney</v>
      </c>
      <c r="H369" t="str">
        <f>VLOOKUP(C369,[1]Orders!$A$5:$W$1043,6,0)</f>
        <v>NSW</v>
      </c>
      <c r="I369" t="str">
        <f>VLOOKUP(C369,[1]Orders!$A$5:$W$1043,7,0)</f>
        <v>Consumer</v>
      </c>
      <c r="J369" t="str">
        <f>VLOOKUP(C369,[1]Orders!$A$5:$W$1043,8,0)</f>
        <v>Radhya Staples</v>
      </c>
      <c r="K369" t="str">
        <f>VLOOKUP(C369,[1]Orders!$A$5:$W$1043,9,0)</f>
        <v>Medium</v>
      </c>
    </row>
    <row r="370" spans="3:11" x14ac:dyDescent="0.25">
      <c r="C370" s="61" t="s">
        <v>462</v>
      </c>
      <c r="D370" t="str">
        <f>VLOOKUP(C370,[1]Orders!$A$5:$W$1043,3,0)</f>
        <v>Jesus Ocampo</v>
      </c>
      <c r="E370">
        <f>VLOOKUP(C370,[1]Orders!$A$5:$W$1043,23,0)</f>
        <v>113.8</v>
      </c>
      <c r="F370" t="str">
        <f>VLOOKUP(C370,[1]Orders!$A$5:$W$1043,5,0)</f>
        <v>Melbourne</v>
      </c>
      <c r="G370" t="str">
        <f>VLOOKUP(C370,[1]Orders!$A$5:$W$1043,5,0)</f>
        <v>Melbourne</v>
      </c>
      <c r="H370" t="str">
        <f>VLOOKUP(C370,[1]Orders!$A$5:$W$1043,6,0)</f>
        <v>VIC</v>
      </c>
      <c r="I370" t="str">
        <f>VLOOKUP(C370,[1]Orders!$A$5:$W$1043,7,0)</f>
        <v>Small Business</v>
      </c>
      <c r="J370" t="str">
        <f>VLOOKUP(C370,[1]Orders!$A$5:$W$1043,8,0)</f>
        <v>Yvette Biti</v>
      </c>
      <c r="K370" t="str">
        <f>VLOOKUP(C370,[1]Orders!$A$5:$W$1043,9,0)</f>
        <v>Not Specified</v>
      </c>
    </row>
    <row r="371" spans="3:11" x14ac:dyDescent="0.25">
      <c r="C371" s="61" t="s">
        <v>463</v>
      </c>
      <c r="D371" t="str">
        <f>VLOOKUP(C371,[1]Orders!$A$5:$W$1043,3,0)</f>
        <v>Steve Chapman</v>
      </c>
      <c r="E371">
        <f>VLOOKUP(C371,[1]Orders!$A$5:$W$1043,23,0)</f>
        <v>62.059999999999995</v>
      </c>
      <c r="F371" t="str">
        <f>VLOOKUP(C371,[1]Orders!$A$5:$W$1043,5,0)</f>
        <v>Sydney</v>
      </c>
      <c r="G371" t="str">
        <f>VLOOKUP(C371,[1]Orders!$A$5:$W$1043,5,0)</f>
        <v>Sydney</v>
      </c>
      <c r="H371" t="str">
        <f>VLOOKUP(C371,[1]Orders!$A$5:$W$1043,6,0)</f>
        <v>NSW</v>
      </c>
      <c r="I371" t="str">
        <f>VLOOKUP(C371,[1]Orders!$A$5:$W$1043,7,0)</f>
        <v>Corporate</v>
      </c>
      <c r="J371" t="str">
        <f>VLOOKUP(C371,[1]Orders!$A$5:$W$1043,8,0)</f>
        <v>Preston Senome</v>
      </c>
      <c r="K371" t="str">
        <f>VLOOKUP(C371,[1]Orders!$A$5:$W$1043,9,0)</f>
        <v>Low</v>
      </c>
    </row>
    <row r="372" spans="3:11" x14ac:dyDescent="0.25">
      <c r="C372" s="61" t="s">
        <v>464</v>
      </c>
      <c r="D372" t="str">
        <f>VLOOKUP(C372,[1]Orders!$A$5:$W$1043,3,0)</f>
        <v>Mike Kennedy</v>
      </c>
      <c r="E372">
        <f>VLOOKUP(C372,[1]Orders!$A$5:$W$1043,23,0)</f>
        <v>44.71</v>
      </c>
      <c r="F372" t="str">
        <f>VLOOKUP(C372,[1]Orders!$A$5:$W$1043,5,0)</f>
        <v>Melbourne</v>
      </c>
      <c r="G372" t="str">
        <f>VLOOKUP(C372,[1]Orders!$A$5:$W$1043,5,0)</f>
        <v>Melbourne</v>
      </c>
      <c r="H372" t="str">
        <f>VLOOKUP(C372,[1]Orders!$A$5:$W$1043,6,0)</f>
        <v>VIC</v>
      </c>
      <c r="I372" t="str">
        <f>VLOOKUP(C372,[1]Orders!$A$5:$W$1043,7,0)</f>
        <v>Corporate</v>
      </c>
      <c r="J372" t="str">
        <f>VLOOKUP(C372,[1]Orders!$A$5:$W$1043,8,0)</f>
        <v>Connor Betts</v>
      </c>
      <c r="K372" t="str">
        <f>VLOOKUP(C372,[1]Orders!$A$5:$W$1043,9,0)</f>
        <v>Critical</v>
      </c>
    </row>
    <row r="373" spans="3:11" x14ac:dyDescent="0.25">
      <c r="C373" s="61" t="s">
        <v>465</v>
      </c>
      <c r="D373" t="str">
        <f>VLOOKUP(C373,[1]Orders!$A$5:$W$1043,3,0)</f>
        <v>Carlos Daly</v>
      </c>
      <c r="E373">
        <f>VLOOKUP(C373,[1]Orders!$A$5:$W$1043,23,0)</f>
        <v>15599.310000000001</v>
      </c>
      <c r="F373" t="str">
        <f>VLOOKUP(C373,[1]Orders!$A$5:$W$1043,5,0)</f>
        <v>Sydney</v>
      </c>
      <c r="G373" t="str">
        <f>VLOOKUP(C373,[1]Orders!$A$5:$W$1043,5,0)</f>
        <v>Sydney</v>
      </c>
      <c r="H373" t="str">
        <f>VLOOKUP(C373,[1]Orders!$A$5:$W$1043,6,0)</f>
        <v>NSW</v>
      </c>
      <c r="I373" t="str">
        <f>VLOOKUP(C373,[1]Orders!$A$5:$W$1043,7,0)</f>
        <v>Home Office</v>
      </c>
      <c r="J373" t="str">
        <f>VLOOKUP(C373,[1]Orders!$A$5:$W$1043,8,0)</f>
        <v>Charlie Bui</v>
      </c>
      <c r="K373" t="str">
        <f>VLOOKUP(C373,[1]Orders!$A$5:$W$1043,9,0)</f>
        <v>Not Specified</v>
      </c>
    </row>
    <row r="374" spans="3:11" x14ac:dyDescent="0.25">
      <c r="C374" s="61" t="s">
        <v>466</v>
      </c>
      <c r="D374" t="str">
        <f>VLOOKUP(C374,[1]Orders!$A$5:$W$1043,3,0)</f>
        <v>Harold Dahlen</v>
      </c>
      <c r="E374">
        <f>VLOOKUP(C374,[1]Orders!$A$5:$W$1043,23,0)</f>
        <v>18024.100000000002</v>
      </c>
      <c r="F374" t="str">
        <f>VLOOKUP(C374,[1]Orders!$A$5:$W$1043,5,0)</f>
        <v>Sydney</v>
      </c>
      <c r="G374" t="str">
        <f>VLOOKUP(C374,[1]Orders!$A$5:$W$1043,5,0)</f>
        <v>Sydney</v>
      </c>
      <c r="H374" t="str">
        <f>VLOOKUP(C374,[1]Orders!$A$5:$W$1043,6,0)</f>
        <v>NSW</v>
      </c>
      <c r="I374" t="str">
        <f>VLOOKUP(C374,[1]Orders!$A$5:$W$1043,7,0)</f>
        <v>Corporate</v>
      </c>
      <c r="J374" t="str">
        <f>VLOOKUP(C374,[1]Orders!$A$5:$W$1043,8,0)</f>
        <v>Tina Carlton</v>
      </c>
      <c r="K374" t="str">
        <f>VLOOKUP(C374,[1]Orders!$A$5:$W$1043,9,0)</f>
        <v>Medium</v>
      </c>
    </row>
    <row r="375" spans="3:11" x14ac:dyDescent="0.25">
      <c r="C375" s="61" t="s">
        <v>467</v>
      </c>
      <c r="D375" t="str">
        <f>VLOOKUP(C375,[1]Orders!$A$5:$W$1043,3,0)</f>
        <v>Brenda Bowman</v>
      </c>
      <c r="E375">
        <f>VLOOKUP(C375,[1]Orders!$A$5:$W$1043,23,0)</f>
        <v>7.57</v>
      </c>
      <c r="F375" t="str">
        <f>VLOOKUP(C375,[1]Orders!$A$5:$W$1043,5,0)</f>
        <v>Sydney</v>
      </c>
      <c r="G375" t="str">
        <f>VLOOKUP(C375,[1]Orders!$A$5:$W$1043,5,0)</f>
        <v>Sydney</v>
      </c>
      <c r="H375" t="str">
        <f>VLOOKUP(C375,[1]Orders!$A$5:$W$1043,6,0)</f>
        <v>NSW</v>
      </c>
      <c r="I375" t="str">
        <f>VLOOKUP(C375,[1]Orders!$A$5:$W$1043,7,0)</f>
        <v>Small Business</v>
      </c>
      <c r="J375" t="str">
        <f>VLOOKUP(C375,[1]Orders!$A$5:$W$1043,8,0)</f>
        <v>Tina Carlton</v>
      </c>
      <c r="K375" t="str">
        <f>VLOOKUP(C375,[1]Orders!$A$5:$W$1043,9,0)</f>
        <v>Medium</v>
      </c>
    </row>
    <row r="376" spans="3:11" x14ac:dyDescent="0.25">
      <c r="C376" s="61" t="s">
        <v>468</v>
      </c>
      <c r="D376" t="str">
        <f>VLOOKUP(C376,[1]Orders!$A$5:$W$1043,3,0)</f>
        <v>Xylona Price</v>
      </c>
      <c r="E376">
        <f>VLOOKUP(C376,[1]Orders!$A$5:$W$1043,23,0)</f>
        <v>1121.78</v>
      </c>
      <c r="F376" t="str">
        <f>VLOOKUP(C376,[1]Orders!$A$5:$W$1043,5,0)</f>
        <v>Sydney</v>
      </c>
      <c r="G376" t="str">
        <f>VLOOKUP(C376,[1]Orders!$A$5:$W$1043,5,0)</f>
        <v>Sydney</v>
      </c>
      <c r="H376" t="str">
        <f>VLOOKUP(C376,[1]Orders!$A$5:$W$1043,6,0)</f>
        <v>NSW</v>
      </c>
      <c r="I376" t="str">
        <f>VLOOKUP(C376,[1]Orders!$A$5:$W$1043,7,0)</f>
        <v>Corporate</v>
      </c>
      <c r="J376" t="str">
        <f>VLOOKUP(C376,[1]Orders!$A$5:$W$1043,8,0)</f>
        <v>Phoebe Gour</v>
      </c>
      <c r="K376" t="str">
        <f>VLOOKUP(C376,[1]Orders!$A$5:$W$1043,9,0)</f>
        <v>High</v>
      </c>
    </row>
    <row r="377" spans="3:11" x14ac:dyDescent="0.25">
      <c r="C377" s="61" t="s">
        <v>469</v>
      </c>
      <c r="D377" t="str">
        <f>VLOOKUP(C377,[1]Orders!$A$5:$W$1043,3,0)</f>
        <v>Kelly Collister</v>
      </c>
      <c r="E377">
        <f>VLOOKUP(C377,[1]Orders!$A$5:$W$1043,23,0)</f>
        <v>91.160000000000011</v>
      </c>
      <c r="F377" t="str">
        <f>VLOOKUP(C377,[1]Orders!$A$5:$W$1043,5,0)</f>
        <v>Melbourne</v>
      </c>
      <c r="G377" t="str">
        <f>VLOOKUP(C377,[1]Orders!$A$5:$W$1043,5,0)</f>
        <v>Melbourne</v>
      </c>
      <c r="H377" t="str">
        <f>VLOOKUP(C377,[1]Orders!$A$5:$W$1043,6,0)</f>
        <v>VIC</v>
      </c>
      <c r="I377" t="str">
        <f>VLOOKUP(C377,[1]Orders!$A$5:$W$1043,7,0)</f>
        <v>Consumer</v>
      </c>
      <c r="J377" t="str">
        <f>VLOOKUP(C377,[1]Orders!$A$5:$W$1043,8,0)</f>
        <v>Yvette Biti</v>
      </c>
      <c r="K377" t="str">
        <f>VLOOKUP(C377,[1]Orders!$A$5:$W$1043,9,0)</f>
        <v>High</v>
      </c>
    </row>
    <row r="378" spans="3:11" x14ac:dyDescent="0.25">
      <c r="C378" s="61" t="s">
        <v>470</v>
      </c>
      <c r="D378" t="str">
        <f>VLOOKUP(C378,[1]Orders!$A$5:$W$1043,3,0)</f>
        <v>Dean Percer</v>
      </c>
      <c r="E378">
        <f>VLOOKUP(C378,[1]Orders!$A$5:$W$1043,23,0)</f>
        <v>229.67000000000002</v>
      </c>
      <c r="F378" t="str">
        <f>VLOOKUP(C378,[1]Orders!$A$5:$W$1043,5,0)</f>
        <v>Melbourne</v>
      </c>
      <c r="G378" t="str">
        <f>VLOOKUP(C378,[1]Orders!$A$5:$W$1043,5,0)</f>
        <v>Melbourne</v>
      </c>
      <c r="H378" t="str">
        <f>VLOOKUP(C378,[1]Orders!$A$5:$W$1043,6,0)</f>
        <v>VIC</v>
      </c>
      <c r="I378" t="str">
        <f>VLOOKUP(C378,[1]Orders!$A$5:$W$1043,7,0)</f>
        <v>Home Office</v>
      </c>
      <c r="J378" t="str">
        <f>VLOOKUP(C378,[1]Orders!$A$5:$W$1043,8,0)</f>
        <v>Yvette Biti</v>
      </c>
      <c r="K378" t="str">
        <f>VLOOKUP(C378,[1]Orders!$A$5:$W$1043,9,0)</f>
        <v>Medium</v>
      </c>
    </row>
    <row r="379" spans="3:11" x14ac:dyDescent="0.25">
      <c r="C379" s="61" t="s">
        <v>471</v>
      </c>
      <c r="D379" t="str">
        <f>VLOOKUP(C379,[1]Orders!$A$5:$W$1043,3,0)</f>
        <v>Anemone Ratner</v>
      </c>
      <c r="E379">
        <f>VLOOKUP(C379,[1]Orders!$A$5:$W$1043,23,0)</f>
        <v>136.04</v>
      </c>
      <c r="F379" t="str">
        <f>VLOOKUP(C379,[1]Orders!$A$5:$W$1043,5,0)</f>
        <v>Sydney</v>
      </c>
      <c r="G379" t="str">
        <f>VLOOKUP(C379,[1]Orders!$A$5:$W$1043,5,0)</f>
        <v>Sydney</v>
      </c>
      <c r="H379" t="str">
        <f>VLOOKUP(C379,[1]Orders!$A$5:$W$1043,6,0)</f>
        <v>NSW</v>
      </c>
      <c r="I379" t="str">
        <f>VLOOKUP(C379,[1]Orders!$A$5:$W$1043,7,0)</f>
        <v>Small Business</v>
      </c>
      <c r="J379" t="str">
        <f>VLOOKUP(C379,[1]Orders!$A$5:$W$1043,8,0)</f>
        <v>Stevie Bacata</v>
      </c>
      <c r="K379" t="str">
        <f>VLOOKUP(C379,[1]Orders!$A$5:$W$1043,9,0)</f>
        <v>Critical</v>
      </c>
    </row>
    <row r="380" spans="3:11" x14ac:dyDescent="0.25">
      <c r="C380" s="61" t="s">
        <v>472</v>
      </c>
      <c r="D380" t="str">
        <f>VLOOKUP(C380,[1]Orders!$A$5:$W$1043,3,0)</f>
        <v>Brian Stugart</v>
      </c>
      <c r="E380">
        <f>VLOOKUP(C380,[1]Orders!$A$5:$W$1043,23,0)</f>
        <v>6747.49</v>
      </c>
      <c r="F380" t="str">
        <f>VLOOKUP(C380,[1]Orders!$A$5:$W$1043,5,0)</f>
        <v>Sydney</v>
      </c>
      <c r="G380" t="str">
        <f>VLOOKUP(C380,[1]Orders!$A$5:$W$1043,5,0)</f>
        <v>Sydney</v>
      </c>
      <c r="H380" t="str">
        <f>VLOOKUP(C380,[1]Orders!$A$5:$W$1043,6,0)</f>
        <v>NSW</v>
      </c>
      <c r="I380" t="str">
        <f>VLOOKUP(C380,[1]Orders!$A$5:$W$1043,7,0)</f>
        <v>Consumer</v>
      </c>
      <c r="J380" t="str">
        <f>VLOOKUP(C380,[1]Orders!$A$5:$W$1043,8,0)</f>
        <v>Charlie Bui</v>
      </c>
      <c r="K380" t="str">
        <f>VLOOKUP(C380,[1]Orders!$A$5:$W$1043,9,0)</f>
        <v>Low</v>
      </c>
    </row>
    <row r="381" spans="3:11" x14ac:dyDescent="0.25">
      <c r="C381" s="61" t="s">
        <v>473</v>
      </c>
      <c r="D381" t="str">
        <f>VLOOKUP(C381,[1]Orders!$A$5:$W$1043,3,0)</f>
        <v>Michelle Tran</v>
      </c>
      <c r="E381">
        <f>VLOOKUP(C381,[1]Orders!$A$5:$W$1043,23,0)</f>
        <v>299.04000000000002</v>
      </c>
      <c r="F381" t="str">
        <f>VLOOKUP(C381,[1]Orders!$A$5:$W$1043,5,0)</f>
        <v>Sydney</v>
      </c>
      <c r="G381" t="str">
        <f>VLOOKUP(C381,[1]Orders!$A$5:$W$1043,5,0)</f>
        <v>Sydney</v>
      </c>
      <c r="H381" t="str">
        <f>VLOOKUP(C381,[1]Orders!$A$5:$W$1043,6,0)</f>
        <v>NSW</v>
      </c>
      <c r="I381" t="str">
        <f>VLOOKUP(C381,[1]Orders!$A$5:$W$1043,7,0)</f>
        <v>Corporate</v>
      </c>
      <c r="J381" t="str">
        <f>VLOOKUP(C381,[1]Orders!$A$5:$W$1043,8,0)</f>
        <v>Mihael Khan</v>
      </c>
      <c r="K381" t="str">
        <f>VLOOKUP(C381,[1]Orders!$A$5:$W$1043,9,0)</f>
        <v>Not Specified</v>
      </c>
    </row>
    <row r="382" spans="3:11" x14ac:dyDescent="0.25">
      <c r="C382" s="61" t="s">
        <v>474</v>
      </c>
      <c r="D382" t="str">
        <f>VLOOKUP(C382,[1]Orders!$A$5:$W$1043,3,0)</f>
        <v>Vivek Sundaresam</v>
      </c>
      <c r="E382">
        <f>VLOOKUP(C382,[1]Orders!$A$5:$W$1043,23,0)</f>
        <v>55.280000000000008</v>
      </c>
      <c r="F382" t="str">
        <f>VLOOKUP(C382,[1]Orders!$A$5:$W$1043,5,0)</f>
        <v>Sydney</v>
      </c>
      <c r="G382" t="str">
        <f>VLOOKUP(C382,[1]Orders!$A$5:$W$1043,5,0)</f>
        <v>Sydney</v>
      </c>
      <c r="H382" t="str">
        <f>VLOOKUP(C382,[1]Orders!$A$5:$W$1043,6,0)</f>
        <v>NSW</v>
      </c>
      <c r="I382" t="str">
        <f>VLOOKUP(C382,[1]Orders!$A$5:$W$1043,7,0)</f>
        <v>Home Office</v>
      </c>
      <c r="J382" t="str">
        <f>VLOOKUP(C382,[1]Orders!$A$5:$W$1043,8,0)</f>
        <v>Tina Carlton</v>
      </c>
      <c r="K382" t="str">
        <f>VLOOKUP(C382,[1]Orders!$A$5:$W$1043,9,0)</f>
        <v>Critical</v>
      </c>
    </row>
    <row r="383" spans="3:11" x14ac:dyDescent="0.25">
      <c r="C383" s="61" t="s">
        <v>475</v>
      </c>
      <c r="D383" t="str">
        <f>VLOOKUP(C383,[1]Orders!$A$5:$W$1043,3,0)</f>
        <v>Liz Willingham</v>
      </c>
      <c r="E383">
        <f>VLOOKUP(C383,[1]Orders!$A$5:$W$1043,23,0)</f>
        <v>137.15</v>
      </c>
      <c r="F383" t="str">
        <f>VLOOKUP(C383,[1]Orders!$A$5:$W$1043,5,0)</f>
        <v>Melbourne</v>
      </c>
      <c r="G383" t="str">
        <f>VLOOKUP(C383,[1]Orders!$A$5:$W$1043,5,0)</f>
        <v>Melbourne</v>
      </c>
      <c r="H383" t="str">
        <f>VLOOKUP(C383,[1]Orders!$A$5:$W$1043,6,0)</f>
        <v>VIC</v>
      </c>
      <c r="I383" t="str">
        <f>VLOOKUP(C383,[1]Orders!$A$5:$W$1043,7,0)</f>
        <v>Home Office</v>
      </c>
      <c r="J383" t="str">
        <f>VLOOKUP(C383,[1]Orders!$A$5:$W$1043,8,0)</f>
        <v>Yvette Biti</v>
      </c>
      <c r="K383" t="str">
        <f>VLOOKUP(C383,[1]Orders!$A$5:$W$1043,9,0)</f>
        <v>Low</v>
      </c>
    </row>
    <row r="384" spans="3:11" x14ac:dyDescent="0.25">
      <c r="C384" s="61" t="s">
        <v>476</v>
      </c>
      <c r="D384" t="str">
        <f>VLOOKUP(C384,[1]Orders!$A$5:$W$1043,3,0)</f>
        <v>Ritsa Hightower</v>
      </c>
      <c r="E384">
        <f>VLOOKUP(C384,[1]Orders!$A$5:$W$1043,23,0)</f>
        <v>49.47</v>
      </c>
      <c r="F384" t="str">
        <f>VLOOKUP(C384,[1]Orders!$A$5:$W$1043,5,0)</f>
        <v>Sydney</v>
      </c>
      <c r="G384" t="str">
        <f>VLOOKUP(C384,[1]Orders!$A$5:$W$1043,5,0)</f>
        <v>Sydney</v>
      </c>
      <c r="H384" t="str">
        <f>VLOOKUP(C384,[1]Orders!$A$5:$W$1043,6,0)</f>
        <v>NSW</v>
      </c>
      <c r="I384" t="str">
        <f>VLOOKUP(C384,[1]Orders!$A$5:$W$1043,7,0)</f>
        <v>Corporate</v>
      </c>
      <c r="J384" t="str">
        <f>VLOOKUP(C384,[1]Orders!$A$5:$W$1043,8,0)</f>
        <v>Natasha Song</v>
      </c>
      <c r="K384" t="str">
        <f>VLOOKUP(C384,[1]Orders!$A$5:$W$1043,9,0)</f>
        <v>Low</v>
      </c>
    </row>
    <row r="385" spans="3:11" x14ac:dyDescent="0.25">
      <c r="C385" s="61" t="s">
        <v>477</v>
      </c>
      <c r="D385" t="str">
        <f>VLOOKUP(C385,[1]Orders!$A$5:$W$1043,3,0)</f>
        <v>Michelle Moray</v>
      </c>
      <c r="E385">
        <f>VLOOKUP(C385,[1]Orders!$A$5:$W$1043,23,0)</f>
        <v>84.69</v>
      </c>
      <c r="F385" t="str">
        <f>VLOOKUP(C385,[1]Orders!$A$5:$W$1043,5,0)</f>
        <v>Sydney</v>
      </c>
      <c r="G385" t="str">
        <f>VLOOKUP(C385,[1]Orders!$A$5:$W$1043,5,0)</f>
        <v>Sydney</v>
      </c>
      <c r="H385" t="str">
        <f>VLOOKUP(C385,[1]Orders!$A$5:$W$1043,6,0)</f>
        <v>NSW</v>
      </c>
      <c r="I385" t="str">
        <f>VLOOKUP(C385,[1]Orders!$A$5:$W$1043,7,0)</f>
        <v>Corporate</v>
      </c>
      <c r="J385" t="str">
        <f>VLOOKUP(C385,[1]Orders!$A$5:$W$1043,8,0)</f>
        <v>Aanya Zhang</v>
      </c>
      <c r="K385" t="str">
        <f>VLOOKUP(C385,[1]Orders!$A$5:$W$1043,9,0)</f>
        <v>Low</v>
      </c>
    </row>
    <row r="386" spans="3:11" x14ac:dyDescent="0.25">
      <c r="C386" s="61" t="s">
        <v>478</v>
      </c>
      <c r="D386" t="str">
        <f>VLOOKUP(C386,[1]Orders!$A$5:$W$1043,3,0)</f>
        <v>Jim Radford</v>
      </c>
      <c r="E386">
        <f>VLOOKUP(C386,[1]Orders!$A$5:$W$1043,23,0)</f>
        <v>6051.53</v>
      </c>
      <c r="F386" t="str">
        <f>VLOOKUP(C386,[1]Orders!$A$5:$W$1043,5,0)</f>
        <v>Melbourne</v>
      </c>
      <c r="G386" t="str">
        <f>VLOOKUP(C386,[1]Orders!$A$5:$W$1043,5,0)</f>
        <v>Melbourne</v>
      </c>
      <c r="H386" t="str">
        <f>VLOOKUP(C386,[1]Orders!$A$5:$W$1043,6,0)</f>
        <v>VIC</v>
      </c>
      <c r="I386" t="str">
        <f>VLOOKUP(C386,[1]Orders!$A$5:$W$1043,7,0)</f>
        <v>Corporate</v>
      </c>
      <c r="J386" t="str">
        <f>VLOOKUP(C386,[1]Orders!$A$5:$W$1043,8,0)</f>
        <v>Yvette Biti</v>
      </c>
      <c r="K386" t="str">
        <f>VLOOKUP(C386,[1]Orders!$A$5:$W$1043,9,0)</f>
        <v>Critical</v>
      </c>
    </row>
    <row r="387" spans="3:11" x14ac:dyDescent="0.25">
      <c r="C387" s="61" t="s">
        <v>479</v>
      </c>
      <c r="D387" t="str">
        <f>VLOOKUP(C387,[1]Orders!$A$5:$W$1043,3,0)</f>
        <v>Aleksandra Gannaway</v>
      </c>
      <c r="E387">
        <f>VLOOKUP(C387,[1]Orders!$A$5:$W$1043,23,0)</f>
        <v>201.76</v>
      </c>
      <c r="F387" t="str">
        <f>VLOOKUP(C387,[1]Orders!$A$5:$W$1043,5,0)</f>
        <v>Sydney</v>
      </c>
      <c r="G387" t="str">
        <f>VLOOKUP(C387,[1]Orders!$A$5:$W$1043,5,0)</f>
        <v>Sydney</v>
      </c>
      <c r="H387" t="str">
        <f>VLOOKUP(C387,[1]Orders!$A$5:$W$1043,6,0)</f>
        <v>NSW</v>
      </c>
      <c r="I387" t="str">
        <f>VLOOKUP(C387,[1]Orders!$A$5:$W$1043,7,0)</f>
        <v>Corporate</v>
      </c>
      <c r="J387" t="str">
        <f>VLOOKUP(C387,[1]Orders!$A$5:$W$1043,8,0)</f>
        <v>Tina Carlton</v>
      </c>
      <c r="K387" t="str">
        <f>VLOOKUP(C387,[1]Orders!$A$5:$W$1043,9,0)</f>
        <v>Medium</v>
      </c>
    </row>
    <row r="388" spans="3:11" x14ac:dyDescent="0.25">
      <c r="C388" s="61" t="s">
        <v>480</v>
      </c>
      <c r="D388" t="str">
        <f>VLOOKUP(C388,[1]Orders!$A$5:$W$1043,3,0)</f>
        <v>Jennifer Patt</v>
      </c>
      <c r="E388">
        <f>VLOOKUP(C388,[1]Orders!$A$5:$W$1043,23,0)</f>
        <v>133.15</v>
      </c>
      <c r="F388" t="str">
        <f>VLOOKUP(C388,[1]Orders!$A$5:$W$1043,5,0)</f>
        <v>Sydney</v>
      </c>
      <c r="G388" t="str">
        <f>VLOOKUP(C388,[1]Orders!$A$5:$W$1043,5,0)</f>
        <v>Sydney</v>
      </c>
      <c r="H388" t="str">
        <f>VLOOKUP(C388,[1]Orders!$A$5:$W$1043,6,0)</f>
        <v>NSW</v>
      </c>
      <c r="I388" t="str">
        <f>VLOOKUP(C388,[1]Orders!$A$5:$W$1043,7,0)</f>
        <v>Home Office</v>
      </c>
      <c r="J388" t="str">
        <f>VLOOKUP(C388,[1]Orders!$A$5:$W$1043,8,0)</f>
        <v>Aanya Zhang</v>
      </c>
      <c r="K388" t="str">
        <f>VLOOKUP(C388,[1]Orders!$A$5:$W$1043,9,0)</f>
        <v>Not Specified</v>
      </c>
    </row>
    <row r="389" spans="3:11" x14ac:dyDescent="0.25">
      <c r="C389" s="61" t="s">
        <v>481</v>
      </c>
      <c r="D389" t="str">
        <f>VLOOKUP(C389,[1]Orders!$A$5:$W$1043,3,0)</f>
        <v>Eric Barreto</v>
      </c>
      <c r="E389">
        <f>VLOOKUP(C389,[1]Orders!$A$5:$W$1043,23,0)</f>
        <v>28.699999999999996</v>
      </c>
      <c r="F389" t="str">
        <f>VLOOKUP(C389,[1]Orders!$A$5:$W$1043,5,0)</f>
        <v>Sydney</v>
      </c>
      <c r="G389" t="str">
        <f>VLOOKUP(C389,[1]Orders!$A$5:$W$1043,5,0)</f>
        <v>Sydney</v>
      </c>
      <c r="H389" t="str">
        <f>VLOOKUP(C389,[1]Orders!$A$5:$W$1043,6,0)</f>
        <v>NSW</v>
      </c>
      <c r="I389" t="str">
        <f>VLOOKUP(C389,[1]Orders!$A$5:$W$1043,7,0)</f>
        <v>Consumer</v>
      </c>
      <c r="J389" t="str">
        <f>VLOOKUP(C389,[1]Orders!$A$5:$W$1043,8,0)</f>
        <v>Phoebe Gour</v>
      </c>
      <c r="K389" t="str">
        <f>VLOOKUP(C389,[1]Orders!$A$5:$W$1043,9,0)</f>
        <v>Medium</v>
      </c>
    </row>
    <row r="390" spans="3:11" x14ac:dyDescent="0.25">
      <c r="C390" s="61" t="s">
        <v>482</v>
      </c>
      <c r="D390" t="str">
        <f>VLOOKUP(C390,[1]Orders!$A$5:$W$1043,3,0)</f>
        <v>Deborah Brumfield</v>
      </c>
      <c r="E390">
        <f>VLOOKUP(C390,[1]Orders!$A$5:$W$1043,23,0)</f>
        <v>262.7</v>
      </c>
      <c r="F390" t="str">
        <f>VLOOKUP(C390,[1]Orders!$A$5:$W$1043,5,0)</f>
        <v>Sydney</v>
      </c>
      <c r="G390" t="str">
        <f>VLOOKUP(C390,[1]Orders!$A$5:$W$1043,5,0)</f>
        <v>Sydney</v>
      </c>
      <c r="H390" t="str">
        <f>VLOOKUP(C390,[1]Orders!$A$5:$W$1043,6,0)</f>
        <v>NSW</v>
      </c>
      <c r="I390" t="str">
        <f>VLOOKUP(C390,[1]Orders!$A$5:$W$1043,7,0)</f>
        <v>Small Business</v>
      </c>
      <c r="J390" t="str">
        <f>VLOOKUP(C390,[1]Orders!$A$5:$W$1043,8,0)</f>
        <v>Samantha Chairs</v>
      </c>
      <c r="K390" t="str">
        <f>VLOOKUP(C390,[1]Orders!$A$5:$W$1043,9,0)</f>
        <v>Not Specified</v>
      </c>
    </row>
    <row r="391" spans="3:11" x14ac:dyDescent="0.25">
      <c r="C391" s="61" t="s">
        <v>483</v>
      </c>
      <c r="D391" t="str">
        <f>VLOOKUP(C391,[1]Orders!$A$5:$W$1043,3,0)</f>
        <v>Richard Eichhorn</v>
      </c>
      <c r="E391">
        <f>VLOOKUP(C391,[1]Orders!$A$5:$W$1043,23,0)</f>
        <v>222.77</v>
      </c>
      <c r="F391" t="str">
        <f>VLOOKUP(C391,[1]Orders!$A$5:$W$1043,5,0)</f>
        <v>Melbourne</v>
      </c>
      <c r="G391" t="str">
        <f>VLOOKUP(C391,[1]Orders!$A$5:$W$1043,5,0)</f>
        <v>Melbourne</v>
      </c>
      <c r="H391" t="str">
        <f>VLOOKUP(C391,[1]Orders!$A$5:$W$1043,6,0)</f>
        <v>VIC</v>
      </c>
      <c r="I391" t="str">
        <f>VLOOKUP(C391,[1]Orders!$A$5:$W$1043,7,0)</f>
        <v>Consumer</v>
      </c>
      <c r="J391" t="str">
        <f>VLOOKUP(C391,[1]Orders!$A$5:$W$1043,8,0)</f>
        <v>Connor Betts</v>
      </c>
      <c r="K391" t="str">
        <f>VLOOKUP(C391,[1]Orders!$A$5:$W$1043,9,0)</f>
        <v>Medium</v>
      </c>
    </row>
    <row r="392" spans="3:11" x14ac:dyDescent="0.25">
      <c r="C392" s="61" t="s">
        <v>484</v>
      </c>
      <c r="D392" t="str">
        <f>VLOOKUP(C392,[1]Orders!$A$5:$W$1043,3,0)</f>
        <v>Juliana Krohn</v>
      </c>
      <c r="E392">
        <f>VLOOKUP(C392,[1]Orders!$A$5:$W$1043,23,0)</f>
        <v>57.379999999999995</v>
      </c>
      <c r="F392" t="str">
        <f>VLOOKUP(C392,[1]Orders!$A$5:$W$1043,5,0)</f>
        <v>Sydney</v>
      </c>
      <c r="G392" t="str">
        <f>VLOOKUP(C392,[1]Orders!$A$5:$W$1043,5,0)</f>
        <v>Sydney</v>
      </c>
      <c r="H392" t="str">
        <f>VLOOKUP(C392,[1]Orders!$A$5:$W$1043,6,0)</f>
        <v>NSW</v>
      </c>
      <c r="I392" t="str">
        <f>VLOOKUP(C392,[1]Orders!$A$5:$W$1043,7,0)</f>
        <v>Corporate</v>
      </c>
      <c r="J392" t="str">
        <f>VLOOKUP(C392,[1]Orders!$A$5:$W$1043,8,0)</f>
        <v>Samantha Chairs</v>
      </c>
      <c r="K392" t="str">
        <f>VLOOKUP(C392,[1]Orders!$A$5:$W$1043,9,0)</f>
        <v>Low</v>
      </c>
    </row>
    <row r="393" spans="3:11" x14ac:dyDescent="0.25">
      <c r="C393" s="61" t="s">
        <v>485</v>
      </c>
      <c r="D393" t="str">
        <f>VLOOKUP(C393,[1]Orders!$A$5:$W$1043,3,0)</f>
        <v>Clytie Kelty</v>
      </c>
      <c r="E393">
        <f>VLOOKUP(C393,[1]Orders!$A$5:$W$1043,23,0)</f>
        <v>21198.43</v>
      </c>
      <c r="F393" t="str">
        <f>VLOOKUP(C393,[1]Orders!$A$5:$W$1043,5,0)</f>
        <v>Sydney</v>
      </c>
      <c r="G393" t="str">
        <f>VLOOKUP(C393,[1]Orders!$A$5:$W$1043,5,0)</f>
        <v>Sydney</v>
      </c>
      <c r="H393" t="str">
        <f>VLOOKUP(C393,[1]Orders!$A$5:$W$1043,6,0)</f>
        <v>NSW</v>
      </c>
      <c r="I393" t="str">
        <f>VLOOKUP(C393,[1]Orders!$A$5:$W$1043,7,0)</f>
        <v>Small Business</v>
      </c>
      <c r="J393" t="str">
        <f>VLOOKUP(C393,[1]Orders!$A$5:$W$1043,8,0)</f>
        <v>Radhya Staples</v>
      </c>
      <c r="K393" t="str">
        <f>VLOOKUP(C393,[1]Orders!$A$5:$W$1043,9,0)</f>
        <v>Low</v>
      </c>
    </row>
    <row r="394" spans="3:11" x14ac:dyDescent="0.25">
      <c r="C394" s="61" t="s">
        <v>486</v>
      </c>
      <c r="D394" t="str">
        <f>VLOOKUP(C394,[1]Orders!$A$5:$W$1043,3,0)</f>
        <v>Ken Dana</v>
      </c>
      <c r="E394">
        <f>VLOOKUP(C394,[1]Orders!$A$5:$W$1043,23,0)</f>
        <v>7475.49</v>
      </c>
      <c r="F394" t="str">
        <f>VLOOKUP(C394,[1]Orders!$A$5:$W$1043,5,0)</f>
        <v>Sydney</v>
      </c>
      <c r="G394" t="str">
        <f>VLOOKUP(C394,[1]Orders!$A$5:$W$1043,5,0)</f>
        <v>Sydney</v>
      </c>
      <c r="H394" t="str">
        <f>VLOOKUP(C394,[1]Orders!$A$5:$W$1043,6,0)</f>
        <v>NSW</v>
      </c>
      <c r="I394" t="str">
        <f>VLOOKUP(C394,[1]Orders!$A$5:$W$1043,7,0)</f>
        <v>Corporate</v>
      </c>
      <c r="J394" t="str">
        <f>VLOOKUP(C394,[1]Orders!$A$5:$W$1043,8,0)</f>
        <v>Tina Carlton</v>
      </c>
      <c r="K394" t="str">
        <f>VLOOKUP(C394,[1]Orders!$A$5:$W$1043,9,0)</f>
        <v>Low</v>
      </c>
    </row>
    <row r="395" spans="3:11" x14ac:dyDescent="0.25">
      <c r="C395" s="61" t="s">
        <v>487</v>
      </c>
      <c r="D395" t="str">
        <f>VLOOKUP(C395,[1]Orders!$A$5:$W$1043,3,0)</f>
        <v>Andy Yotov</v>
      </c>
      <c r="E395">
        <f>VLOOKUP(C395,[1]Orders!$A$5:$W$1043,23,0)</f>
        <v>596.91</v>
      </c>
      <c r="F395" t="str">
        <f>VLOOKUP(C395,[1]Orders!$A$5:$W$1043,5,0)</f>
        <v>Sydney</v>
      </c>
      <c r="G395" t="str">
        <f>VLOOKUP(C395,[1]Orders!$A$5:$W$1043,5,0)</f>
        <v>Sydney</v>
      </c>
      <c r="H395" t="str">
        <f>VLOOKUP(C395,[1]Orders!$A$5:$W$1043,6,0)</f>
        <v>NSW</v>
      </c>
      <c r="I395" t="str">
        <f>VLOOKUP(C395,[1]Orders!$A$5:$W$1043,7,0)</f>
        <v>Corporate</v>
      </c>
      <c r="J395" t="str">
        <f>VLOOKUP(C395,[1]Orders!$A$5:$W$1043,8,0)</f>
        <v>Natasha Song</v>
      </c>
      <c r="K395" t="str">
        <f>VLOOKUP(C395,[1]Orders!$A$5:$W$1043,9,0)</f>
        <v>High</v>
      </c>
    </row>
    <row r="396" spans="3:11" x14ac:dyDescent="0.25">
      <c r="C396" s="61" t="s">
        <v>488</v>
      </c>
      <c r="D396" t="str">
        <f>VLOOKUP(C396,[1]Orders!$A$5:$W$1043,3,0)</f>
        <v>Melanie Page</v>
      </c>
      <c r="E396">
        <f>VLOOKUP(C396,[1]Orders!$A$5:$W$1043,23,0)</f>
        <v>556.3599999999999</v>
      </c>
      <c r="F396" t="str">
        <f>VLOOKUP(C396,[1]Orders!$A$5:$W$1043,5,0)</f>
        <v>Melbourne</v>
      </c>
      <c r="G396" t="str">
        <f>VLOOKUP(C396,[1]Orders!$A$5:$W$1043,5,0)</f>
        <v>Melbourne</v>
      </c>
      <c r="H396" t="str">
        <f>VLOOKUP(C396,[1]Orders!$A$5:$W$1043,6,0)</f>
        <v>VIC</v>
      </c>
      <c r="I396" t="str">
        <f>VLOOKUP(C396,[1]Orders!$A$5:$W$1043,7,0)</f>
        <v>Corporate</v>
      </c>
      <c r="J396" t="str">
        <f>VLOOKUP(C396,[1]Orders!$A$5:$W$1043,8,0)</f>
        <v>Yvette Biti</v>
      </c>
      <c r="K396" t="str">
        <f>VLOOKUP(C396,[1]Orders!$A$5:$W$1043,9,0)</f>
        <v>Medium</v>
      </c>
    </row>
    <row r="397" spans="3:11" x14ac:dyDescent="0.25">
      <c r="C397" s="61" t="s">
        <v>489</v>
      </c>
      <c r="D397" t="str">
        <f>VLOOKUP(C397,[1]Orders!$A$5:$W$1043,3,0)</f>
        <v>Arthur Gainer</v>
      </c>
      <c r="E397">
        <f>VLOOKUP(C397,[1]Orders!$A$5:$W$1043,23,0)</f>
        <v>214.70999999999998</v>
      </c>
      <c r="F397" t="str">
        <f>VLOOKUP(C397,[1]Orders!$A$5:$W$1043,5,0)</f>
        <v>Melbourne</v>
      </c>
      <c r="G397" t="str">
        <f>VLOOKUP(C397,[1]Orders!$A$5:$W$1043,5,0)</f>
        <v>Melbourne</v>
      </c>
      <c r="H397" t="str">
        <f>VLOOKUP(C397,[1]Orders!$A$5:$W$1043,6,0)</f>
        <v>VIC</v>
      </c>
      <c r="I397" t="str">
        <f>VLOOKUP(C397,[1]Orders!$A$5:$W$1043,7,0)</f>
        <v>Corporate</v>
      </c>
      <c r="J397" t="str">
        <f>VLOOKUP(C397,[1]Orders!$A$5:$W$1043,8,0)</f>
        <v>Connor Betts</v>
      </c>
      <c r="K397" t="str">
        <f>VLOOKUP(C397,[1]Orders!$A$5:$W$1043,9,0)</f>
        <v>Critical</v>
      </c>
    </row>
    <row r="398" spans="3:11" x14ac:dyDescent="0.25">
      <c r="C398" s="61" t="s">
        <v>490</v>
      </c>
      <c r="D398" t="str">
        <f>VLOOKUP(C398,[1]Orders!$A$5:$W$1043,3,0)</f>
        <v>Jeremy Lonsdale</v>
      </c>
      <c r="E398">
        <f>VLOOKUP(C398,[1]Orders!$A$5:$W$1043,23,0)</f>
        <v>73.7</v>
      </c>
      <c r="F398" t="str">
        <f>VLOOKUP(C398,[1]Orders!$A$5:$W$1043,5,0)</f>
        <v>Sydney</v>
      </c>
      <c r="G398" t="str">
        <f>VLOOKUP(C398,[1]Orders!$A$5:$W$1043,5,0)</f>
        <v>Sydney</v>
      </c>
      <c r="H398" t="str">
        <f>VLOOKUP(C398,[1]Orders!$A$5:$W$1043,6,0)</f>
        <v>NSW</v>
      </c>
      <c r="I398" t="str">
        <f>VLOOKUP(C398,[1]Orders!$A$5:$W$1043,7,0)</f>
        <v>Corporate</v>
      </c>
      <c r="J398" t="str">
        <f>VLOOKUP(C398,[1]Orders!$A$5:$W$1043,8,0)</f>
        <v>Charlie Bui</v>
      </c>
      <c r="K398" t="str">
        <f>VLOOKUP(C398,[1]Orders!$A$5:$W$1043,9,0)</f>
        <v>Not Specified</v>
      </c>
    </row>
    <row r="399" spans="3:11" x14ac:dyDescent="0.25">
      <c r="C399" s="61" t="s">
        <v>491</v>
      </c>
      <c r="D399" t="str">
        <f>VLOOKUP(C399,[1]Orders!$A$5:$W$1043,3,0)</f>
        <v>Christopher Martinez</v>
      </c>
      <c r="E399">
        <f>VLOOKUP(C399,[1]Orders!$A$5:$W$1043,23,0)</f>
        <v>320.89000000000004</v>
      </c>
      <c r="F399" t="str">
        <f>VLOOKUP(C399,[1]Orders!$A$5:$W$1043,5,0)</f>
        <v>Sydney</v>
      </c>
      <c r="G399" t="str">
        <f>VLOOKUP(C399,[1]Orders!$A$5:$W$1043,5,0)</f>
        <v>Sydney</v>
      </c>
      <c r="H399" t="str">
        <f>VLOOKUP(C399,[1]Orders!$A$5:$W$1043,6,0)</f>
        <v>NSW</v>
      </c>
      <c r="I399" t="str">
        <f>VLOOKUP(C399,[1]Orders!$A$5:$W$1043,7,0)</f>
        <v>Small Business</v>
      </c>
      <c r="J399" t="str">
        <f>VLOOKUP(C399,[1]Orders!$A$5:$W$1043,8,0)</f>
        <v>Tina Carlton</v>
      </c>
      <c r="K399" t="str">
        <f>VLOOKUP(C399,[1]Orders!$A$5:$W$1043,9,0)</f>
        <v>High</v>
      </c>
    </row>
    <row r="400" spans="3:11" x14ac:dyDescent="0.25">
      <c r="C400" s="61" t="s">
        <v>492</v>
      </c>
      <c r="D400" t="str">
        <f>VLOOKUP(C400,[1]Orders!$A$5:$W$1043,3,0)</f>
        <v>Frank Merwin</v>
      </c>
      <c r="E400">
        <f>VLOOKUP(C400,[1]Orders!$A$5:$W$1043,23,0)</f>
        <v>17894.14</v>
      </c>
      <c r="F400" t="str">
        <f>VLOOKUP(C400,[1]Orders!$A$5:$W$1043,5,0)</f>
        <v>Sydney</v>
      </c>
      <c r="G400" t="str">
        <f>VLOOKUP(C400,[1]Orders!$A$5:$W$1043,5,0)</f>
        <v>Sydney</v>
      </c>
      <c r="H400" t="str">
        <f>VLOOKUP(C400,[1]Orders!$A$5:$W$1043,6,0)</f>
        <v>NSW</v>
      </c>
      <c r="I400" t="str">
        <f>VLOOKUP(C400,[1]Orders!$A$5:$W$1043,7,0)</f>
        <v>Consumer</v>
      </c>
      <c r="J400" t="str">
        <f>VLOOKUP(C400,[1]Orders!$A$5:$W$1043,8,0)</f>
        <v>Radhya Staples</v>
      </c>
      <c r="K400" t="str">
        <f>VLOOKUP(C400,[1]Orders!$A$5:$W$1043,9,0)</f>
        <v>High</v>
      </c>
    </row>
    <row r="401" spans="3:11" x14ac:dyDescent="0.25">
      <c r="C401" s="61" t="s">
        <v>493</v>
      </c>
      <c r="D401" t="str">
        <f>VLOOKUP(C401,[1]Orders!$A$5:$W$1043,3,0)</f>
        <v>Dianna Wilson</v>
      </c>
      <c r="E401">
        <f>VLOOKUP(C401,[1]Orders!$A$5:$W$1043,23,0)</f>
        <v>1812.9600000000003</v>
      </c>
      <c r="F401" t="str">
        <f>VLOOKUP(C401,[1]Orders!$A$5:$W$1043,5,0)</f>
        <v>Sydney</v>
      </c>
      <c r="G401" t="str">
        <f>VLOOKUP(C401,[1]Orders!$A$5:$W$1043,5,0)</f>
        <v>Sydney</v>
      </c>
      <c r="H401" t="str">
        <f>VLOOKUP(C401,[1]Orders!$A$5:$W$1043,6,0)</f>
        <v>NSW</v>
      </c>
      <c r="I401" t="str">
        <f>VLOOKUP(C401,[1]Orders!$A$5:$W$1043,7,0)</f>
        <v>Small Business</v>
      </c>
      <c r="J401" t="str">
        <f>VLOOKUP(C401,[1]Orders!$A$5:$W$1043,8,0)</f>
        <v>Aanya Zhang</v>
      </c>
      <c r="K401" t="str">
        <f>VLOOKUP(C401,[1]Orders!$A$5:$W$1043,9,0)</f>
        <v>Not Specified</v>
      </c>
    </row>
    <row r="402" spans="3:11" x14ac:dyDescent="0.25">
      <c r="C402" s="61" t="s">
        <v>494</v>
      </c>
      <c r="D402" t="str">
        <f>VLOOKUP(C402,[1]Orders!$A$5:$W$1043,3,0)</f>
        <v>Lindsay Castell</v>
      </c>
      <c r="E402">
        <f>VLOOKUP(C402,[1]Orders!$A$5:$W$1043,23,0)</f>
        <v>205.47000000000003</v>
      </c>
      <c r="F402" t="str">
        <f>VLOOKUP(C402,[1]Orders!$A$5:$W$1043,5,0)</f>
        <v>Sydney</v>
      </c>
      <c r="G402" t="str">
        <f>VLOOKUP(C402,[1]Orders!$A$5:$W$1043,5,0)</f>
        <v>Sydney</v>
      </c>
      <c r="H402" t="str">
        <f>VLOOKUP(C402,[1]Orders!$A$5:$W$1043,6,0)</f>
        <v>NSW</v>
      </c>
      <c r="I402" t="str">
        <f>VLOOKUP(C402,[1]Orders!$A$5:$W$1043,7,0)</f>
        <v>Corporate</v>
      </c>
      <c r="J402" t="str">
        <f>VLOOKUP(C402,[1]Orders!$A$5:$W$1043,8,0)</f>
        <v>Phoebe Gour</v>
      </c>
      <c r="K402" t="str">
        <f>VLOOKUP(C402,[1]Orders!$A$5:$W$1043,9,0)</f>
        <v>Medium</v>
      </c>
    </row>
    <row r="403" spans="3:11" x14ac:dyDescent="0.25">
      <c r="C403" s="61" t="s">
        <v>495</v>
      </c>
      <c r="D403" t="str">
        <f>VLOOKUP(C403,[1]Orders!$A$5:$W$1043,3,0)</f>
        <v>Chuck Sachs</v>
      </c>
      <c r="E403">
        <f>VLOOKUP(C403,[1]Orders!$A$5:$W$1043,23,0)</f>
        <v>2298.9399999999996</v>
      </c>
      <c r="F403" t="str">
        <f>VLOOKUP(C403,[1]Orders!$A$5:$W$1043,5,0)</f>
        <v>Sydney</v>
      </c>
      <c r="G403" t="str">
        <f>VLOOKUP(C403,[1]Orders!$A$5:$W$1043,5,0)</f>
        <v>Sydney</v>
      </c>
      <c r="H403" t="str">
        <f>VLOOKUP(C403,[1]Orders!$A$5:$W$1043,6,0)</f>
        <v>NSW</v>
      </c>
      <c r="I403" t="str">
        <f>VLOOKUP(C403,[1]Orders!$A$5:$W$1043,7,0)</f>
        <v>Consumer</v>
      </c>
      <c r="J403" t="str">
        <f>VLOOKUP(C403,[1]Orders!$A$5:$W$1043,8,0)</f>
        <v>Charlie Bui</v>
      </c>
      <c r="K403" t="str">
        <f>VLOOKUP(C403,[1]Orders!$A$5:$W$1043,9,0)</f>
        <v>Medium</v>
      </c>
    </row>
    <row r="404" spans="3:11" x14ac:dyDescent="0.25">
      <c r="C404" s="61" t="s">
        <v>496</v>
      </c>
      <c r="D404" t="str">
        <f>VLOOKUP(C404,[1]Orders!$A$5:$W$1043,3,0)</f>
        <v>John Lee</v>
      </c>
      <c r="E404">
        <f>VLOOKUP(C404,[1]Orders!$A$5:$W$1043,23,0)</f>
        <v>162.93</v>
      </c>
      <c r="F404" t="str">
        <f>VLOOKUP(C404,[1]Orders!$A$5:$W$1043,5,0)</f>
        <v>Melbourne</v>
      </c>
      <c r="G404" t="str">
        <f>VLOOKUP(C404,[1]Orders!$A$5:$W$1043,5,0)</f>
        <v>Melbourne</v>
      </c>
      <c r="H404" t="str">
        <f>VLOOKUP(C404,[1]Orders!$A$5:$W$1043,6,0)</f>
        <v>VIC</v>
      </c>
      <c r="I404" t="str">
        <f>VLOOKUP(C404,[1]Orders!$A$5:$W$1043,7,0)</f>
        <v>Corporate</v>
      </c>
      <c r="J404" t="str">
        <f>VLOOKUP(C404,[1]Orders!$A$5:$W$1043,8,0)</f>
        <v>Connor Betts</v>
      </c>
      <c r="K404" t="str">
        <f>VLOOKUP(C404,[1]Orders!$A$5:$W$1043,9,0)</f>
        <v>Not Specified</v>
      </c>
    </row>
    <row r="405" spans="3:11" x14ac:dyDescent="0.25">
      <c r="C405" s="61" t="s">
        <v>497</v>
      </c>
      <c r="D405" t="str">
        <f>VLOOKUP(C405,[1]Orders!$A$5:$W$1043,3,0)</f>
        <v>Anthony Rawles</v>
      </c>
      <c r="E405">
        <f>VLOOKUP(C405,[1]Orders!$A$5:$W$1043,23,0)</f>
        <v>339.36999999999995</v>
      </c>
      <c r="F405" t="str">
        <f>VLOOKUP(C405,[1]Orders!$A$5:$W$1043,5,0)</f>
        <v>Sydney</v>
      </c>
      <c r="G405" t="str">
        <f>VLOOKUP(C405,[1]Orders!$A$5:$W$1043,5,0)</f>
        <v>Sydney</v>
      </c>
      <c r="H405" t="str">
        <f>VLOOKUP(C405,[1]Orders!$A$5:$W$1043,6,0)</f>
        <v>NSW</v>
      </c>
      <c r="I405" t="str">
        <f>VLOOKUP(C405,[1]Orders!$A$5:$W$1043,7,0)</f>
        <v>Small Business</v>
      </c>
      <c r="J405" t="str">
        <f>VLOOKUP(C405,[1]Orders!$A$5:$W$1043,8,0)</f>
        <v>Mihael Khan</v>
      </c>
      <c r="K405" t="str">
        <f>VLOOKUP(C405,[1]Orders!$A$5:$W$1043,9,0)</f>
        <v>High</v>
      </c>
    </row>
    <row r="406" spans="3:11" x14ac:dyDescent="0.25">
      <c r="C406" s="61" t="s">
        <v>498</v>
      </c>
      <c r="D406" t="str">
        <f>VLOOKUP(C406,[1]Orders!$A$5:$W$1043,3,0)</f>
        <v>Fred Chung</v>
      </c>
      <c r="E406">
        <f>VLOOKUP(C406,[1]Orders!$A$5:$W$1043,23,0)</f>
        <v>1444.55</v>
      </c>
      <c r="F406" t="str">
        <f>VLOOKUP(C406,[1]Orders!$A$5:$W$1043,5,0)</f>
        <v>Sydney</v>
      </c>
      <c r="G406" t="str">
        <f>VLOOKUP(C406,[1]Orders!$A$5:$W$1043,5,0)</f>
        <v>Sydney</v>
      </c>
      <c r="H406" t="str">
        <f>VLOOKUP(C406,[1]Orders!$A$5:$W$1043,6,0)</f>
        <v>NSW</v>
      </c>
      <c r="I406" t="str">
        <f>VLOOKUP(C406,[1]Orders!$A$5:$W$1043,7,0)</f>
        <v>Corporate</v>
      </c>
      <c r="J406" t="str">
        <f>VLOOKUP(C406,[1]Orders!$A$5:$W$1043,8,0)</f>
        <v>Samantha Chairs</v>
      </c>
      <c r="K406" t="str">
        <f>VLOOKUP(C406,[1]Orders!$A$5:$W$1043,9,0)</f>
        <v>Low</v>
      </c>
    </row>
    <row r="407" spans="3:11" x14ac:dyDescent="0.25">
      <c r="C407" s="61" t="s">
        <v>499</v>
      </c>
      <c r="D407" t="str">
        <f>VLOOKUP(C407,[1]Orders!$A$5:$W$1043,3,0)</f>
        <v>Julie Prescott</v>
      </c>
      <c r="E407">
        <f>VLOOKUP(C407,[1]Orders!$A$5:$W$1043,23,0)</f>
        <v>183.04999999999998</v>
      </c>
      <c r="F407" t="str">
        <f>VLOOKUP(C407,[1]Orders!$A$5:$W$1043,5,0)</f>
        <v>Sydney</v>
      </c>
      <c r="G407" t="str">
        <f>VLOOKUP(C407,[1]Orders!$A$5:$W$1043,5,0)</f>
        <v>Sydney</v>
      </c>
      <c r="H407" t="str">
        <f>VLOOKUP(C407,[1]Orders!$A$5:$W$1043,6,0)</f>
        <v>NSW</v>
      </c>
      <c r="I407" t="str">
        <f>VLOOKUP(C407,[1]Orders!$A$5:$W$1043,7,0)</f>
        <v>Home Office</v>
      </c>
      <c r="J407" t="str">
        <f>VLOOKUP(C407,[1]Orders!$A$5:$W$1043,8,0)</f>
        <v>Natasha Song</v>
      </c>
      <c r="K407" t="str">
        <f>VLOOKUP(C407,[1]Orders!$A$5:$W$1043,9,0)</f>
        <v>Low</v>
      </c>
    </row>
    <row r="408" spans="3:11" x14ac:dyDescent="0.25">
      <c r="C408" s="61" t="s">
        <v>500</v>
      </c>
      <c r="D408" t="str">
        <f>VLOOKUP(C408,[1]Orders!$A$5:$W$1043,3,0)</f>
        <v>Edward Becker</v>
      </c>
      <c r="E408">
        <f>VLOOKUP(C408,[1]Orders!$A$5:$W$1043,23,0)</f>
        <v>37.14</v>
      </c>
      <c r="F408" t="str">
        <f>VLOOKUP(C408,[1]Orders!$A$5:$W$1043,5,0)</f>
        <v>Sydney</v>
      </c>
      <c r="G408" t="str">
        <f>VLOOKUP(C408,[1]Orders!$A$5:$W$1043,5,0)</f>
        <v>Sydney</v>
      </c>
      <c r="H408" t="str">
        <f>VLOOKUP(C408,[1]Orders!$A$5:$W$1043,6,0)</f>
        <v>NSW</v>
      </c>
      <c r="I408" t="str">
        <f>VLOOKUP(C408,[1]Orders!$A$5:$W$1043,7,0)</f>
        <v>Home Office</v>
      </c>
      <c r="J408" t="str">
        <f>VLOOKUP(C408,[1]Orders!$A$5:$W$1043,8,0)</f>
        <v>Samantha Chairs</v>
      </c>
      <c r="K408" t="str">
        <f>VLOOKUP(C408,[1]Orders!$A$5:$W$1043,9,0)</f>
        <v>Medium</v>
      </c>
    </row>
    <row r="409" spans="3:11" x14ac:dyDescent="0.25">
      <c r="C409" s="61" t="s">
        <v>501</v>
      </c>
      <c r="D409" t="str">
        <f>VLOOKUP(C409,[1]Orders!$A$5:$W$1043,3,0)</f>
        <v>Bill Donatelli</v>
      </c>
      <c r="E409">
        <f>VLOOKUP(C409,[1]Orders!$A$5:$W$1043,23,0)</f>
        <v>146.56</v>
      </c>
      <c r="F409" t="str">
        <f>VLOOKUP(C409,[1]Orders!$A$5:$W$1043,5,0)</f>
        <v>Sydney</v>
      </c>
      <c r="G409" t="str">
        <f>VLOOKUP(C409,[1]Orders!$A$5:$W$1043,5,0)</f>
        <v>Sydney</v>
      </c>
      <c r="H409" t="str">
        <f>VLOOKUP(C409,[1]Orders!$A$5:$W$1043,6,0)</f>
        <v>NSW</v>
      </c>
      <c r="I409" t="str">
        <f>VLOOKUP(C409,[1]Orders!$A$5:$W$1043,7,0)</f>
        <v>Corporate</v>
      </c>
      <c r="J409" t="str">
        <f>VLOOKUP(C409,[1]Orders!$A$5:$W$1043,8,0)</f>
        <v>Phoebe Gour</v>
      </c>
      <c r="K409" t="str">
        <f>VLOOKUP(C409,[1]Orders!$A$5:$W$1043,9,0)</f>
        <v>High</v>
      </c>
    </row>
    <row r="410" spans="3:11" x14ac:dyDescent="0.25">
      <c r="C410" s="61" t="s">
        <v>502</v>
      </c>
      <c r="D410" t="str">
        <f>VLOOKUP(C410,[1]Orders!$A$5:$W$1043,3,0)</f>
        <v>Toby Swindell</v>
      </c>
      <c r="E410">
        <f>VLOOKUP(C410,[1]Orders!$A$5:$W$1043,23,0)</f>
        <v>101.59</v>
      </c>
      <c r="F410" t="str">
        <f>VLOOKUP(C410,[1]Orders!$A$5:$W$1043,5,0)</f>
        <v>Sydney</v>
      </c>
      <c r="G410" t="str">
        <f>VLOOKUP(C410,[1]Orders!$A$5:$W$1043,5,0)</f>
        <v>Sydney</v>
      </c>
      <c r="H410" t="str">
        <f>VLOOKUP(C410,[1]Orders!$A$5:$W$1043,6,0)</f>
        <v>NSW</v>
      </c>
      <c r="I410" t="str">
        <f>VLOOKUP(C410,[1]Orders!$A$5:$W$1043,7,0)</f>
        <v>Small Business</v>
      </c>
      <c r="J410" t="str">
        <f>VLOOKUP(C410,[1]Orders!$A$5:$W$1043,8,0)</f>
        <v>Leighton Forrest</v>
      </c>
      <c r="K410" t="str">
        <f>VLOOKUP(C410,[1]Orders!$A$5:$W$1043,9,0)</f>
        <v>Critical</v>
      </c>
    </row>
    <row r="411" spans="3:11" x14ac:dyDescent="0.25">
      <c r="C411" s="61" t="s">
        <v>503</v>
      </c>
      <c r="D411" t="str">
        <f>VLOOKUP(C411,[1]Orders!$A$5:$W$1043,3,0)</f>
        <v>Barry Pond</v>
      </c>
      <c r="E411">
        <f>VLOOKUP(C411,[1]Orders!$A$5:$W$1043,23,0)</f>
        <v>1768.22</v>
      </c>
      <c r="F411" t="str">
        <f>VLOOKUP(C411,[1]Orders!$A$5:$W$1043,5,0)</f>
        <v>Melbourne</v>
      </c>
      <c r="G411" t="str">
        <f>VLOOKUP(C411,[1]Orders!$A$5:$W$1043,5,0)</f>
        <v>Melbourne</v>
      </c>
      <c r="H411" t="str">
        <f>VLOOKUP(C411,[1]Orders!$A$5:$W$1043,6,0)</f>
        <v>VIC</v>
      </c>
      <c r="I411" t="str">
        <f>VLOOKUP(C411,[1]Orders!$A$5:$W$1043,7,0)</f>
        <v>Consumer</v>
      </c>
      <c r="J411" t="str">
        <f>VLOOKUP(C411,[1]Orders!$A$5:$W$1043,8,0)</f>
        <v>Connor Betts</v>
      </c>
      <c r="K411" t="str">
        <f>VLOOKUP(C411,[1]Orders!$A$5:$W$1043,9,0)</f>
        <v>Medium</v>
      </c>
    </row>
    <row r="412" spans="3:11" x14ac:dyDescent="0.25">
      <c r="C412" s="61" t="s">
        <v>504</v>
      </c>
      <c r="D412" t="str">
        <f>VLOOKUP(C412,[1]Orders!$A$5:$W$1043,3,0)</f>
        <v>Jim Mitchum</v>
      </c>
      <c r="E412">
        <f>VLOOKUP(C412,[1]Orders!$A$5:$W$1043,23,0)</f>
        <v>745.58999999999992</v>
      </c>
      <c r="F412" t="str">
        <f>VLOOKUP(C412,[1]Orders!$A$5:$W$1043,5,0)</f>
        <v>Sydney</v>
      </c>
      <c r="G412" t="str">
        <f>VLOOKUP(C412,[1]Orders!$A$5:$W$1043,5,0)</f>
        <v>Sydney</v>
      </c>
      <c r="H412" t="str">
        <f>VLOOKUP(C412,[1]Orders!$A$5:$W$1043,6,0)</f>
        <v>NSW</v>
      </c>
      <c r="I412" t="str">
        <f>VLOOKUP(C412,[1]Orders!$A$5:$W$1043,7,0)</f>
        <v>Consumer</v>
      </c>
      <c r="J412" t="str">
        <f>VLOOKUP(C412,[1]Orders!$A$5:$W$1043,8,0)</f>
        <v>Mihael Khan</v>
      </c>
      <c r="K412" t="str">
        <f>VLOOKUP(C412,[1]Orders!$A$5:$W$1043,9,0)</f>
        <v>Not Specified</v>
      </c>
    </row>
    <row r="413" spans="3:11" x14ac:dyDescent="0.25">
      <c r="C413" s="61" t="s">
        <v>505</v>
      </c>
      <c r="D413" t="str">
        <f>VLOOKUP(C413,[1]Orders!$A$5:$W$1043,3,0)</f>
        <v>Bruce Degenhardt</v>
      </c>
      <c r="E413">
        <f>VLOOKUP(C413,[1]Orders!$A$5:$W$1043,23,0)</f>
        <v>2626.77</v>
      </c>
      <c r="F413" t="str">
        <f>VLOOKUP(C413,[1]Orders!$A$5:$W$1043,5,0)</f>
        <v>Sydney</v>
      </c>
      <c r="G413" t="str">
        <f>VLOOKUP(C413,[1]Orders!$A$5:$W$1043,5,0)</f>
        <v>Sydney</v>
      </c>
      <c r="H413" t="str">
        <f>VLOOKUP(C413,[1]Orders!$A$5:$W$1043,6,0)</f>
        <v>NSW</v>
      </c>
      <c r="I413" t="str">
        <f>VLOOKUP(C413,[1]Orders!$A$5:$W$1043,7,0)</f>
        <v>Home Office</v>
      </c>
      <c r="J413" t="str">
        <f>VLOOKUP(C413,[1]Orders!$A$5:$W$1043,8,0)</f>
        <v>Samantha Chairs</v>
      </c>
      <c r="K413" t="str">
        <f>VLOOKUP(C413,[1]Orders!$A$5:$W$1043,9,0)</f>
        <v>High</v>
      </c>
    </row>
    <row r="414" spans="3:11" x14ac:dyDescent="0.25">
      <c r="C414" s="61" t="s">
        <v>506</v>
      </c>
      <c r="D414" t="str">
        <f>VLOOKUP(C414,[1]Orders!$A$5:$W$1043,3,0)</f>
        <v>Luke Weiss</v>
      </c>
      <c r="E414">
        <f>VLOOKUP(C414,[1]Orders!$A$5:$W$1043,23,0)</f>
        <v>2353.1499999999996</v>
      </c>
      <c r="F414" t="str">
        <f>VLOOKUP(C414,[1]Orders!$A$5:$W$1043,5,0)</f>
        <v>Sydney</v>
      </c>
      <c r="G414" t="str">
        <f>VLOOKUP(C414,[1]Orders!$A$5:$W$1043,5,0)</f>
        <v>Sydney</v>
      </c>
      <c r="H414" t="str">
        <f>VLOOKUP(C414,[1]Orders!$A$5:$W$1043,6,0)</f>
        <v>NSW</v>
      </c>
      <c r="I414" t="str">
        <f>VLOOKUP(C414,[1]Orders!$A$5:$W$1043,7,0)</f>
        <v>Corporate</v>
      </c>
      <c r="J414" t="str">
        <f>VLOOKUP(C414,[1]Orders!$A$5:$W$1043,8,0)</f>
        <v>Charlie Bui</v>
      </c>
      <c r="K414" t="str">
        <f>VLOOKUP(C414,[1]Orders!$A$5:$W$1043,9,0)</f>
        <v>Not Specified</v>
      </c>
    </row>
    <row r="415" spans="3:11" x14ac:dyDescent="0.25">
      <c r="C415" s="61" t="s">
        <v>507</v>
      </c>
      <c r="D415" t="str">
        <f>VLOOKUP(C415,[1]Orders!$A$5:$W$1043,3,0)</f>
        <v>Craig Leslie</v>
      </c>
      <c r="E415">
        <f>VLOOKUP(C415,[1]Orders!$A$5:$W$1043,23,0)</f>
        <v>118.33</v>
      </c>
      <c r="F415" t="str">
        <f>VLOOKUP(C415,[1]Orders!$A$5:$W$1043,5,0)</f>
        <v>Melbourne</v>
      </c>
      <c r="G415" t="str">
        <f>VLOOKUP(C415,[1]Orders!$A$5:$W$1043,5,0)</f>
        <v>Melbourne</v>
      </c>
      <c r="H415" t="str">
        <f>VLOOKUP(C415,[1]Orders!$A$5:$W$1043,6,0)</f>
        <v>VIC</v>
      </c>
      <c r="I415" t="str">
        <f>VLOOKUP(C415,[1]Orders!$A$5:$W$1043,7,0)</f>
        <v>Consumer</v>
      </c>
      <c r="J415" t="str">
        <f>VLOOKUP(C415,[1]Orders!$A$5:$W$1043,8,0)</f>
        <v>Charlie Bui</v>
      </c>
      <c r="K415" t="str">
        <f>VLOOKUP(C415,[1]Orders!$A$5:$W$1043,9,0)</f>
        <v>Medium</v>
      </c>
    </row>
    <row r="416" spans="3:11" x14ac:dyDescent="0.25">
      <c r="C416" s="61" t="s">
        <v>508</v>
      </c>
      <c r="D416" t="str">
        <f>VLOOKUP(C416,[1]Orders!$A$5:$W$1043,3,0)</f>
        <v>Frank Hawley</v>
      </c>
      <c r="E416">
        <f>VLOOKUP(C416,[1]Orders!$A$5:$W$1043,23,0)</f>
        <v>23.959999999999997</v>
      </c>
      <c r="F416" t="str">
        <f>VLOOKUP(C416,[1]Orders!$A$5:$W$1043,5,0)</f>
        <v>Sydney</v>
      </c>
      <c r="G416" t="str">
        <f>VLOOKUP(C416,[1]Orders!$A$5:$W$1043,5,0)</f>
        <v>Sydney</v>
      </c>
      <c r="H416" t="str">
        <f>VLOOKUP(C416,[1]Orders!$A$5:$W$1043,6,0)</f>
        <v>NSW</v>
      </c>
      <c r="I416" t="str">
        <f>VLOOKUP(C416,[1]Orders!$A$5:$W$1043,7,0)</f>
        <v>Home Office</v>
      </c>
      <c r="J416" t="str">
        <f>VLOOKUP(C416,[1]Orders!$A$5:$W$1043,8,0)</f>
        <v>Phoebe Gour</v>
      </c>
      <c r="K416" t="str">
        <f>VLOOKUP(C416,[1]Orders!$A$5:$W$1043,9,0)</f>
        <v>Medium</v>
      </c>
    </row>
    <row r="417" spans="3:11" x14ac:dyDescent="0.25">
      <c r="C417" s="61" t="s">
        <v>509</v>
      </c>
      <c r="D417" t="str">
        <f>VLOOKUP(C417,[1]Orders!$A$5:$W$1043,3,0)</f>
        <v>Nora Paige</v>
      </c>
      <c r="E417">
        <f>VLOOKUP(C417,[1]Orders!$A$5:$W$1043,23,0)</f>
        <v>1934.52</v>
      </c>
      <c r="F417" t="str">
        <f>VLOOKUP(C417,[1]Orders!$A$5:$W$1043,5,0)</f>
        <v>Sydney</v>
      </c>
      <c r="G417" t="str">
        <f>VLOOKUP(C417,[1]Orders!$A$5:$W$1043,5,0)</f>
        <v>Sydney</v>
      </c>
      <c r="H417" t="str">
        <f>VLOOKUP(C417,[1]Orders!$A$5:$W$1043,6,0)</f>
        <v>NSW</v>
      </c>
      <c r="I417" t="str">
        <f>VLOOKUP(C417,[1]Orders!$A$5:$W$1043,7,0)</f>
        <v>Small Business</v>
      </c>
      <c r="J417" t="str">
        <f>VLOOKUP(C417,[1]Orders!$A$5:$W$1043,8,0)</f>
        <v>Mihael Khan</v>
      </c>
      <c r="K417" t="str">
        <f>VLOOKUP(C417,[1]Orders!$A$5:$W$1043,9,0)</f>
        <v>Not Specified</v>
      </c>
    </row>
    <row r="418" spans="3:11" x14ac:dyDescent="0.25">
      <c r="C418" s="61" t="s">
        <v>510</v>
      </c>
      <c r="D418" t="str">
        <f>VLOOKUP(C418,[1]Orders!$A$5:$W$1043,3,0)</f>
        <v>Alejandro Ballentine</v>
      </c>
      <c r="E418">
        <f>VLOOKUP(C418,[1]Orders!$A$5:$W$1043,23,0)</f>
        <v>168.38</v>
      </c>
      <c r="F418" t="str">
        <f>VLOOKUP(C418,[1]Orders!$A$5:$W$1043,5,0)</f>
        <v>Melbourne</v>
      </c>
      <c r="G418" t="str">
        <f>VLOOKUP(C418,[1]Orders!$A$5:$W$1043,5,0)</f>
        <v>Melbourne</v>
      </c>
      <c r="H418" t="str">
        <f>VLOOKUP(C418,[1]Orders!$A$5:$W$1043,6,0)</f>
        <v>VIC</v>
      </c>
      <c r="I418" t="str">
        <f>VLOOKUP(C418,[1]Orders!$A$5:$W$1043,7,0)</f>
        <v>Small Business</v>
      </c>
      <c r="J418" t="str">
        <f>VLOOKUP(C418,[1]Orders!$A$5:$W$1043,8,0)</f>
        <v>Connor Betts</v>
      </c>
      <c r="K418" t="str">
        <f>VLOOKUP(C418,[1]Orders!$A$5:$W$1043,9,0)</f>
        <v>High</v>
      </c>
    </row>
    <row r="419" spans="3:11" x14ac:dyDescent="0.25">
      <c r="C419" s="61" t="s">
        <v>511</v>
      </c>
      <c r="D419" t="str">
        <f>VLOOKUP(C419,[1]Orders!$A$5:$W$1043,3,0)</f>
        <v>Christine Abelman</v>
      </c>
      <c r="E419">
        <f>VLOOKUP(C419,[1]Orders!$A$5:$W$1043,23,0)</f>
        <v>115.24999999999999</v>
      </c>
      <c r="F419" t="str">
        <f>VLOOKUP(C419,[1]Orders!$A$5:$W$1043,5,0)</f>
        <v>Sydney</v>
      </c>
      <c r="G419" t="str">
        <f>VLOOKUP(C419,[1]Orders!$A$5:$W$1043,5,0)</f>
        <v>Sydney</v>
      </c>
      <c r="H419" t="str">
        <f>VLOOKUP(C419,[1]Orders!$A$5:$W$1043,6,0)</f>
        <v>NSW</v>
      </c>
      <c r="I419" t="str">
        <f>VLOOKUP(C419,[1]Orders!$A$5:$W$1043,7,0)</f>
        <v>Corporate</v>
      </c>
      <c r="J419" t="str">
        <f>VLOOKUP(C419,[1]Orders!$A$5:$W$1043,8,0)</f>
        <v>Phoebe Gour</v>
      </c>
      <c r="K419" t="str">
        <f>VLOOKUP(C419,[1]Orders!$A$5:$W$1043,9,0)</f>
        <v>Medium</v>
      </c>
    </row>
    <row r="420" spans="3:11" x14ac:dyDescent="0.25">
      <c r="C420" s="61" t="s">
        <v>512</v>
      </c>
      <c r="D420" t="str">
        <f>VLOOKUP(C420,[1]Orders!$A$5:$W$1043,3,0)</f>
        <v>William Brown</v>
      </c>
      <c r="E420">
        <f>VLOOKUP(C420,[1]Orders!$A$5:$W$1043,23,0)</f>
        <v>605.29999999999995</v>
      </c>
      <c r="F420" t="str">
        <f>VLOOKUP(C420,[1]Orders!$A$5:$W$1043,5,0)</f>
        <v>Melbourne</v>
      </c>
      <c r="G420" t="str">
        <f>VLOOKUP(C420,[1]Orders!$A$5:$W$1043,5,0)</f>
        <v>Melbourne</v>
      </c>
      <c r="H420" t="str">
        <f>VLOOKUP(C420,[1]Orders!$A$5:$W$1043,6,0)</f>
        <v>VIC</v>
      </c>
      <c r="I420" t="str">
        <f>VLOOKUP(C420,[1]Orders!$A$5:$W$1043,7,0)</f>
        <v>Corporate</v>
      </c>
      <c r="J420" t="str">
        <f>VLOOKUP(C420,[1]Orders!$A$5:$W$1043,8,0)</f>
        <v>Yvette Biti</v>
      </c>
      <c r="K420" t="str">
        <f>VLOOKUP(C420,[1]Orders!$A$5:$W$1043,9,0)</f>
        <v>Not Specified</v>
      </c>
    </row>
    <row r="421" spans="3:11" x14ac:dyDescent="0.25">
      <c r="C421" s="61" t="s">
        <v>513</v>
      </c>
      <c r="D421" t="str">
        <f>VLOOKUP(C421,[1]Orders!$A$5:$W$1043,3,0)</f>
        <v>Monica Federle</v>
      </c>
      <c r="E421">
        <f>VLOOKUP(C421,[1]Orders!$A$5:$W$1043,23,0)</f>
        <v>125.55</v>
      </c>
      <c r="F421" t="str">
        <f>VLOOKUP(C421,[1]Orders!$A$5:$W$1043,5,0)</f>
        <v>Sydney</v>
      </c>
      <c r="G421" t="str">
        <f>VLOOKUP(C421,[1]Orders!$A$5:$W$1043,5,0)</f>
        <v>Sydney</v>
      </c>
      <c r="H421" t="str">
        <f>VLOOKUP(C421,[1]Orders!$A$5:$W$1043,6,0)</f>
        <v>NSW</v>
      </c>
      <c r="I421" t="str">
        <f>VLOOKUP(C421,[1]Orders!$A$5:$W$1043,7,0)</f>
        <v>Corporate</v>
      </c>
      <c r="J421" t="str">
        <f>VLOOKUP(C421,[1]Orders!$A$5:$W$1043,8,0)</f>
        <v>Charlie Bui</v>
      </c>
      <c r="K421" t="str">
        <f>VLOOKUP(C421,[1]Orders!$A$5:$W$1043,9,0)</f>
        <v>Medium</v>
      </c>
    </row>
    <row r="422" spans="3:11" x14ac:dyDescent="0.25">
      <c r="C422" s="61" t="s">
        <v>514</v>
      </c>
      <c r="D422" t="str">
        <f>VLOOKUP(C422,[1]Orders!$A$5:$W$1043,3,0)</f>
        <v>Mike Gockenbach</v>
      </c>
      <c r="E422">
        <f>VLOOKUP(C422,[1]Orders!$A$5:$W$1043,23,0)</f>
        <v>224.74999999999997</v>
      </c>
      <c r="F422" t="str">
        <f>VLOOKUP(C422,[1]Orders!$A$5:$W$1043,5,0)</f>
        <v>Melbourne</v>
      </c>
      <c r="G422" t="str">
        <f>VLOOKUP(C422,[1]Orders!$A$5:$W$1043,5,0)</f>
        <v>Melbourne</v>
      </c>
      <c r="H422" t="str">
        <f>VLOOKUP(C422,[1]Orders!$A$5:$W$1043,6,0)</f>
        <v>VIC</v>
      </c>
      <c r="I422" t="str">
        <f>VLOOKUP(C422,[1]Orders!$A$5:$W$1043,7,0)</f>
        <v>Consumer</v>
      </c>
      <c r="J422" t="str">
        <f>VLOOKUP(C422,[1]Orders!$A$5:$W$1043,8,0)</f>
        <v>Connor Betts</v>
      </c>
      <c r="K422" t="str">
        <f>VLOOKUP(C422,[1]Orders!$A$5:$W$1043,9,0)</f>
        <v>High</v>
      </c>
    </row>
    <row r="423" spans="3:11" x14ac:dyDescent="0.25">
      <c r="C423" s="61" t="s">
        <v>515</v>
      </c>
      <c r="D423" t="str">
        <f>VLOOKUP(C423,[1]Orders!$A$5:$W$1043,3,0)</f>
        <v>James Galang</v>
      </c>
      <c r="E423">
        <f>VLOOKUP(C423,[1]Orders!$A$5:$W$1043,23,0)</f>
        <v>140.66</v>
      </c>
      <c r="F423" t="str">
        <f>VLOOKUP(C423,[1]Orders!$A$5:$W$1043,5,0)</f>
        <v>Sydney</v>
      </c>
      <c r="G423" t="str">
        <f>VLOOKUP(C423,[1]Orders!$A$5:$W$1043,5,0)</f>
        <v>Sydney</v>
      </c>
      <c r="H423" t="str">
        <f>VLOOKUP(C423,[1]Orders!$A$5:$W$1043,6,0)</f>
        <v>NSW</v>
      </c>
      <c r="I423" t="str">
        <f>VLOOKUP(C423,[1]Orders!$A$5:$W$1043,7,0)</f>
        <v>Consumer</v>
      </c>
      <c r="J423" t="str">
        <f>VLOOKUP(C423,[1]Orders!$A$5:$W$1043,8,0)</f>
        <v>Nicholas Fernandes</v>
      </c>
      <c r="K423" t="str">
        <f>VLOOKUP(C423,[1]Orders!$A$5:$W$1043,9,0)</f>
        <v>Critical</v>
      </c>
    </row>
    <row r="424" spans="3:11" x14ac:dyDescent="0.25">
      <c r="C424" s="61" t="s">
        <v>516</v>
      </c>
      <c r="D424" t="str">
        <f>VLOOKUP(C424,[1]Orders!$A$5:$W$1043,3,0)</f>
        <v>Sanjit Jacobs</v>
      </c>
      <c r="E424">
        <f>VLOOKUP(C424,[1]Orders!$A$5:$W$1043,23,0)</f>
        <v>645.67000000000007</v>
      </c>
      <c r="F424" t="str">
        <f>VLOOKUP(C424,[1]Orders!$A$5:$W$1043,5,0)</f>
        <v>Melbourne</v>
      </c>
      <c r="G424" t="str">
        <f>VLOOKUP(C424,[1]Orders!$A$5:$W$1043,5,0)</f>
        <v>Melbourne</v>
      </c>
      <c r="H424" t="str">
        <f>VLOOKUP(C424,[1]Orders!$A$5:$W$1043,6,0)</f>
        <v>VIC</v>
      </c>
      <c r="I424" t="str">
        <f>VLOOKUP(C424,[1]Orders!$A$5:$W$1043,7,0)</f>
        <v>Consumer</v>
      </c>
      <c r="J424" t="str">
        <f>VLOOKUP(C424,[1]Orders!$A$5:$W$1043,8,0)</f>
        <v>Yvette Biti</v>
      </c>
      <c r="K424" t="str">
        <f>VLOOKUP(C424,[1]Orders!$A$5:$W$1043,9,0)</f>
        <v>High</v>
      </c>
    </row>
    <row r="425" spans="3:11" x14ac:dyDescent="0.25">
      <c r="C425" s="61" t="s">
        <v>517</v>
      </c>
      <c r="D425" t="str">
        <f>VLOOKUP(C425,[1]Orders!$A$5:$W$1043,3,0)</f>
        <v>Raymond Book</v>
      </c>
      <c r="E425">
        <f>VLOOKUP(C425,[1]Orders!$A$5:$W$1043,23,0)</f>
        <v>59.399999999999991</v>
      </c>
      <c r="F425" t="str">
        <f>VLOOKUP(C425,[1]Orders!$A$5:$W$1043,5,0)</f>
        <v>Sydney</v>
      </c>
      <c r="G425" t="str">
        <f>VLOOKUP(C425,[1]Orders!$A$5:$W$1043,5,0)</f>
        <v>Sydney</v>
      </c>
      <c r="H425" t="str">
        <f>VLOOKUP(C425,[1]Orders!$A$5:$W$1043,6,0)</f>
        <v>NSW</v>
      </c>
      <c r="I425" t="str">
        <f>VLOOKUP(C425,[1]Orders!$A$5:$W$1043,7,0)</f>
        <v>Consumer</v>
      </c>
      <c r="J425" t="str">
        <f>VLOOKUP(C425,[1]Orders!$A$5:$W$1043,8,0)</f>
        <v>Mihael Khan</v>
      </c>
      <c r="K425" t="str">
        <f>VLOOKUP(C425,[1]Orders!$A$5:$W$1043,9,0)</f>
        <v>Medium</v>
      </c>
    </row>
    <row r="426" spans="3:11" x14ac:dyDescent="0.25">
      <c r="C426" s="61" t="s">
        <v>518</v>
      </c>
      <c r="D426" t="str">
        <f>VLOOKUP(C426,[1]Orders!$A$5:$W$1043,3,0)</f>
        <v>Bobby Odegard</v>
      </c>
      <c r="E426">
        <f>VLOOKUP(C426,[1]Orders!$A$5:$W$1043,23,0)</f>
        <v>35.239999999999995</v>
      </c>
      <c r="F426" t="str">
        <f>VLOOKUP(C426,[1]Orders!$A$5:$W$1043,5,0)</f>
        <v>Melbourne</v>
      </c>
      <c r="G426" t="str">
        <f>VLOOKUP(C426,[1]Orders!$A$5:$W$1043,5,0)</f>
        <v>Melbourne</v>
      </c>
      <c r="H426" t="str">
        <f>VLOOKUP(C426,[1]Orders!$A$5:$W$1043,6,0)</f>
        <v>VIC</v>
      </c>
      <c r="I426" t="str">
        <f>VLOOKUP(C426,[1]Orders!$A$5:$W$1043,7,0)</f>
        <v>Corporate</v>
      </c>
      <c r="J426" t="str">
        <f>VLOOKUP(C426,[1]Orders!$A$5:$W$1043,8,0)</f>
        <v>Connor Betts</v>
      </c>
      <c r="K426" t="str">
        <f>VLOOKUP(C426,[1]Orders!$A$5:$W$1043,9,0)</f>
        <v>Not Specified</v>
      </c>
    </row>
    <row r="427" spans="3:11" x14ac:dyDescent="0.25">
      <c r="C427" s="61" t="s">
        <v>519</v>
      </c>
      <c r="D427" t="str">
        <f>VLOOKUP(C427,[1]Orders!$A$5:$W$1043,3,0)</f>
        <v>Eric Barreto</v>
      </c>
      <c r="E427">
        <f>VLOOKUP(C427,[1]Orders!$A$5:$W$1043,23,0)</f>
        <v>85.02</v>
      </c>
      <c r="F427" t="str">
        <f>VLOOKUP(C427,[1]Orders!$A$5:$W$1043,5,0)</f>
        <v>Sydney</v>
      </c>
      <c r="G427" t="str">
        <f>VLOOKUP(C427,[1]Orders!$A$5:$W$1043,5,0)</f>
        <v>Sydney</v>
      </c>
      <c r="H427" t="str">
        <f>VLOOKUP(C427,[1]Orders!$A$5:$W$1043,6,0)</f>
        <v>NSW</v>
      </c>
      <c r="I427" t="str">
        <f>VLOOKUP(C427,[1]Orders!$A$5:$W$1043,7,0)</f>
        <v>Small Business</v>
      </c>
      <c r="J427" t="str">
        <f>VLOOKUP(C427,[1]Orders!$A$5:$W$1043,8,0)</f>
        <v>Phoebe Gour</v>
      </c>
      <c r="K427" t="str">
        <f>VLOOKUP(C427,[1]Orders!$A$5:$W$1043,9,0)</f>
        <v>High</v>
      </c>
    </row>
    <row r="428" spans="3:11" x14ac:dyDescent="0.25">
      <c r="C428" s="61" t="s">
        <v>520</v>
      </c>
      <c r="D428" t="str">
        <f>VLOOKUP(C428,[1]Orders!$A$5:$W$1043,3,0)</f>
        <v>Art Miller</v>
      </c>
      <c r="E428">
        <f>VLOOKUP(C428,[1]Orders!$A$5:$W$1043,23,0)</f>
        <v>29.779999999999994</v>
      </c>
      <c r="F428" t="str">
        <f>VLOOKUP(C428,[1]Orders!$A$5:$W$1043,5,0)</f>
        <v>Sydney</v>
      </c>
      <c r="G428" t="str">
        <f>VLOOKUP(C428,[1]Orders!$A$5:$W$1043,5,0)</f>
        <v>Sydney</v>
      </c>
      <c r="H428" t="str">
        <f>VLOOKUP(C428,[1]Orders!$A$5:$W$1043,6,0)</f>
        <v>NSW</v>
      </c>
      <c r="I428" t="str">
        <f>VLOOKUP(C428,[1]Orders!$A$5:$W$1043,7,0)</f>
        <v>Corporate</v>
      </c>
      <c r="J428" t="str">
        <f>VLOOKUP(C428,[1]Orders!$A$5:$W$1043,8,0)</f>
        <v>Leighton Forrest</v>
      </c>
      <c r="K428" t="str">
        <f>VLOOKUP(C428,[1]Orders!$A$5:$W$1043,9,0)</f>
        <v>Medium</v>
      </c>
    </row>
    <row r="429" spans="3:11" x14ac:dyDescent="0.25">
      <c r="C429" s="61" t="s">
        <v>521</v>
      </c>
      <c r="D429" t="str">
        <f>VLOOKUP(C429,[1]Orders!$A$5:$W$1043,3,0)</f>
        <v>Gene Hale</v>
      </c>
      <c r="E429">
        <f>VLOOKUP(C429,[1]Orders!$A$5:$W$1043,23,0)</f>
        <v>43.050000000000004</v>
      </c>
      <c r="F429" t="str">
        <f>VLOOKUP(C429,[1]Orders!$A$5:$W$1043,5,0)</f>
        <v>Sydney</v>
      </c>
      <c r="G429" t="str">
        <f>VLOOKUP(C429,[1]Orders!$A$5:$W$1043,5,0)</f>
        <v>Sydney</v>
      </c>
      <c r="H429" t="str">
        <f>VLOOKUP(C429,[1]Orders!$A$5:$W$1043,6,0)</f>
        <v>NSW</v>
      </c>
      <c r="I429" t="str">
        <f>VLOOKUP(C429,[1]Orders!$A$5:$W$1043,7,0)</f>
        <v>Consumer</v>
      </c>
      <c r="J429" t="str">
        <f>VLOOKUP(C429,[1]Orders!$A$5:$W$1043,8,0)</f>
        <v>Leighton Forrest</v>
      </c>
      <c r="K429" t="str">
        <f>VLOOKUP(C429,[1]Orders!$A$5:$W$1043,9,0)</f>
        <v>Low</v>
      </c>
    </row>
    <row r="430" spans="3:11" x14ac:dyDescent="0.25">
      <c r="C430" s="61" t="s">
        <v>522</v>
      </c>
      <c r="D430" t="str">
        <f>VLOOKUP(C430,[1]Orders!$A$5:$W$1043,3,0)</f>
        <v>Sonia Sunley</v>
      </c>
      <c r="E430">
        <f>VLOOKUP(C430,[1]Orders!$A$5:$W$1043,23,0)</f>
        <v>66.209999999999994</v>
      </c>
      <c r="F430" t="str">
        <f>VLOOKUP(C430,[1]Orders!$A$5:$W$1043,5,0)</f>
        <v>Sydney</v>
      </c>
      <c r="G430" t="str">
        <f>VLOOKUP(C430,[1]Orders!$A$5:$W$1043,5,0)</f>
        <v>Sydney</v>
      </c>
      <c r="H430" t="str">
        <f>VLOOKUP(C430,[1]Orders!$A$5:$W$1043,6,0)</f>
        <v>NSW</v>
      </c>
      <c r="I430" t="str">
        <f>VLOOKUP(C430,[1]Orders!$A$5:$W$1043,7,0)</f>
        <v>Small Business</v>
      </c>
      <c r="J430" t="str">
        <f>VLOOKUP(C430,[1]Orders!$A$5:$W$1043,8,0)</f>
        <v>Preston Senome</v>
      </c>
      <c r="K430" t="str">
        <f>VLOOKUP(C430,[1]Orders!$A$5:$W$1043,9,0)</f>
        <v>Critical</v>
      </c>
    </row>
    <row r="431" spans="3:11" x14ac:dyDescent="0.25">
      <c r="C431" s="61" t="s">
        <v>523</v>
      </c>
      <c r="D431" t="str">
        <f>VLOOKUP(C431,[1]Orders!$A$5:$W$1043,3,0)</f>
        <v>Philip Brown</v>
      </c>
      <c r="E431">
        <f>VLOOKUP(C431,[1]Orders!$A$5:$W$1043,23,0)</f>
        <v>145.29000000000002</v>
      </c>
      <c r="F431" t="str">
        <f>VLOOKUP(C431,[1]Orders!$A$5:$W$1043,5,0)</f>
        <v>Melbourne</v>
      </c>
      <c r="G431" t="str">
        <f>VLOOKUP(C431,[1]Orders!$A$5:$W$1043,5,0)</f>
        <v>Melbourne</v>
      </c>
      <c r="H431" t="str">
        <f>VLOOKUP(C431,[1]Orders!$A$5:$W$1043,6,0)</f>
        <v>VIC</v>
      </c>
      <c r="I431" t="str">
        <f>VLOOKUP(C431,[1]Orders!$A$5:$W$1043,7,0)</f>
        <v>Home Office</v>
      </c>
      <c r="J431" t="str">
        <f>VLOOKUP(C431,[1]Orders!$A$5:$W$1043,8,0)</f>
        <v>Yvette Biti</v>
      </c>
      <c r="K431" t="str">
        <f>VLOOKUP(C431,[1]Orders!$A$5:$W$1043,9,0)</f>
        <v>Low</v>
      </c>
    </row>
    <row r="432" spans="3:11" x14ac:dyDescent="0.25">
      <c r="C432" s="61" t="s">
        <v>524</v>
      </c>
      <c r="D432" t="str">
        <f>VLOOKUP(C432,[1]Orders!$A$5:$W$1043,3,0)</f>
        <v>Maria Zettner</v>
      </c>
      <c r="E432">
        <f>VLOOKUP(C432,[1]Orders!$A$5:$W$1043,23,0)</f>
        <v>193.64</v>
      </c>
      <c r="F432" t="str">
        <f>VLOOKUP(C432,[1]Orders!$A$5:$W$1043,5,0)</f>
        <v>Sydney</v>
      </c>
      <c r="G432" t="str">
        <f>VLOOKUP(C432,[1]Orders!$A$5:$W$1043,5,0)</f>
        <v>Sydney</v>
      </c>
      <c r="H432" t="str">
        <f>VLOOKUP(C432,[1]Orders!$A$5:$W$1043,6,0)</f>
        <v>NSW</v>
      </c>
      <c r="I432" t="str">
        <f>VLOOKUP(C432,[1]Orders!$A$5:$W$1043,7,0)</f>
        <v>Corporate</v>
      </c>
      <c r="J432" t="str">
        <f>VLOOKUP(C432,[1]Orders!$A$5:$W$1043,8,0)</f>
        <v>Mihael Khan</v>
      </c>
      <c r="K432" t="str">
        <f>VLOOKUP(C432,[1]Orders!$A$5:$W$1043,9,0)</f>
        <v>Medium</v>
      </c>
    </row>
    <row r="433" spans="3:11" x14ac:dyDescent="0.25">
      <c r="C433" s="61" t="s">
        <v>525</v>
      </c>
      <c r="D433" t="str">
        <f>VLOOKUP(C433,[1]Orders!$A$5:$W$1043,3,0)</f>
        <v>Keith Herrera</v>
      </c>
      <c r="E433">
        <f>VLOOKUP(C433,[1]Orders!$A$5:$W$1043,23,0)</f>
        <v>36.99</v>
      </c>
      <c r="F433" t="str">
        <f>VLOOKUP(C433,[1]Orders!$A$5:$W$1043,5,0)</f>
        <v>Melbourne</v>
      </c>
      <c r="G433" t="str">
        <f>VLOOKUP(C433,[1]Orders!$A$5:$W$1043,5,0)</f>
        <v>Melbourne</v>
      </c>
      <c r="H433" t="str">
        <f>VLOOKUP(C433,[1]Orders!$A$5:$W$1043,6,0)</f>
        <v>VIC</v>
      </c>
      <c r="I433" t="str">
        <f>VLOOKUP(C433,[1]Orders!$A$5:$W$1043,7,0)</f>
        <v>Small Business</v>
      </c>
      <c r="J433" t="str">
        <f>VLOOKUP(C433,[1]Orders!$A$5:$W$1043,8,0)</f>
        <v>Yvette Biti</v>
      </c>
      <c r="K433" t="str">
        <f>VLOOKUP(C433,[1]Orders!$A$5:$W$1043,9,0)</f>
        <v>High</v>
      </c>
    </row>
    <row r="434" spans="3:11" x14ac:dyDescent="0.25">
      <c r="C434" s="61" t="s">
        <v>526</v>
      </c>
      <c r="D434" t="str">
        <f>VLOOKUP(C434,[1]Orders!$A$5:$W$1043,3,0)</f>
        <v>Mark Packer</v>
      </c>
      <c r="E434">
        <f>VLOOKUP(C434,[1]Orders!$A$5:$W$1043,23,0)</f>
        <v>776.01</v>
      </c>
      <c r="F434" t="str">
        <f>VLOOKUP(C434,[1]Orders!$A$5:$W$1043,5,0)</f>
        <v>Sydney</v>
      </c>
      <c r="G434" t="str">
        <f>VLOOKUP(C434,[1]Orders!$A$5:$W$1043,5,0)</f>
        <v>Sydney</v>
      </c>
      <c r="H434" t="str">
        <f>VLOOKUP(C434,[1]Orders!$A$5:$W$1043,6,0)</f>
        <v>NSW</v>
      </c>
      <c r="I434" t="str">
        <f>VLOOKUP(C434,[1]Orders!$A$5:$W$1043,7,0)</f>
        <v>Small Business</v>
      </c>
      <c r="J434" t="str">
        <f>VLOOKUP(C434,[1]Orders!$A$5:$W$1043,8,0)</f>
        <v>Phoebe Gour</v>
      </c>
      <c r="K434" t="str">
        <f>VLOOKUP(C434,[1]Orders!$A$5:$W$1043,9,0)</f>
        <v>High</v>
      </c>
    </row>
    <row r="435" spans="3:11" x14ac:dyDescent="0.25">
      <c r="C435" s="61" t="s">
        <v>527</v>
      </c>
      <c r="D435" t="str">
        <f>VLOOKUP(C435,[1]Orders!$A$5:$W$1043,3,0)</f>
        <v>Denny Joy</v>
      </c>
      <c r="E435">
        <f>VLOOKUP(C435,[1]Orders!$A$5:$W$1043,23,0)</f>
        <v>54.809999999999995</v>
      </c>
      <c r="F435" t="str">
        <f>VLOOKUP(C435,[1]Orders!$A$5:$W$1043,5,0)</f>
        <v>Melbourne</v>
      </c>
      <c r="G435" t="str">
        <f>VLOOKUP(C435,[1]Orders!$A$5:$W$1043,5,0)</f>
        <v>Melbourne</v>
      </c>
      <c r="H435" t="str">
        <f>VLOOKUP(C435,[1]Orders!$A$5:$W$1043,6,0)</f>
        <v>VIC</v>
      </c>
      <c r="I435" t="str">
        <f>VLOOKUP(C435,[1]Orders!$A$5:$W$1043,7,0)</f>
        <v>Corporate</v>
      </c>
      <c r="J435" t="str">
        <f>VLOOKUP(C435,[1]Orders!$A$5:$W$1043,8,0)</f>
        <v>Connor Betts</v>
      </c>
      <c r="K435" t="str">
        <f>VLOOKUP(C435,[1]Orders!$A$5:$W$1043,9,0)</f>
        <v>Medium</v>
      </c>
    </row>
    <row r="436" spans="3:11" x14ac:dyDescent="0.25">
      <c r="C436" s="61" t="s">
        <v>528</v>
      </c>
      <c r="D436" t="str">
        <f>VLOOKUP(C436,[1]Orders!$A$5:$W$1043,3,0)</f>
        <v>Shirley Jackson</v>
      </c>
      <c r="E436">
        <f>VLOOKUP(C436,[1]Orders!$A$5:$W$1043,23,0)</f>
        <v>45.15</v>
      </c>
      <c r="F436" t="str">
        <f>VLOOKUP(C436,[1]Orders!$A$5:$W$1043,5,0)</f>
        <v>Sydney</v>
      </c>
      <c r="G436" t="str">
        <f>VLOOKUP(C436,[1]Orders!$A$5:$W$1043,5,0)</f>
        <v>Sydney</v>
      </c>
      <c r="H436" t="str">
        <f>VLOOKUP(C436,[1]Orders!$A$5:$W$1043,6,0)</f>
        <v>NSW</v>
      </c>
      <c r="I436" t="str">
        <f>VLOOKUP(C436,[1]Orders!$A$5:$W$1043,7,0)</f>
        <v>Corporate</v>
      </c>
      <c r="J436" t="str">
        <f>VLOOKUP(C436,[1]Orders!$A$5:$W$1043,8,0)</f>
        <v>Preston Senome</v>
      </c>
      <c r="K436" t="str">
        <f>VLOOKUP(C436,[1]Orders!$A$5:$W$1043,9,0)</f>
        <v>Medium</v>
      </c>
    </row>
    <row r="437" spans="3:11" x14ac:dyDescent="0.25">
      <c r="C437" s="61" t="s">
        <v>529</v>
      </c>
      <c r="D437" t="str">
        <f>VLOOKUP(C437,[1]Orders!$A$5:$W$1043,3,0)</f>
        <v>Ed Ludwig</v>
      </c>
      <c r="E437">
        <f>VLOOKUP(C437,[1]Orders!$A$5:$W$1043,23,0)</f>
        <v>114.14</v>
      </c>
      <c r="F437" t="str">
        <f>VLOOKUP(C437,[1]Orders!$A$5:$W$1043,5,0)</f>
        <v>Melbourne</v>
      </c>
      <c r="G437" t="str">
        <f>VLOOKUP(C437,[1]Orders!$A$5:$W$1043,5,0)</f>
        <v>Melbourne</v>
      </c>
      <c r="H437" t="str">
        <f>VLOOKUP(C437,[1]Orders!$A$5:$W$1043,6,0)</f>
        <v>VIC</v>
      </c>
      <c r="I437" t="str">
        <f>VLOOKUP(C437,[1]Orders!$A$5:$W$1043,7,0)</f>
        <v>Consumer</v>
      </c>
      <c r="J437" t="str">
        <f>VLOOKUP(C437,[1]Orders!$A$5:$W$1043,8,0)</f>
        <v>Yvette Biti</v>
      </c>
      <c r="K437" t="str">
        <f>VLOOKUP(C437,[1]Orders!$A$5:$W$1043,9,0)</f>
        <v>High</v>
      </c>
    </row>
    <row r="438" spans="3:11" x14ac:dyDescent="0.25">
      <c r="C438" s="61" t="s">
        <v>530</v>
      </c>
      <c r="D438" t="str">
        <f>VLOOKUP(C438,[1]Orders!$A$5:$W$1043,3,0)</f>
        <v>Carol Adams</v>
      </c>
      <c r="E438">
        <f>VLOOKUP(C438,[1]Orders!$A$5:$W$1043,23,0)</f>
        <v>192.75000000000003</v>
      </c>
      <c r="F438" t="str">
        <f>VLOOKUP(C438,[1]Orders!$A$5:$W$1043,5,0)</f>
        <v>Sydney</v>
      </c>
      <c r="G438" t="str">
        <f>VLOOKUP(C438,[1]Orders!$A$5:$W$1043,5,0)</f>
        <v>Sydney</v>
      </c>
      <c r="H438" t="str">
        <f>VLOOKUP(C438,[1]Orders!$A$5:$W$1043,6,0)</f>
        <v>NSW</v>
      </c>
      <c r="I438" t="str">
        <f>VLOOKUP(C438,[1]Orders!$A$5:$W$1043,7,0)</f>
        <v>Corporate</v>
      </c>
      <c r="J438" t="str">
        <f>VLOOKUP(C438,[1]Orders!$A$5:$W$1043,8,0)</f>
        <v>Radhya Staples</v>
      </c>
      <c r="K438" t="str">
        <f>VLOOKUP(C438,[1]Orders!$A$5:$W$1043,9,0)</f>
        <v>Low</v>
      </c>
    </row>
    <row r="439" spans="3:11" x14ac:dyDescent="0.25">
      <c r="C439" s="61" t="s">
        <v>531</v>
      </c>
      <c r="D439" t="str">
        <f>VLOOKUP(C439,[1]Orders!$A$5:$W$1043,3,0)</f>
        <v>John Lucas</v>
      </c>
      <c r="E439">
        <f>VLOOKUP(C439,[1]Orders!$A$5:$W$1043,23,0)</f>
        <v>90.080000000000013</v>
      </c>
      <c r="F439" t="str">
        <f>VLOOKUP(C439,[1]Orders!$A$5:$W$1043,5,0)</f>
        <v>Sydney</v>
      </c>
      <c r="G439" t="str">
        <f>VLOOKUP(C439,[1]Orders!$A$5:$W$1043,5,0)</f>
        <v>Sydney</v>
      </c>
      <c r="H439" t="str">
        <f>VLOOKUP(C439,[1]Orders!$A$5:$W$1043,6,0)</f>
        <v>NSW</v>
      </c>
      <c r="I439" t="str">
        <f>VLOOKUP(C439,[1]Orders!$A$5:$W$1043,7,0)</f>
        <v>Small Business</v>
      </c>
      <c r="J439" t="str">
        <f>VLOOKUP(C439,[1]Orders!$A$5:$W$1043,8,0)</f>
        <v>Tina Carlton</v>
      </c>
      <c r="K439" t="str">
        <f>VLOOKUP(C439,[1]Orders!$A$5:$W$1043,9,0)</f>
        <v>Critical</v>
      </c>
    </row>
    <row r="440" spans="3:11" x14ac:dyDescent="0.25">
      <c r="C440" s="61" t="s">
        <v>532</v>
      </c>
      <c r="D440" t="str">
        <f>VLOOKUP(C440,[1]Orders!$A$5:$W$1043,3,0)</f>
        <v>Benjamin Patterson</v>
      </c>
      <c r="E440">
        <f>VLOOKUP(C440,[1]Orders!$A$5:$W$1043,23,0)</f>
        <v>3.16</v>
      </c>
      <c r="F440" t="str">
        <f>VLOOKUP(C440,[1]Orders!$A$5:$W$1043,5,0)</f>
        <v>Sydney</v>
      </c>
      <c r="G440" t="str">
        <f>VLOOKUP(C440,[1]Orders!$A$5:$W$1043,5,0)</f>
        <v>Sydney</v>
      </c>
      <c r="H440" t="str">
        <f>VLOOKUP(C440,[1]Orders!$A$5:$W$1043,6,0)</f>
        <v>NSW</v>
      </c>
      <c r="I440" t="str">
        <f>VLOOKUP(C440,[1]Orders!$A$5:$W$1043,7,0)</f>
        <v>Corporate</v>
      </c>
      <c r="J440" t="str">
        <f>VLOOKUP(C440,[1]Orders!$A$5:$W$1043,8,0)</f>
        <v>Aanya Zhang</v>
      </c>
      <c r="K440" t="str">
        <f>VLOOKUP(C440,[1]Orders!$A$5:$W$1043,9,0)</f>
        <v>Critical</v>
      </c>
    </row>
    <row r="441" spans="3:11" x14ac:dyDescent="0.25">
      <c r="C441" s="61" t="s">
        <v>533</v>
      </c>
      <c r="D441" t="str">
        <f>VLOOKUP(C441,[1]Orders!$A$5:$W$1043,3,0)</f>
        <v>Sara Luxemburg</v>
      </c>
      <c r="E441">
        <f>VLOOKUP(C441,[1]Orders!$A$5:$W$1043,23,0)</f>
        <v>891.01999999999987</v>
      </c>
      <c r="F441" t="str">
        <f>VLOOKUP(C441,[1]Orders!$A$5:$W$1043,5,0)</f>
        <v>Melbourne</v>
      </c>
      <c r="G441" t="str">
        <f>VLOOKUP(C441,[1]Orders!$A$5:$W$1043,5,0)</f>
        <v>Melbourne</v>
      </c>
      <c r="H441" t="str">
        <f>VLOOKUP(C441,[1]Orders!$A$5:$W$1043,6,0)</f>
        <v>VIC</v>
      </c>
      <c r="I441" t="str">
        <f>VLOOKUP(C441,[1]Orders!$A$5:$W$1043,7,0)</f>
        <v>Small Business</v>
      </c>
      <c r="J441" t="str">
        <f>VLOOKUP(C441,[1]Orders!$A$5:$W$1043,8,0)</f>
        <v>Connor Betts</v>
      </c>
      <c r="K441" t="str">
        <f>VLOOKUP(C441,[1]Orders!$A$5:$W$1043,9,0)</f>
        <v>Critical</v>
      </c>
    </row>
    <row r="442" spans="3:11" x14ac:dyDescent="0.25">
      <c r="C442" s="61" t="s">
        <v>534</v>
      </c>
      <c r="D442" t="str">
        <f>VLOOKUP(C442,[1]Orders!$A$5:$W$1043,3,0)</f>
        <v>Adrian Hane</v>
      </c>
      <c r="E442">
        <f>VLOOKUP(C442,[1]Orders!$A$5:$W$1043,23,0)</f>
        <v>335.01</v>
      </c>
      <c r="F442" t="str">
        <f>VLOOKUP(C442,[1]Orders!$A$5:$W$1043,5,0)</f>
        <v>Melbourne</v>
      </c>
      <c r="G442" t="str">
        <f>VLOOKUP(C442,[1]Orders!$A$5:$W$1043,5,0)</f>
        <v>Melbourne</v>
      </c>
      <c r="H442" t="str">
        <f>VLOOKUP(C442,[1]Orders!$A$5:$W$1043,6,0)</f>
        <v>VIC</v>
      </c>
      <c r="I442" t="str">
        <f>VLOOKUP(C442,[1]Orders!$A$5:$W$1043,7,0)</f>
        <v>Corporate</v>
      </c>
      <c r="J442" t="str">
        <f>VLOOKUP(C442,[1]Orders!$A$5:$W$1043,8,0)</f>
        <v>Connor Betts</v>
      </c>
      <c r="K442" t="str">
        <f>VLOOKUP(C442,[1]Orders!$A$5:$W$1043,9,0)</f>
        <v>Medium</v>
      </c>
    </row>
    <row r="443" spans="3:11" x14ac:dyDescent="0.25">
      <c r="C443" s="61" t="s">
        <v>535</v>
      </c>
      <c r="D443" t="str">
        <f>VLOOKUP(C443,[1]Orders!$A$5:$W$1043,3,0)</f>
        <v>Tonja Turnell</v>
      </c>
      <c r="E443">
        <f>VLOOKUP(C443,[1]Orders!$A$5:$W$1043,23,0)</f>
        <v>53.160000000000004</v>
      </c>
      <c r="F443" t="str">
        <f>VLOOKUP(C443,[1]Orders!$A$5:$W$1043,5,0)</f>
        <v>Melbourne</v>
      </c>
      <c r="G443" t="str">
        <f>VLOOKUP(C443,[1]Orders!$A$5:$W$1043,5,0)</f>
        <v>Melbourne</v>
      </c>
      <c r="H443" t="str">
        <f>VLOOKUP(C443,[1]Orders!$A$5:$W$1043,6,0)</f>
        <v>VIC</v>
      </c>
      <c r="I443" t="str">
        <f>VLOOKUP(C443,[1]Orders!$A$5:$W$1043,7,0)</f>
        <v>Consumer</v>
      </c>
      <c r="J443" t="str">
        <f>VLOOKUP(C443,[1]Orders!$A$5:$W$1043,8,0)</f>
        <v>Yvette Biti</v>
      </c>
      <c r="K443" t="str">
        <f>VLOOKUP(C443,[1]Orders!$A$5:$W$1043,9,0)</f>
        <v>High</v>
      </c>
    </row>
    <row r="444" spans="3:11" x14ac:dyDescent="0.25">
      <c r="C444" s="61" t="s">
        <v>536</v>
      </c>
      <c r="D444" t="str">
        <f>VLOOKUP(C444,[1]Orders!$A$5:$W$1043,3,0)</f>
        <v>Brad Thomas</v>
      </c>
      <c r="E444">
        <f>VLOOKUP(C444,[1]Orders!$A$5:$W$1043,23,0)</f>
        <v>103.81</v>
      </c>
      <c r="F444" t="str">
        <f>VLOOKUP(C444,[1]Orders!$A$5:$W$1043,5,0)</f>
        <v>Sydney</v>
      </c>
      <c r="G444" t="str">
        <f>VLOOKUP(C444,[1]Orders!$A$5:$W$1043,5,0)</f>
        <v>Sydney</v>
      </c>
      <c r="H444" t="str">
        <f>VLOOKUP(C444,[1]Orders!$A$5:$W$1043,6,0)</f>
        <v>NSW</v>
      </c>
      <c r="I444" t="str">
        <f>VLOOKUP(C444,[1]Orders!$A$5:$W$1043,7,0)</f>
        <v>Home Office</v>
      </c>
      <c r="J444" t="str">
        <f>VLOOKUP(C444,[1]Orders!$A$5:$W$1043,8,0)</f>
        <v>Tina Carlton</v>
      </c>
      <c r="K444" t="str">
        <f>VLOOKUP(C444,[1]Orders!$A$5:$W$1043,9,0)</f>
        <v>Low</v>
      </c>
    </row>
    <row r="445" spans="3:11" x14ac:dyDescent="0.25">
      <c r="C445" s="61" t="s">
        <v>537</v>
      </c>
      <c r="D445" t="str">
        <f>VLOOKUP(C445,[1]Orders!$A$5:$W$1043,3,0)</f>
        <v>Dorris Love</v>
      </c>
      <c r="E445">
        <f>VLOOKUP(C445,[1]Orders!$A$5:$W$1043,23,0)</f>
        <v>166.65</v>
      </c>
      <c r="F445" t="str">
        <f>VLOOKUP(C445,[1]Orders!$A$5:$W$1043,5,0)</f>
        <v>Sydney</v>
      </c>
      <c r="G445" t="str">
        <f>VLOOKUP(C445,[1]Orders!$A$5:$W$1043,5,0)</f>
        <v>Sydney</v>
      </c>
      <c r="H445" t="str">
        <f>VLOOKUP(C445,[1]Orders!$A$5:$W$1043,6,0)</f>
        <v>NSW</v>
      </c>
      <c r="I445" t="str">
        <f>VLOOKUP(C445,[1]Orders!$A$5:$W$1043,7,0)</f>
        <v>Home Office</v>
      </c>
      <c r="J445" t="str">
        <f>VLOOKUP(C445,[1]Orders!$A$5:$W$1043,8,0)</f>
        <v>Phoebe Gour</v>
      </c>
      <c r="K445" t="str">
        <f>VLOOKUP(C445,[1]Orders!$A$5:$W$1043,9,0)</f>
        <v>Not Specified</v>
      </c>
    </row>
    <row r="446" spans="3:11" x14ac:dyDescent="0.25">
      <c r="C446" s="61" t="s">
        <v>538</v>
      </c>
      <c r="D446" t="str">
        <f>VLOOKUP(C446,[1]Orders!$A$5:$W$1043,3,0)</f>
        <v>John Lee</v>
      </c>
      <c r="E446">
        <f>VLOOKUP(C446,[1]Orders!$A$5:$W$1043,23,0)</f>
        <v>454.90000000000009</v>
      </c>
      <c r="F446" t="str">
        <f>VLOOKUP(C446,[1]Orders!$A$5:$W$1043,5,0)</f>
        <v>Melbourne</v>
      </c>
      <c r="G446" t="str">
        <f>VLOOKUP(C446,[1]Orders!$A$5:$W$1043,5,0)</f>
        <v>Melbourne</v>
      </c>
      <c r="H446" t="str">
        <f>VLOOKUP(C446,[1]Orders!$A$5:$W$1043,6,0)</f>
        <v>VIC</v>
      </c>
      <c r="I446" t="str">
        <f>VLOOKUP(C446,[1]Orders!$A$5:$W$1043,7,0)</f>
        <v>Corporate</v>
      </c>
      <c r="J446" t="str">
        <f>VLOOKUP(C446,[1]Orders!$A$5:$W$1043,8,0)</f>
        <v>Connor Betts</v>
      </c>
      <c r="K446" t="str">
        <f>VLOOKUP(C446,[1]Orders!$A$5:$W$1043,9,0)</f>
        <v>High</v>
      </c>
    </row>
    <row r="447" spans="3:11" x14ac:dyDescent="0.25">
      <c r="C447" s="61" t="s">
        <v>539</v>
      </c>
      <c r="D447" t="str">
        <f>VLOOKUP(C447,[1]Orders!$A$5:$W$1043,3,0)</f>
        <v>Jill Fjeld</v>
      </c>
      <c r="E447">
        <f>VLOOKUP(C447,[1]Orders!$A$5:$W$1043,23,0)</f>
        <v>559.56000000000006</v>
      </c>
      <c r="F447" t="str">
        <f>VLOOKUP(C447,[1]Orders!$A$5:$W$1043,5,0)</f>
        <v>Sydney</v>
      </c>
      <c r="G447" t="str">
        <f>VLOOKUP(C447,[1]Orders!$A$5:$W$1043,5,0)</f>
        <v>Sydney</v>
      </c>
      <c r="H447" t="str">
        <f>VLOOKUP(C447,[1]Orders!$A$5:$W$1043,6,0)</f>
        <v>NSW</v>
      </c>
      <c r="I447" t="str">
        <f>VLOOKUP(C447,[1]Orders!$A$5:$W$1043,7,0)</f>
        <v>Home Office</v>
      </c>
      <c r="J447" t="str">
        <f>VLOOKUP(C447,[1]Orders!$A$5:$W$1043,8,0)</f>
        <v>Tina Carlton</v>
      </c>
      <c r="K447" t="str">
        <f>VLOOKUP(C447,[1]Orders!$A$5:$W$1043,9,0)</f>
        <v>High</v>
      </c>
    </row>
    <row r="448" spans="3:11" x14ac:dyDescent="0.25">
      <c r="C448" s="61" t="s">
        <v>540</v>
      </c>
      <c r="D448" t="str">
        <f>VLOOKUP(C448,[1]Orders!$A$5:$W$1043,3,0)</f>
        <v>Valerie Dominguez</v>
      </c>
      <c r="E448">
        <f>VLOOKUP(C448,[1]Orders!$A$5:$W$1043,23,0)</f>
        <v>739.06000000000006</v>
      </c>
      <c r="F448" t="str">
        <f>VLOOKUP(C448,[1]Orders!$A$5:$W$1043,5,0)</f>
        <v>Sydney</v>
      </c>
      <c r="G448" t="str">
        <f>VLOOKUP(C448,[1]Orders!$A$5:$W$1043,5,0)</f>
        <v>Sydney</v>
      </c>
      <c r="H448" t="str">
        <f>VLOOKUP(C448,[1]Orders!$A$5:$W$1043,6,0)</f>
        <v>NSW</v>
      </c>
      <c r="I448" t="str">
        <f>VLOOKUP(C448,[1]Orders!$A$5:$W$1043,7,0)</f>
        <v>Corporate</v>
      </c>
      <c r="J448" t="str">
        <f>VLOOKUP(C448,[1]Orders!$A$5:$W$1043,8,0)</f>
        <v>Tina Carlton</v>
      </c>
      <c r="K448" t="str">
        <f>VLOOKUP(C448,[1]Orders!$A$5:$W$1043,9,0)</f>
        <v>Medium</v>
      </c>
    </row>
    <row r="449" spans="3:11" x14ac:dyDescent="0.25">
      <c r="C449" s="61" t="s">
        <v>541</v>
      </c>
      <c r="D449" t="str">
        <f>VLOOKUP(C449,[1]Orders!$A$5:$W$1043,3,0)</f>
        <v>Maribeth Yedwab</v>
      </c>
      <c r="E449">
        <f>VLOOKUP(C449,[1]Orders!$A$5:$W$1043,23,0)</f>
        <v>118.69</v>
      </c>
      <c r="F449" t="str">
        <f>VLOOKUP(C449,[1]Orders!$A$5:$W$1043,5,0)</f>
        <v>Melbourne</v>
      </c>
      <c r="G449" t="str">
        <f>VLOOKUP(C449,[1]Orders!$A$5:$W$1043,5,0)</f>
        <v>Melbourne</v>
      </c>
      <c r="H449" t="str">
        <f>VLOOKUP(C449,[1]Orders!$A$5:$W$1043,6,0)</f>
        <v>VIC</v>
      </c>
      <c r="I449" t="str">
        <f>VLOOKUP(C449,[1]Orders!$A$5:$W$1043,7,0)</f>
        <v>Home Office</v>
      </c>
      <c r="J449" t="str">
        <f>VLOOKUP(C449,[1]Orders!$A$5:$W$1043,8,0)</f>
        <v>Connor Betts</v>
      </c>
      <c r="K449" t="str">
        <f>VLOOKUP(C449,[1]Orders!$A$5:$W$1043,9,0)</f>
        <v>Not Specified</v>
      </c>
    </row>
    <row r="450" spans="3:11" x14ac:dyDescent="0.25">
      <c r="C450" s="61" t="s">
        <v>542</v>
      </c>
      <c r="D450" t="str">
        <f>VLOOKUP(C450,[1]Orders!$A$5:$W$1043,3,0)</f>
        <v>Jim Kriz</v>
      </c>
      <c r="E450">
        <f>VLOOKUP(C450,[1]Orders!$A$5:$W$1043,23,0)</f>
        <v>1152.73</v>
      </c>
      <c r="F450" t="str">
        <f>VLOOKUP(C450,[1]Orders!$A$5:$W$1043,5,0)</f>
        <v>Sydney</v>
      </c>
      <c r="G450" t="str">
        <f>VLOOKUP(C450,[1]Orders!$A$5:$W$1043,5,0)</f>
        <v>Sydney</v>
      </c>
      <c r="H450" t="str">
        <f>VLOOKUP(C450,[1]Orders!$A$5:$W$1043,6,0)</f>
        <v>NSW</v>
      </c>
      <c r="I450" t="str">
        <f>VLOOKUP(C450,[1]Orders!$A$5:$W$1043,7,0)</f>
        <v>Consumer</v>
      </c>
      <c r="J450" t="str">
        <f>VLOOKUP(C450,[1]Orders!$A$5:$W$1043,8,0)</f>
        <v>Mihael Khan</v>
      </c>
      <c r="K450" t="str">
        <f>VLOOKUP(C450,[1]Orders!$A$5:$W$1043,9,0)</f>
        <v>Low</v>
      </c>
    </row>
    <row r="451" spans="3:11" x14ac:dyDescent="0.25">
      <c r="C451" s="61" t="s">
        <v>543</v>
      </c>
      <c r="D451" t="str">
        <f>VLOOKUP(C451,[1]Orders!$A$5:$W$1043,3,0)</f>
        <v>Vivek Sundaresam</v>
      </c>
      <c r="E451">
        <f>VLOOKUP(C451,[1]Orders!$A$5:$W$1043,23,0)</f>
        <v>467.38</v>
      </c>
      <c r="F451" t="str">
        <f>VLOOKUP(C451,[1]Orders!$A$5:$W$1043,5,0)</f>
        <v>Sydney</v>
      </c>
      <c r="G451" t="str">
        <f>VLOOKUP(C451,[1]Orders!$A$5:$W$1043,5,0)</f>
        <v>Sydney</v>
      </c>
      <c r="H451" t="str">
        <f>VLOOKUP(C451,[1]Orders!$A$5:$W$1043,6,0)</f>
        <v>NSW</v>
      </c>
      <c r="I451" t="str">
        <f>VLOOKUP(C451,[1]Orders!$A$5:$W$1043,7,0)</f>
        <v>Home Office</v>
      </c>
      <c r="J451" t="str">
        <f>VLOOKUP(C451,[1]Orders!$A$5:$W$1043,8,0)</f>
        <v>Tina Carlton</v>
      </c>
      <c r="K451" t="str">
        <f>VLOOKUP(C451,[1]Orders!$A$5:$W$1043,9,0)</f>
        <v>Low</v>
      </c>
    </row>
    <row r="452" spans="3:11" x14ac:dyDescent="0.25">
      <c r="C452" s="61" t="s">
        <v>544</v>
      </c>
      <c r="D452" t="str">
        <f>VLOOKUP(C452,[1]Orders!$A$5:$W$1043,3,0)</f>
        <v>Odella Nelson</v>
      </c>
      <c r="E452">
        <f>VLOOKUP(C452,[1]Orders!$A$5:$W$1043,23,0)</f>
        <v>102.91999999999999</v>
      </c>
      <c r="F452" t="str">
        <f>VLOOKUP(C452,[1]Orders!$A$5:$W$1043,5,0)</f>
        <v>Sydney</v>
      </c>
      <c r="G452" t="str">
        <f>VLOOKUP(C452,[1]Orders!$A$5:$W$1043,5,0)</f>
        <v>Sydney</v>
      </c>
      <c r="H452" t="str">
        <f>VLOOKUP(C452,[1]Orders!$A$5:$W$1043,6,0)</f>
        <v>NSW</v>
      </c>
      <c r="I452" t="str">
        <f>VLOOKUP(C452,[1]Orders!$A$5:$W$1043,7,0)</f>
        <v>Small Business</v>
      </c>
      <c r="J452" t="str">
        <f>VLOOKUP(C452,[1]Orders!$A$5:$W$1043,8,0)</f>
        <v>Aanya Zhang</v>
      </c>
      <c r="K452" t="str">
        <f>VLOOKUP(C452,[1]Orders!$A$5:$W$1043,9,0)</f>
        <v>Medium</v>
      </c>
    </row>
    <row r="453" spans="3:11" x14ac:dyDescent="0.25">
      <c r="C453" s="61" t="s">
        <v>545</v>
      </c>
      <c r="D453" t="str">
        <f>VLOOKUP(C453,[1]Orders!$A$5:$W$1043,3,0)</f>
        <v>Kean Thornton</v>
      </c>
      <c r="E453">
        <f>VLOOKUP(C453,[1]Orders!$A$5:$W$1043,23,0)</f>
        <v>129.21</v>
      </c>
      <c r="F453" t="str">
        <f>VLOOKUP(C453,[1]Orders!$A$5:$W$1043,5,0)</f>
        <v>Sydney</v>
      </c>
      <c r="G453" t="str">
        <f>VLOOKUP(C453,[1]Orders!$A$5:$W$1043,5,0)</f>
        <v>Sydney</v>
      </c>
      <c r="H453" t="str">
        <f>VLOOKUP(C453,[1]Orders!$A$5:$W$1043,6,0)</f>
        <v>NSW</v>
      </c>
      <c r="I453" t="str">
        <f>VLOOKUP(C453,[1]Orders!$A$5:$W$1043,7,0)</f>
        <v>Corporate</v>
      </c>
      <c r="J453" t="str">
        <f>VLOOKUP(C453,[1]Orders!$A$5:$W$1043,8,0)</f>
        <v>Natasha Song</v>
      </c>
      <c r="K453" t="str">
        <f>VLOOKUP(C453,[1]Orders!$A$5:$W$1043,9,0)</f>
        <v>Low</v>
      </c>
    </row>
    <row r="454" spans="3:11" x14ac:dyDescent="0.25">
      <c r="C454" s="61" t="s">
        <v>546</v>
      </c>
      <c r="D454" t="str">
        <f>VLOOKUP(C454,[1]Orders!$A$5:$W$1043,3,0)</f>
        <v>Aaron Bergman</v>
      </c>
      <c r="E454">
        <f>VLOOKUP(C454,[1]Orders!$A$5:$W$1043,23,0)</f>
        <v>134.22999999999999</v>
      </c>
      <c r="F454" t="str">
        <f>VLOOKUP(C454,[1]Orders!$A$5:$W$1043,5,0)</f>
        <v>Sydney</v>
      </c>
      <c r="G454" t="str">
        <f>VLOOKUP(C454,[1]Orders!$A$5:$W$1043,5,0)</f>
        <v>Sydney</v>
      </c>
      <c r="H454" t="str">
        <f>VLOOKUP(C454,[1]Orders!$A$5:$W$1043,6,0)</f>
        <v>NSW</v>
      </c>
      <c r="I454" t="str">
        <f>VLOOKUP(C454,[1]Orders!$A$5:$W$1043,7,0)</f>
        <v>Corporate</v>
      </c>
      <c r="J454" t="str">
        <f>VLOOKUP(C454,[1]Orders!$A$5:$W$1043,8,0)</f>
        <v>Natasha Song</v>
      </c>
      <c r="K454" t="str">
        <f>VLOOKUP(C454,[1]Orders!$A$5:$W$1043,9,0)</f>
        <v>Not Specified</v>
      </c>
    </row>
    <row r="455" spans="3:11" x14ac:dyDescent="0.25">
      <c r="C455" s="61" t="s">
        <v>547</v>
      </c>
      <c r="D455" t="str">
        <f>VLOOKUP(C455,[1]Orders!$A$5:$W$1043,3,0)</f>
        <v>Victoria Pisteka</v>
      </c>
      <c r="E455">
        <f>VLOOKUP(C455,[1]Orders!$A$5:$W$1043,23,0)</f>
        <v>134.31</v>
      </c>
      <c r="F455" t="str">
        <f>VLOOKUP(C455,[1]Orders!$A$5:$W$1043,5,0)</f>
        <v>Sydney</v>
      </c>
      <c r="G455" t="str">
        <f>VLOOKUP(C455,[1]Orders!$A$5:$W$1043,5,0)</f>
        <v>Sydney</v>
      </c>
      <c r="H455" t="str">
        <f>VLOOKUP(C455,[1]Orders!$A$5:$W$1043,6,0)</f>
        <v>NSW</v>
      </c>
      <c r="I455" t="str">
        <f>VLOOKUP(C455,[1]Orders!$A$5:$W$1043,7,0)</f>
        <v>Corporate</v>
      </c>
      <c r="J455" t="str">
        <f>VLOOKUP(C455,[1]Orders!$A$5:$W$1043,8,0)</f>
        <v>Natasha Song</v>
      </c>
      <c r="K455" t="str">
        <f>VLOOKUP(C455,[1]Orders!$A$5:$W$1043,9,0)</f>
        <v>Not Specified</v>
      </c>
    </row>
    <row r="456" spans="3:11" x14ac:dyDescent="0.25">
      <c r="C456" s="61" t="s">
        <v>548</v>
      </c>
      <c r="D456" t="str">
        <f>VLOOKUP(C456,[1]Orders!$A$5:$W$1043,3,0)</f>
        <v>Philip Brown</v>
      </c>
      <c r="E456">
        <f>VLOOKUP(C456,[1]Orders!$A$5:$W$1043,23,0)</f>
        <v>22.869999999999997</v>
      </c>
      <c r="F456" t="str">
        <f>VLOOKUP(C456,[1]Orders!$A$5:$W$1043,5,0)</f>
        <v>Melbourne</v>
      </c>
      <c r="G456" t="str">
        <f>VLOOKUP(C456,[1]Orders!$A$5:$W$1043,5,0)</f>
        <v>Melbourne</v>
      </c>
      <c r="H456" t="str">
        <f>VLOOKUP(C456,[1]Orders!$A$5:$W$1043,6,0)</f>
        <v>VIC</v>
      </c>
      <c r="I456" t="str">
        <f>VLOOKUP(C456,[1]Orders!$A$5:$W$1043,7,0)</f>
        <v>Home Office</v>
      </c>
      <c r="J456" t="str">
        <f>VLOOKUP(C456,[1]Orders!$A$5:$W$1043,8,0)</f>
        <v>Yvette Biti</v>
      </c>
      <c r="K456" t="str">
        <f>VLOOKUP(C456,[1]Orders!$A$5:$W$1043,9,0)</f>
        <v>Critical</v>
      </c>
    </row>
    <row r="457" spans="3:11" x14ac:dyDescent="0.25">
      <c r="C457" s="61" t="s">
        <v>549</v>
      </c>
      <c r="D457" t="str">
        <f>VLOOKUP(C457,[1]Orders!$A$5:$W$1043,3,0)</f>
        <v>Jack Garza</v>
      </c>
      <c r="E457">
        <f>VLOOKUP(C457,[1]Orders!$A$5:$W$1043,23,0)</f>
        <v>66.429999999999993</v>
      </c>
      <c r="F457" t="str">
        <f>VLOOKUP(C457,[1]Orders!$A$5:$W$1043,5,0)</f>
        <v>Sydney</v>
      </c>
      <c r="G457" t="str">
        <f>VLOOKUP(C457,[1]Orders!$A$5:$W$1043,5,0)</f>
        <v>Sydney</v>
      </c>
      <c r="H457" t="str">
        <f>VLOOKUP(C457,[1]Orders!$A$5:$W$1043,6,0)</f>
        <v>NSW</v>
      </c>
      <c r="I457" t="str">
        <f>VLOOKUP(C457,[1]Orders!$A$5:$W$1043,7,0)</f>
        <v>Corporate</v>
      </c>
      <c r="J457" t="str">
        <f>VLOOKUP(C457,[1]Orders!$A$5:$W$1043,8,0)</f>
        <v>Phoebe Gour</v>
      </c>
      <c r="K457" t="str">
        <f>VLOOKUP(C457,[1]Orders!$A$5:$W$1043,9,0)</f>
        <v>Critical</v>
      </c>
    </row>
    <row r="458" spans="3:11" x14ac:dyDescent="0.25">
      <c r="C458" s="61" t="s">
        <v>550</v>
      </c>
      <c r="D458" t="str">
        <f>VLOOKUP(C458,[1]Orders!$A$5:$W$1043,3,0)</f>
        <v>Gary Hansen</v>
      </c>
      <c r="E458">
        <f>VLOOKUP(C458,[1]Orders!$A$5:$W$1043,23,0)</f>
        <v>1190.03</v>
      </c>
      <c r="F458" t="str">
        <f>VLOOKUP(C458,[1]Orders!$A$5:$W$1043,5,0)</f>
        <v>Sydney</v>
      </c>
      <c r="G458" t="str">
        <f>VLOOKUP(C458,[1]Orders!$A$5:$W$1043,5,0)</f>
        <v>Sydney</v>
      </c>
      <c r="H458" t="str">
        <f>VLOOKUP(C458,[1]Orders!$A$5:$W$1043,6,0)</f>
        <v>NSW</v>
      </c>
      <c r="I458" t="str">
        <f>VLOOKUP(C458,[1]Orders!$A$5:$W$1043,7,0)</f>
        <v>Consumer</v>
      </c>
      <c r="J458" t="str">
        <f>VLOOKUP(C458,[1]Orders!$A$5:$W$1043,8,0)</f>
        <v>Leighton Forrest</v>
      </c>
      <c r="K458" t="str">
        <f>VLOOKUP(C458,[1]Orders!$A$5:$W$1043,9,0)</f>
        <v>Low</v>
      </c>
    </row>
    <row r="459" spans="3:11" x14ac:dyDescent="0.25">
      <c r="C459" s="61" t="s">
        <v>551</v>
      </c>
      <c r="D459" t="str">
        <f>VLOOKUP(C459,[1]Orders!$A$5:$W$1043,3,0)</f>
        <v>Christina Vanderzanden</v>
      </c>
      <c r="E459">
        <f>VLOOKUP(C459,[1]Orders!$A$5:$W$1043,23,0)</f>
        <v>197.48999999999998</v>
      </c>
      <c r="F459" t="str">
        <f>VLOOKUP(C459,[1]Orders!$A$5:$W$1043,5,0)</f>
        <v>Sydney</v>
      </c>
      <c r="G459" t="str">
        <f>VLOOKUP(C459,[1]Orders!$A$5:$W$1043,5,0)</f>
        <v>Sydney</v>
      </c>
      <c r="H459" t="str">
        <f>VLOOKUP(C459,[1]Orders!$A$5:$W$1043,6,0)</f>
        <v>NSW</v>
      </c>
      <c r="I459" t="str">
        <f>VLOOKUP(C459,[1]Orders!$A$5:$W$1043,7,0)</f>
        <v>Small Business</v>
      </c>
      <c r="J459" t="str">
        <f>VLOOKUP(C459,[1]Orders!$A$5:$W$1043,8,0)</f>
        <v>Tina Carlton</v>
      </c>
      <c r="K459" t="str">
        <f>VLOOKUP(C459,[1]Orders!$A$5:$W$1043,9,0)</f>
        <v>Low</v>
      </c>
    </row>
    <row r="460" spans="3:11" x14ac:dyDescent="0.25">
      <c r="C460" s="61" t="s">
        <v>552</v>
      </c>
      <c r="D460" t="str">
        <f>VLOOKUP(C460,[1]Orders!$A$5:$W$1043,3,0)</f>
        <v>Bart Watters</v>
      </c>
      <c r="E460">
        <f>VLOOKUP(C460,[1]Orders!$A$5:$W$1043,23,0)</f>
        <v>73.489999999999995</v>
      </c>
      <c r="F460" t="str">
        <f>VLOOKUP(C460,[1]Orders!$A$5:$W$1043,5,0)</f>
        <v>Sydney</v>
      </c>
      <c r="G460" t="str">
        <f>VLOOKUP(C460,[1]Orders!$A$5:$W$1043,5,0)</f>
        <v>Sydney</v>
      </c>
      <c r="H460" t="str">
        <f>VLOOKUP(C460,[1]Orders!$A$5:$W$1043,6,0)</f>
        <v>NSW</v>
      </c>
      <c r="I460" t="str">
        <f>VLOOKUP(C460,[1]Orders!$A$5:$W$1043,7,0)</f>
        <v>Corporate</v>
      </c>
      <c r="J460" t="str">
        <f>VLOOKUP(C460,[1]Orders!$A$5:$W$1043,8,0)</f>
        <v>Nicholas Fernandes</v>
      </c>
      <c r="K460" t="str">
        <f>VLOOKUP(C460,[1]Orders!$A$5:$W$1043,9,0)</f>
        <v>Critical</v>
      </c>
    </row>
    <row r="461" spans="3:11" x14ac:dyDescent="0.25">
      <c r="C461" s="61" t="s">
        <v>553</v>
      </c>
      <c r="D461" t="str">
        <f>VLOOKUP(C461,[1]Orders!$A$5:$W$1043,3,0)</f>
        <v>Nathan Mautz</v>
      </c>
      <c r="E461">
        <f>VLOOKUP(C461,[1]Orders!$A$5:$W$1043,23,0)</f>
        <v>439.46999999999997</v>
      </c>
      <c r="F461" t="str">
        <f>VLOOKUP(C461,[1]Orders!$A$5:$W$1043,5,0)</f>
        <v>Melbourne</v>
      </c>
      <c r="G461" t="str">
        <f>VLOOKUP(C461,[1]Orders!$A$5:$W$1043,5,0)</f>
        <v>Melbourne</v>
      </c>
      <c r="H461" t="str">
        <f>VLOOKUP(C461,[1]Orders!$A$5:$W$1043,6,0)</f>
        <v>VIC</v>
      </c>
      <c r="I461" t="str">
        <f>VLOOKUP(C461,[1]Orders!$A$5:$W$1043,7,0)</f>
        <v>Corporate</v>
      </c>
      <c r="J461" t="str">
        <f>VLOOKUP(C461,[1]Orders!$A$5:$W$1043,8,0)</f>
        <v>Connor Betts</v>
      </c>
      <c r="K461" t="str">
        <f>VLOOKUP(C461,[1]Orders!$A$5:$W$1043,9,0)</f>
        <v>High</v>
      </c>
    </row>
    <row r="462" spans="3:11" x14ac:dyDescent="0.25">
      <c r="C462" s="61" t="s">
        <v>554</v>
      </c>
      <c r="D462" t="str">
        <f>VLOOKUP(C462,[1]Orders!$A$5:$W$1043,3,0)</f>
        <v>Cindy Chapman</v>
      </c>
      <c r="E462">
        <f>VLOOKUP(C462,[1]Orders!$A$5:$W$1043,23,0)</f>
        <v>77.429999999999993</v>
      </c>
      <c r="F462" t="str">
        <f>VLOOKUP(C462,[1]Orders!$A$5:$W$1043,5,0)</f>
        <v>Sydney</v>
      </c>
      <c r="G462" t="str">
        <f>VLOOKUP(C462,[1]Orders!$A$5:$W$1043,5,0)</f>
        <v>Sydney</v>
      </c>
      <c r="H462" t="str">
        <f>VLOOKUP(C462,[1]Orders!$A$5:$W$1043,6,0)</f>
        <v>NSW</v>
      </c>
      <c r="I462" t="str">
        <f>VLOOKUP(C462,[1]Orders!$A$5:$W$1043,7,0)</f>
        <v>Corporate</v>
      </c>
      <c r="J462" t="str">
        <f>VLOOKUP(C462,[1]Orders!$A$5:$W$1043,8,0)</f>
        <v>Tina Carlton</v>
      </c>
      <c r="K462" t="str">
        <f>VLOOKUP(C462,[1]Orders!$A$5:$W$1043,9,0)</f>
        <v>Low</v>
      </c>
    </row>
    <row r="463" spans="3:11" x14ac:dyDescent="0.25">
      <c r="C463" s="61" t="s">
        <v>555</v>
      </c>
      <c r="D463" t="str">
        <f>VLOOKUP(C463,[1]Orders!$A$5:$W$1043,3,0)</f>
        <v>Charles McCrossin</v>
      </c>
      <c r="E463">
        <f>VLOOKUP(C463,[1]Orders!$A$5:$W$1043,23,0)</f>
        <v>122.02000000000001</v>
      </c>
      <c r="F463" t="str">
        <f>VLOOKUP(C463,[1]Orders!$A$5:$W$1043,5,0)</f>
        <v>Sydney</v>
      </c>
      <c r="G463" t="str">
        <f>VLOOKUP(C463,[1]Orders!$A$5:$W$1043,5,0)</f>
        <v>Sydney</v>
      </c>
      <c r="H463" t="str">
        <f>VLOOKUP(C463,[1]Orders!$A$5:$W$1043,6,0)</f>
        <v>NSW</v>
      </c>
      <c r="I463" t="str">
        <f>VLOOKUP(C463,[1]Orders!$A$5:$W$1043,7,0)</f>
        <v>Corporate</v>
      </c>
      <c r="J463" t="str">
        <f>VLOOKUP(C463,[1]Orders!$A$5:$W$1043,8,0)</f>
        <v>Samantha Chairs</v>
      </c>
      <c r="K463" t="str">
        <f>VLOOKUP(C463,[1]Orders!$A$5:$W$1043,9,0)</f>
        <v>High</v>
      </c>
    </row>
    <row r="464" spans="3:11" x14ac:dyDescent="0.25">
      <c r="C464" s="61" t="s">
        <v>556</v>
      </c>
      <c r="D464" t="str">
        <f>VLOOKUP(C464,[1]Orders!$A$5:$W$1043,3,0)</f>
        <v>Giulietta Baptist</v>
      </c>
      <c r="E464">
        <f>VLOOKUP(C464,[1]Orders!$A$5:$W$1043,23,0)</f>
        <v>108.28</v>
      </c>
      <c r="F464" t="str">
        <f>VLOOKUP(C464,[1]Orders!$A$5:$W$1043,5,0)</f>
        <v>Sydney</v>
      </c>
      <c r="G464" t="str">
        <f>VLOOKUP(C464,[1]Orders!$A$5:$W$1043,5,0)</f>
        <v>Sydney</v>
      </c>
      <c r="H464" t="str">
        <f>VLOOKUP(C464,[1]Orders!$A$5:$W$1043,6,0)</f>
        <v>NSW</v>
      </c>
      <c r="I464" t="str">
        <f>VLOOKUP(C464,[1]Orders!$A$5:$W$1043,7,0)</f>
        <v>Home Office</v>
      </c>
      <c r="J464" t="str">
        <f>VLOOKUP(C464,[1]Orders!$A$5:$W$1043,8,0)</f>
        <v>Tina Carlton</v>
      </c>
      <c r="K464" t="str">
        <f>VLOOKUP(C464,[1]Orders!$A$5:$W$1043,9,0)</f>
        <v>High</v>
      </c>
    </row>
    <row r="465" spans="3:11" x14ac:dyDescent="0.25">
      <c r="C465" s="61" t="s">
        <v>557</v>
      </c>
      <c r="D465" t="str">
        <f>VLOOKUP(C465,[1]Orders!$A$5:$W$1043,3,0)</f>
        <v>Christopher Martinez</v>
      </c>
      <c r="E465">
        <f>VLOOKUP(C465,[1]Orders!$A$5:$W$1043,23,0)</f>
        <v>9.8199999999999985</v>
      </c>
      <c r="F465" t="str">
        <f>VLOOKUP(C465,[1]Orders!$A$5:$W$1043,5,0)</f>
        <v>Sydney</v>
      </c>
      <c r="G465" t="str">
        <f>VLOOKUP(C465,[1]Orders!$A$5:$W$1043,5,0)</f>
        <v>Sydney</v>
      </c>
      <c r="H465" t="str">
        <f>VLOOKUP(C465,[1]Orders!$A$5:$W$1043,6,0)</f>
        <v>NSW</v>
      </c>
      <c r="I465" t="str">
        <f>VLOOKUP(C465,[1]Orders!$A$5:$W$1043,7,0)</f>
        <v>Small Business</v>
      </c>
      <c r="J465" t="str">
        <f>VLOOKUP(C465,[1]Orders!$A$5:$W$1043,8,0)</f>
        <v>Tina Carlton</v>
      </c>
      <c r="K465" t="str">
        <f>VLOOKUP(C465,[1]Orders!$A$5:$W$1043,9,0)</f>
        <v>Low</v>
      </c>
    </row>
    <row r="466" spans="3:11" x14ac:dyDescent="0.25">
      <c r="C466" s="61" t="s">
        <v>558</v>
      </c>
      <c r="D466" t="str">
        <f>VLOOKUP(C466,[1]Orders!$A$5:$W$1043,3,0)</f>
        <v>Patrick Jones</v>
      </c>
      <c r="E466">
        <f>VLOOKUP(C466,[1]Orders!$A$5:$W$1043,23,0)</f>
        <v>7325.4999999999991</v>
      </c>
      <c r="F466" t="str">
        <f>VLOOKUP(C466,[1]Orders!$A$5:$W$1043,5,0)</f>
        <v>Melbourne</v>
      </c>
      <c r="G466" t="str">
        <f>VLOOKUP(C466,[1]Orders!$A$5:$W$1043,5,0)</f>
        <v>Melbourne</v>
      </c>
      <c r="H466" t="str">
        <f>VLOOKUP(C466,[1]Orders!$A$5:$W$1043,6,0)</f>
        <v>VIC</v>
      </c>
      <c r="I466" t="str">
        <f>VLOOKUP(C466,[1]Orders!$A$5:$W$1043,7,0)</f>
        <v>Home Office</v>
      </c>
      <c r="J466" t="str">
        <f>VLOOKUP(C466,[1]Orders!$A$5:$W$1043,8,0)</f>
        <v>Yvette Biti</v>
      </c>
      <c r="K466" t="str">
        <f>VLOOKUP(C466,[1]Orders!$A$5:$W$1043,9,0)</f>
        <v>High</v>
      </c>
    </row>
    <row r="467" spans="3:11" x14ac:dyDescent="0.25">
      <c r="C467" s="61" t="s">
        <v>559</v>
      </c>
      <c r="D467" t="str">
        <f>VLOOKUP(C467,[1]Orders!$A$5:$W$1043,3,0)</f>
        <v>Jamie Kunitz</v>
      </c>
      <c r="E467">
        <f>VLOOKUP(C467,[1]Orders!$A$5:$W$1043,23,0)</f>
        <v>301.70000000000005</v>
      </c>
      <c r="F467" t="str">
        <f>VLOOKUP(C467,[1]Orders!$A$5:$W$1043,5,0)</f>
        <v>Sydney</v>
      </c>
      <c r="G467" t="str">
        <f>VLOOKUP(C467,[1]Orders!$A$5:$W$1043,5,0)</f>
        <v>Sydney</v>
      </c>
      <c r="H467" t="str">
        <f>VLOOKUP(C467,[1]Orders!$A$5:$W$1043,6,0)</f>
        <v>NSW</v>
      </c>
      <c r="I467" t="str">
        <f>VLOOKUP(C467,[1]Orders!$A$5:$W$1043,7,0)</f>
        <v>Corporate</v>
      </c>
      <c r="J467" t="str">
        <f>VLOOKUP(C467,[1]Orders!$A$5:$W$1043,8,0)</f>
        <v>Phoebe Gour</v>
      </c>
      <c r="K467" t="str">
        <f>VLOOKUP(C467,[1]Orders!$A$5:$W$1043,9,0)</f>
        <v>Not Specified</v>
      </c>
    </row>
    <row r="468" spans="3:11" x14ac:dyDescent="0.25">
      <c r="C468" s="61" t="s">
        <v>560</v>
      </c>
      <c r="D468" t="str">
        <f>VLOOKUP(C468,[1]Orders!$A$5:$W$1043,3,0)</f>
        <v>Carl Jackson</v>
      </c>
      <c r="E468">
        <f>VLOOKUP(C468,[1]Orders!$A$5:$W$1043,23,0)</f>
        <v>111.11</v>
      </c>
      <c r="F468" t="str">
        <f>VLOOKUP(C468,[1]Orders!$A$5:$W$1043,5,0)</f>
        <v>Sydney</v>
      </c>
      <c r="G468" t="str">
        <f>VLOOKUP(C468,[1]Orders!$A$5:$W$1043,5,0)</f>
        <v>Sydney</v>
      </c>
      <c r="H468" t="str">
        <f>VLOOKUP(C468,[1]Orders!$A$5:$W$1043,6,0)</f>
        <v>NSW</v>
      </c>
      <c r="I468" t="str">
        <f>VLOOKUP(C468,[1]Orders!$A$5:$W$1043,7,0)</f>
        <v>Home Office</v>
      </c>
      <c r="J468" t="str">
        <f>VLOOKUP(C468,[1]Orders!$A$5:$W$1043,8,0)</f>
        <v>Samantha Chairs</v>
      </c>
      <c r="K468" t="str">
        <f>VLOOKUP(C468,[1]Orders!$A$5:$W$1043,9,0)</f>
        <v>High</v>
      </c>
    </row>
    <row r="469" spans="3:11" x14ac:dyDescent="0.25">
      <c r="C469" s="61" t="s">
        <v>561</v>
      </c>
      <c r="D469" t="str">
        <f>VLOOKUP(C469,[1]Orders!$A$5:$W$1043,3,0)</f>
        <v>Ritsa Hightower</v>
      </c>
      <c r="E469">
        <f>VLOOKUP(C469,[1]Orders!$A$5:$W$1043,23,0)</f>
        <v>1032.6500000000001</v>
      </c>
      <c r="F469" t="str">
        <f>VLOOKUP(C469,[1]Orders!$A$5:$W$1043,5,0)</f>
        <v>Sydney</v>
      </c>
      <c r="G469" t="str">
        <f>VLOOKUP(C469,[1]Orders!$A$5:$W$1043,5,0)</f>
        <v>Sydney</v>
      </c>
      <c r="H469" t="str">
        <f>VLOOKUP(C469,[1]Orders!$A$5:$W$1043,6,0)</f>
        <v>NSW</v>
      </c>
      <c r="I469" t="str">
        <f>VLOOKUP(C469,[1]Orders!$A$5:$W$1043,7,0)</f>
        <v>Corporate</v>
      </c>
      <c r="J469" t="str">
        <f>VLOOKUP(C469,[1]Orders!$A$5:$W$1043,8,0)</f>
        <v>Natasha Song</v>
      </c>
      <c r="K469" t="str">
        <f>VLOOKUP(C469,[1]Orders!$A$5:$W$1043,9,0)</f>
        <v>High</v>
      </c>
    </row>
    <row r="470" spans="3:11" x14ac:dyDescent="0.25">
      <c r="C470" s="61" t="s">
        <v>562</v>
      </c>
      <c r="D470" t="str">
        <f>VLOOKUP(C470,[1]Orders!$A$5:$W$1043,3,0)</f>
        <v>Nathan Mautz</v>
      </c>
      <c r="E470">
        <f>VLOOKUP(C470,[1]Orders!$A$5:$W$1043,23,0)</f>
        <v>5.26</v>
      </c>
      <c r="F470" t="str">
        <f>VLOOKUP(C470,[1]Orders!$A$5:$W$1043,5,0)</f>
        <v>Melbourne</v>
      </c>
      <c r="G470" t="str">
        <f>VLOOKUP(C470,[1]Orders!$A$5:$W$1043,5,0)</f>
        <v>Melbourne</v>
      </c>
      <c r="H470" t="str">
        <f>VLOOKUP(C470,[1]Orders!$A$5:$W$1043,6,0)</f>
        <v>VIC</v>
      </c>
      <c r="I470" t="str">
        <f>VLOOKUP(C470,[1]Orders!$A$5:$W$1043,7,0)</f>
        <v>Corporate</v>
      </c>
      <c r="J470" t="str">
        <f>VLOOKUP(C470,[1]Orders!$A$5:$W$1043,8,0)</f>
        <v>Connor Betts</v>
      </c>
      <c r="K470" t="str">
        <f>VLOOKUP(C470,[1]Orders!$A$5:$W$1043,9,0)</f>
        <v>Not Specified</v>
      </c>
    </row>
    <row r="471" spans="3:11" x14ac:dyDescent="0.25">
      <c r="C471" s="61" t="s">
        <v>563</v>
      </c>
      <c r="D471" t="str">
        <f>VLOOKUP(C471,[1]Orders!$A$5:$W$1043,3,0)</f>
        <v>Liz Price</v>
      </c>
      <c r="E471">
        <f>VLOOKUP(C471,[1]Orders!$A$5:$W$1043,23,0)</f>
        <v>199.02</v>
      </c>
      <c r="F471" t="str">
        <f>VLOOKUP(C471,[1]Orders!$A$5:$W$1043,5,0)</f>
        <v>Sydney</v>
      </c>
      <c r="G471" t="str">
        <f>VLOOKUP(C471,[1]Orders!$A$5:$W$1043,5,0)</f>
        <v>Sydney</v>
      </c>
      <c r="H471" t="str">
        <f>VLOOKUP(C471,[1]Orders!$A$5:$W$1043,6,0)</f>
        <v>NSW</v>
      </c>
      <c r="I471" t="str">
        <f>VLOOKUP(C471,[1]Orders!$A$5:$W$1043,7,0)</f>
        <v>Consumer</v>
      </c>
      <c r="J471" t="str">
        <f>VLOOKUP(C471,[1]Orders!$A$5:$W$1043,8,0)</f>
        <v>Phoebe Gour</v>
      </c>
      <c r="K471" t="str">
        <f>VLOOKUP(C471,[1]Orders!$A$5:$W$1043,9,0)</f>
        <v>Low</v>
      </c>
    </row>
    <row r="472" spans="3:11" x14ac:dyDescent="0.25">
      <c r="C472" s="61" t="s">
        <v>564</v>
      </c>
      <c r="D472" t="str">
        <f>VLOOKUP(C472,[1]Orders!$A$5:$W$1043,3,0)</f>
        <v>Patrick OBrill</v>
      </c>
      <c r="E472">
        <f>VLOOKUP(C472,[1]Orders!$A$5:$W$1043,23,0)</f>
        <v>179.04</v>
      </c>
      <c r="F472" t="str">
        <f>VLOOKUP(C472,[1]Orders!$A$5:$W$1043,5,0)</f>
        <v>Sydney</v>
      </c>
      <c r="G472" t="str">
        <f>VLOOKUP(C472,[1]Orders!$A$5:$W$1043,5,0)</f>
        <v>Sydney</v>
      </c>
      <c r="H472" t="str">
        <f>VLOOKUP(C472,[1]Orders!$A$5:$W$1043,6,0)</f>
        <v>NSW</v>
      </c>
      <c r="I472" t="str">
        <f>VLOOKUP(C472,[1]Orders!$A$5:$W$1043,7,0)</f>
        <v>Home Office</v>
      </c>
      <c r="J472" t="str">
        <f>VLOOKUP(C472,[1]Orders!$A$5:$W$1043,8,0)</f>
        <v>Tina Carlton</v>
      </c>
      <c r="K472" t="str">
        <f>VLOOKUP(C472,[1]Orders!$A$5:$W$1043,9,0)</f>
        <v>Low</v>
      </c>
    </row>
    <row r="473" spans="3:11" x14ac:dyDescent="0.25">
      <c r="C473" s="61" t="s">
        <v>565</v>
      </c>
      <c r="D473" t="str">
        <f>VLOOKUP(C473,[1]Orders!$A$5:$W$1043,3,0)</f>
        <v>Sanjit Jacobs</v>
      </c>
      <c r="E473">
        <f>VLOOKUP(C473,[1]Orders!$A$5:$W$1043,23,0)</f>
        <v>142.63000000000002</v>
      </c>
      <c r="F473" t="str">
        <f>VLOOKUP(C473,[1]Orders!$A$5:$W$1043,5,0)</f>
        <v>Melbourne</v>
      </c>
      <c r="G473" t="str">
        <f>VLOOKUP(C473,[1]Orders!$A$5:$W$1043,5,0)</f>
        <v>Melbourne</v>
      </c>
      <c r="H473" t="str">
        <f>VLOOKUP(C473,[1]Orders!$A$5:$W$1043,6,0)</f>
        <v>VIC</v>
      </c>
      <c r="I473" t="str">
        <f>VLOOKUP(C473,[1]Orders!$A$5:$W$1043,7,0)</f>
        <v>Consumer</v>
      </c>
      <c r="J473" t="str">
        <f>VLOOKUP(C473,[1]Orders!$A$5:$W$1043,8,0)</f>
        <v>Yvette Biti</v>
      </c>
      <c r="K473" t="str">
        <f>VLOOKUP(C473,[1]Orders!$A$5:$W$1043,9,0)</f>
        <v>Critical</v>
      </c>
    </row>
    <row r="474" spans="3:11" x14ac:dyDescent="0.25">
      <c r="C474" s="61" t="s">
        <v>566</v>
      </c>
      <c r="D474" t="str">
        <f>VLOOKUP(C474,[1]Orders!$A$5:$W$1043,3,0)</f>
        <v>Christopher Schild</v>
      </c>
      <c r="E474">
        <f>VLOOKUP(C474,[1]Orders!$A$5:$W$1043,23,0)</f>
        <v>14.97</v>
      </c>
      <c r="F474" t="str">
        <f>VLOOKUP(C474,[1]Orders!$A$5:$W$1043,5,0)</f>
        <v>Sydney</v>
      </c>
      <c r="G474" t="str">
        <f>VLOOKUP(C474,[1]Orders!$A$5:$W$1043,5,0)</f>
        <v>Sydney</v>
      </c>
      <c r="H474" t="str">
        <f>VLOOKUP(C474,[1]Orders!$A$5:$W$1043,6,0)</f>
        <v>NSW</v>
      </c>
      <c r="I474" t="str">
        <f>VLOOKUP(C474,[1]Orders!$A$5:$W$1043,7,0)</f>
        <v>Corporate</v>
      </c>
      <c r="J474" t="str">
        <f>VLOOKUP(C474,[1]Orders!$A$5:$W$1043,8,0)</f>
        <v>Tina Carlton</v>
      </c>
      <c r="K474" t="str">
        <f>VLOOKUP(C474,[1]Orders!$A$5:$W$1043,9,0)</f>
        <v>High</v>
      </c>
    </row>
    <row r="475" spans="3:11" x14ac:dyDescent="0.25">
      <c r="C475" s="61" t="s">
        <v>567</v>
      </c>
      <c r="D475" t="str">
        <f>VLOOKUP(C475,[1]Orders!$A$5:$W$1043,3,0)</f>
        <v>Trudy Bell</v>
      </c>
      <c r="E475">
        <f>VLOOKUP(C475,[1]Orders!$A$5:$W$1043,23,0)</f>
        <v>383.11</v>
      </c>
      <c r="F475" t="str">
        <f>VLOOKUP(C475,[1]Orders!$A$5:$W$1043,5,0)</f>
        <v>Sydney</v>
      </c>
      <c r="G475" t="str">
        <f>VLOOKUP(C475,[1]Orders!$A$5:$W$1043,5,0)</f>
        <v>Sydney</v>
      </c>
      <c r="H475" t="str">
        <f>VLOOKUP(C475,[1]Orders!$A$5:$W$1043,6,0)</f>
        <v>NSW</v>
      </c>
      <c r="I475" t="str">
        <f>VLOOKUP(C475,[1]Orders!$A$5:$W$1043,7,0)</f>
        <v>Consumer</v>
      </c>
      <c r="J475" t="str">
        <f>VLOOKUP(C475,[1]Orders!$A$5:$W$1043,8,0)</f>
        <v>Nicholas Fernandes</v>
      </c>
      <c r="K475" t="str">
        <f>VLOOKUP(C475,[1]Orders!$A$5:$W$1043,9,0)</f>
        <v>High</v>
      </c>
    </row>
    <row r="476" spans="3:11" x14ac:dyDescent="0.25">
      <c r="C476" s="61" t="s">
        <v>568</v>
      </c>
      <c r="D476" t="str">
        <f>VLOOKUP(C476,[1]Orders!$A$5:$W$1043,3,0)</f>
        <v>Harold Dahlen</v>
      </c>
      <c r="E476">
        <f>VLOOKUP(C476,[1]Orders!$A$5:$W$1043,23,0)</f>
        <v>79.959999999999994</v>
      </c>
      <c r="F476" t="str">
        <f>VLOOKUP(C476,[1]Orders!$A$5:$W$1043,5,0)</f>
        <v>Sydney</v>
      </c>
      <c r="G476" t="str">
        <f>VLOOKUP(C476,[1]Orders!$A$5:$W$1043,5,0)</f>
        <v>Sydney</v>
      </c>
      <c r="H476" t="str">
        <f>VLOOKUP(C476,[1]Orders!$A$5:$W$1043,6,0)</f>
        <v>NSW</v>
      </c>
      <c r="I476" t="str">
        <f>VLOOKUP(C476,[1]Orders!$A$5:$W$1043,7,0)</f>
        <v>Corporate</v>
      </c>
      <c r="J476" t="str">
        <f>VLOOKUP(C476,[1]Orders!$A$5:$W$1043,8,0)</f>
        <v>Tina Carlton</v>
      </c>
      <c r="K476" t="str">
        <f>VLOOKUP(C476,[1]Orders!$A$5:$W$1043,9,0)</f>
        <v>Low</v>
      </c>
    </row>
    <row r="477" spans="3:11" x14ac:dyDescent="0.25">
      <c r="C477" s="61" t="s">
        <v>569</v>
      </c>
      <c r="D477" t="str">
        <f>VLOOKUP(C477,[1]Orders!$A$5:$W$1043,3,0)</f>
        <v>Arthur Prichep</v>
      </c>
      <c r="E477">
        <f>VLOOKUP(C477,[1]Orders!$A$5:$W$1043,23,0)</f>
        <v>857.19</v>
      </c>
      <c r="F477" t="str">
        <f>VLOOKUP(C477,[1]Orders!$A$5:$W$1043,5,0)</f>
        <v>Sydney</v>
      </c>
      <c r="G477" t="str">
        <f>VLOOKUP(C477,[1]Orders!$A$5:$W$1043,5,0)</f>
        <v>Sydney</v>
      </c>
      <c r="H477" t="str">
        <f>VLOOKUP(C477,[1]Orders!$A$5:$W$1043,6,0)</f>
        <v>NSW</v>
      </c>
      <c r="I477" t="str">
        <f>VLOOKUP(C477,[1]Orders!$A$5:$W$1043,7,0)</f>
        <v>Home Office</v>
      </c>
      <c r="J477" t="str">
        <f>VLOOKUP(C477,[1]Orders!$A$5:$W$1043,8,0)</f>
        <v>Phoebe Gour</v>
      </c>
      <c r="K477" t="str">
        <f>VLOOKUP(C477,[1]Orders!$A$5:$W$1043,9,0)</f>
        <v>Medium</v>
      </c>
    </row>
    <row r="478" spans="3:11" x14ac:dyDescent="0.25">
      <c r="C478" s="61" t="s">
        <v>570</v>
      </c>
      <c r="D478" t="str">
        <f>VLOOKUP(C478,[1]Orders!$A$5:$W$1043,3,0)</f>
        <v>Vicky Freymann</v>
      </c>
      <c r="E478">
        <f>VLOOKUP(C478,[1]Orders!$A$5:$W$1043,23,0)</f>
        <v>2860.2700000000004</v>
      </c>
      <c r="F478" t="str">
        <f>VLOOKUP(C478,[1]Orders!$A$5:$W$1043,5,0)</f>
        <v>Sydney</v>
      </c>
      <c r="G478" t="str">
        <f>VLOOKUP(C478,[1]Orders!$A$5:$W$1043,5,0)</f>
        <v>Sydney</v>
      </c>
      <c r="H478" t="str">
        <f>VLOOKUP(C478,[1]Orders!$A$5:$W$1043,6,0)</f>
        <v>NSW</v>
      </c>
      <c r="I478" t="str">
        <f>VLOOKUP(C478,[1]Orders!$A$5:$W$1043,7,0)</f>
        <v>Home Office</v>
      </c>
      <c r="J478" t="str">
        <f>VLOOKUP(C478,[1]Orders!$A$5:$W$1043,8,0)</f>
        <v>Samantha Chairs</v>
      </c>
      <c r="K478" t="str">
        <f>VLOOKUP(C478,[1]Orders!$A$5:$W$1043,9,0)</f>
        <v>Low</v>
      </c>
    </row>
    <row r="479" spans="3:11" x14ac:dyDescent="0.25">
      <c r="C479" s="61" t="s">
        <v>571</v>
      </c>
      <c r="D479" t="str">
        <f>VLOOKUP(C479,[1]Orders!$A$5:$W$1043,3,0)</f>
        <v>Patrick Jones</v>
      </c>
      <c r="E479">
        <f>VLOOKUP(C479,[1]Orders!$A$5:$W$1043,23,0)</f>
        <v>145.29000000000002</v>
      </c>
      <c r="F479" t="str">
        <f>VLOOKUP(C479,[1]Orders!$A$5:$W$1043,5,0)</f>
        <v>Melbourne</v>
      </c>
      <c r="G479" t="str">
        <f>VLOOKUP(C479,[1]Orders!$A$5:$W$1043,5,0)</f>
        <v>Melbourne</v>
      </c>
      <c r="H479" t="str">
        <f>VLOOKUP(C479,[1]Orders!$A$5:$W$1043,6,0)</f>
        <v>VIC</v>
      </c>
      <c r="I479" t="str">
        <f>VLOOKUP(C479,[1]Orders!$A$5:$W$1043,7,0)</f>
        <v>Home Office</v>
      </c>
      <c r="J479" t="str">
        <f>VLOOKUP(C479,[1]Orders!$A$5:$W$1043,8,0)</f>
        <v>Yvette Biti</v>
      </c>
      <c r="K479" t="str">
        <f>VLOOKUP(C479,[1]Orders!$A$5:$W$1043,9,0)</f>
        <v>Critical</v>
      </c>
    </row>
    <row r="480" spans="3:11" x14ac:dyDescent="0.25">
      <c r="C480" s="61" t="s">
        <v>572</v>
      </c>
      <c r="D480" t="str">
        <f>VLOOKUP(C480,[1]Orders!$A$5:$W$1043,3,0)</f>
        <v>Patrick Jones</v>
      </c>
      <c r="E480">
        <f>VLOOKUP(C480,[1]Orders!$A$5:$W$1043,23,0)</f>
        <v>50.89</v>
      </c>
      <c r="F480" t="str">
        <f>VLOOKUP(C480,[1]Orders!$A$5:$W$1043,5,0)</f>
        <v>Melbourne</v>
      </c>
      <c r="G480" t="str">
        <f>VLOOKUP(C480,[1]Orders!$A$5:$W$1043,5,0)</f>
        <v>Melbourne</v>
      </c>
      <c r="H480" t="str">
        <f>VLOOKUP(C480,[1]Orders!$A$5:$W$1043,6,0)</f>
        <v>VIC</v>
      </c>
      <c r="I480" t="str">
        <f>VLOOKUP(C480,[1]Orders!$A$5:$W$1043,7,0)</f>
        <v>Home Office</v>
      </c>
      <c r="J480" t="str">
        <f>VLOOKUP(C480,[1]Orders!$A$5:$W$1043,8,0)</f>
        <v>Yvette Biti</v>
      </c>
      <c r="K480" t="str">
        <f>VLOOKUP(C480,[1]Orders!$A$5:$W$1043,9,0)</f>
        <v>Not Specified</v>
      </c>
    </row>
    <row r="481" spans="3:11" x14ac:dyDescent="0.25">
      <c r="C481" s="61" t="s">
        <v>573</v>
      </c>
      <c r="D481" t="str">
        <f>VLOOKUP(C481,[1]Orders!$A$5:$W$1043,3,0)</f>
        <v>Barry Franz</v>
      </c>
      <c r="E481">
        <f>VLOOKUP(C481,[1]Orders!$A$5:$W$1043,23,0)</f>
        <v>48.010000000000005</v>
      </c>
      <c r="F481" t="str">
        <f>VLOOKUP(C481,[1]Orders!$A$5:$W$1043,5,0)</f>
        <v>Melbourne</v>
      </c>
      <c r="G481" t="str">
        <f>VLOOKUP(C481,[1]Orders!$A$5:$W$1043,5,0)</f>
        <v>Melbourne</v>
      </c>
      <c r="H481" t="str">
        <f>VLOOKUP(C481,[1]Orders!$A$5:$W$1043,6,0)</f>
        <v>VIC</v>
      </c>
      <c r="I481" t="str">
        <f>VLOOKUP(C481,[1]Orders!$A$5:$W$1043,7,0)</f>
        <v>Corporate</v>
      </c>
      <c r="J481" t="str">
        <f>VLOOKUP(C481,[1]Orders!$A$5:$W$1043,8,0)</f>
        <v>Yvette Biti</v>
      </c>
      <c r="K481" t="str">
        <f>VLOOKUP(C481,[1]Orders!$A$5:$W$1043,9,0)</f>
        <v>High</v>
      </c>
    </row>
    <row r="482" spans="3:11" x14ac:dyDescent="0.25">
      <c r="C482" s="61" t="s">
        <v>574</v>
      </c>
      <c r="D482" t="str">
        <f>VLOOKUP(C482,[1]Orders!$A$5:$W$1043,3,0)</f>
        <v>George Ashbrook</v>
      </c>
      <c r="E482">
        <f>VLOOKUP(C482,[1]Orders!$A$5:$W$1043,23,0)</f>
        <v>613.64</v>
      </c>
      <c r="F482" t="str">
        <f>VLOOKUP(C482,[1]Orders!$A$5:$W$1043,5,0)</f>
        <v>Melbourne</v>
      </c>
      <c r="G482" t="str">
        <f>VLOOKUP(C482,[1]Orders!$A$5:$W$1043,5,0)</f>
        <v>Melbourne</v>
      </c>
      <c r="H482" t="str">
        <f>VLOOKUP(C482,[1]Orders!$A$5:$W$1043,6,0)</f>
        <v>VIC</v>
      </c>
      <c r="I482" t="str">
        <f>VLOOKUP(C482,[1]Orders!$A$5:$W$1043,7,0)</f>
        <v>Small Business</v>
      </c>
      <c r="J482" t="str">
        <f>VLOOKUP(C482,[1]Orders!$A$5:$W$1043,8,0)</f>
        <v>Connor Betts</v>
      </c>
      <c r="K482" t="str">
        <f>VLOOKUP(C482,[1]Orders!$A$5:$W$1043,9,0)</f>
        <v>Not Specified</v>
      </c>
    </row>
    <row r="483" spans="3:11" x14ac:dyDescent="0.25">
      <c r="C483" s="61" t="s">
        <v>575</v>
      </c>
      <c r="D483" t="str">
        <f>VLOOKUP(C483,[1]Orders!$A$5:$W$1043,3,0)</f>
        <v>Roger Demir</v>
      </c>
      <c r="E483">
        <f>VLOOKUP(C483,[1]Orders!$A$5:$W$1043,23,0)</f>
        <v>377.56000000000006</v>
      </c>
      <c r="F483" t="str">
        <f>VLOOKUP(C483,[1]Orders!$A$5:$W$1043,5,0)</f>
        <v>Sydney</v>
      </c>
      <c r="G483" t="str">
        <f>VLOOKUP(C483,[1]Orders!$A$5:$W$1043,5,0)</f>
        <v>Sydney</v>
      </c>
      <c r="H483" t="str">
        <f>VLOOKUP(C483,[1]Orders!$A$5:$W$1043,6,0)</f>
        <v>NSW</v>
      </c>
      <c r="I483" t="str">
        <f>VLOOKUP(C483,[1]Orders!$A$5:$W$1043,7,0)</f>
        <v>Consumer</v>
      </c>
      <c r="J483" t="str">
        <f>VLOOKUP(C483,[1]Orders!$A$5:$W$1043,8,0)</f>
        <v>Samantha Chairs</v>
      </c>
      <c r="K483" t="str">
        <f>VLOOKUP(C483,[1]Orders!$A$5:$W$1043,9,0)</f>
        <v>Not Specified</v>
      </c>
    </row>
    <row r="484" spans="3:11" x14ac:dyDescent="0.25">
      <c r="C484" s="61" t="s">
        <v>576</v>
      </c>
      <c r="D484" t="str">
        <f>VLOOKUP(C484,[1]Orders!$A$5:$W$1043,3,0)</f>
        <v>Philip Brown</v>
      </c>
      <c r="E484">
        <f>VLOOKUP(C484,[1]Orders!$A$5:$W$1043,23,0)</f>
        <v>101.54</v>
      </c>
      <c r="F484" t="str">
        <f>VLOOKUP(C484,[1]Orders!$A$5:$W$1043,5,0)</f>
        <v>Melbourne</v>
      </c>
      <c r="G484" t="str">
        <f>VLOOKUP(C484,[1]Orders!$A$5:$W$1043,5,0)</f>
        <v>Melbourne</v>
      </c>
      <c r="H484" t="str">
        <f>VLOOKUP(C484,[1]Orders!$A$5:$W$1043,6,0)</f>
        <v>VIC</v>
      </c>
      <c r="I484" t="str">
        <f>VLOOKUP(C484,[1]Orders!$A$5:$W$1043,7,0)</f>
        <v>Corporate</v>
      </c>
      <c r="J484" t="str">
        <f>VLOOKUP(C484,[1]Orders!$A$5:$W$1043,8,0)</f>
        <v>Yvette Biti</v>
      </c>
      <c r="K484" t="str">
        <f>VLOOKUP(C484,[1]Orders!$A$5:$W$1043,9,0)</f>
        <v>Medium</v>
      </c>
    </row>
    <row r="485" spans="3:11" x14ac:dyDescent="0.25">
      <c r="C485" s="61" t="s">
        <v>577</v>
      </c>
      <c r="D485" t="str">
        <f>VLOOKUP(C485,[1]Orders!$A$5:$W$1043,3,0)</f>
        <v>Kelly Collister</v>
      </c>
      <c r="E485">
        <f>VLOOKUP(C485,[1]Orders!$A$5:$W$1043,23,0)</f>
        <v>126.48000000000002</v>
      </c>
      <c r="F485" t="str">
        <f>VLOOKUP(C485,[1]Orders!$A$5:$W$1043,5,0)</f>
        <v>Melbourne</v>
      </c>
      <c r="G485" t="str">
        <f>VLOOKUP(C485,[1]Orders!$A$5:$W$1043,5,0)</f>
        <v>Melbourne</v>
      </c>
      <c r="H485" t="str">
        <f>VLOOKUP(C485,[1]Orders!$A$5:$W$1043,6,0)</f>
        <v>VIC</v>
      </c>
      <c r="I485" t="str">
        <f>VLOOKUP(C485,[1]Orders!$A$5:$W$1043,7,0)</f>
        <v>Consumer</v>
      </c>
      <c r="J485" t="str">
        <f>VLOOKUP(C485,[1]Orders!$A$5:$W$1043,8,0)</f>
        <v>Yvette Biti</v>
      </c>
      <c r="K485" t="str">
        <f>VLOOKUP(C485,[1]Orders!$A$5:$W$1043,9,0)</f>
        <v>High</v>
      </c>
    </row>
    <row r="486" spans="3:11" x14ac:dyDescent="0.25">
      <c r="C486" s="61" t="s">
        <v>578</v>
      </c>
      <c r="D486" t="str">
        <f>VLOOKUP(C486,[1]Orders!$A$5:$W$1043,3,0)</f>
        <v>Caroline Jumper</v>
      </c>
      <c r="E486">
        <f>VLOOKUP(C486,[1]Orders!$A$5:$W$1043,23,0)</f>
        <v>571.59999999999991</v>
      </c>
      <c r="F486" t="str">
        <f>VLOOKUP(C486,[1]Orders!$A$5:$W$1043,5,0)</f>
        <v>Sydney</v>
      </c>
      <c r="G486" t="str">
        <f>VLOOKUP(C486,[1]Orders!$A$5:$W$1043,5,0)</f>
        <v>Sydney</v>
      </c>
      <c r="H486" t="str">
        <f>VLOOKUP(C486,[1]Orders!$A$5:$W$1043,6,0)</f>
        <v>NSW</v>
      </c>
      <c r="I486" t="str">
        <f>VLOOKUP(C486,[1]Orders!$A$5:$W$1043,7,0)</f>
        <v>Corporate</v>
      </c>
      <c r="J486" t="str">
        <f>VLOOKUP(C486,[1]Orders!$A$5:$W$1043,8,0)</f>
        <v>Phoebe Gour</v>
      </c>
      <c r="K486" t="str">
        <f>VLOOKUP(C486,[1]Orders!$A$5:$W$1043,9,0)</f>
        <v>Not Specified</v>
      </c>
    </row>
    <row r="487" spans="3:11" x14ac:dyDescent="0.25">
      <c r="C487" s="61" t="s">
        <v>579</v>
      </c>
      <c r="D487" t="str">
        <f>VLOOKUP(C487,[1]Orders!$A$5:$W$1043,3,0)</f>
        <v>Catherine Glotzbach</v>
      </c>
      <c r="E487">
        <f>VLOOKUP(C487,[1]Orders!$A$5:$W$1043,23,0)</f>
        <v>115.1</v>
      </c>
      <c r="F487" t="str">
        <f>VLOOKUP(C487,[1]Orders!$A$5:$W$1043,5,0)</f>
        <v>Sydney</v>
      </c>
      <c r="G487" t="str">
        <f>VLOOKUP(C487,[1]Orders!$A$5:$W$1043,5,0)</f>
        <v>Sydney</v>
      </c>
      <c r="H487" t="str">
        <f>VLOOKUP(C487,[1]Orders!$A$5:$W$1043,6,0)</f>
        <v>NSW</v>
      </c>
      <c r="I487" t="str">
        <f>VLOOKUP(C487,[1]Orders!$A$5:$W$1043,7,0)</f>
        <v>Home Office</v>
      </c>
      <c r="J487" t="str">
        <f>VLOOKUP(C487,[1]Orders!$A$5:$W$1043,8,0)</f>
        <v>Tina Carlton</v>
      </c>
      <c r="K487" t="str">
        <f>VLOOKUP(C487,[1]Orders!$A$5:$W$1043,9,0)</f>
        <v>Medium</v>
      </c>
    </row>
    <row r="488" spans="3:11" x14ac:dyDescent="0.25">
      <c r="C488" s="61" t="s">
        <v>580</v>
      </c>
      <c r="D488" t="str">
        <f>VLOOKUP(C488,[1]Orders!$A$5:$W$1043,3,0)</f>
        <v>Mike Gockenbach</v>
      </c>
      <c r="E488">
        <f>VLOOKUP(C488,[1]Orders!$A$5:$W$1043,23,0)</f>
        <v>39.14</v>
      </c>
      <c r="F488" t="str">
        <f>VLOOKUP(C488,[1]Orders!$A$5:$W$1043,5,0)</f>
        <v>Melbourne</v>
      </c>
      <c r="G488" t="str">
        <f>VLOOKUP(C488,[1]Orders!$A$5:$W$1043,5,0)</f>
        <v>Melbourne</v>
      </c>
      <c r="H488" t="str">
        <f>VLOOKUP(C488,[1]Orders!$A$5:$W$1043,6,0)</f>
        <v>VIC</v>
      </c>
      <c r="I488" t="str">
        <f>VLOOKUP(C488,[1]Orders!$A$5:$W$1043,7,0)</f>
        <v>Consumer</v>
      </c>
      <c r="J488" t="str">
        <f>VLOOKUP(C488,[1]Orders!$A$5:$W$1043,8,0)</f>
        <v>Connor Betts</v>
      </c>
      <c r="K488" t="str">
        <f>VLOOKUP(C488,[1]Orders!$A$5:$W$1043,9,0)</f>
        <v>Low</v>
      </c>
    </row>
    <row r="489" spans="3:11" x14ac:dyDescent="0.25">
      <c r="C489" s="61" t="s">
        <v>581</v>
      </c>
      <c r="D489" t="str">
        <f>VLOOKUP(C489,[1]Orders!$A$5:$W$1043,3,0)</f>
        <v>Eugene Moren</v>
      </c>
      <c r="E489">
        <f>VLOOKUP(C489,[1]Orders!$A$5:$W$1043,23,0)</f>
        <v>1020.12</v>
      </c>
      <c r="F489" t="str">
        <f>VLOOKUP(C489,[1]Orders!$A$5:$W$1043,5,0)</f>
        <v>Sydney</v>
      </c>
      <c r="G489" t="str">
        <f>VLOOKUP(C489,[1]Orders!$A$5:$W$1043,5,0)</f>
        <v>Sydney</v>
      </c>
      <c r="H489" t="str">
        <f>VLOOKUP(C489,[1]Orders!$A$5:$W$1043,6,0)</f>
        <v>NSW</v>
      </c>
      <c r="I489" t="str">
        <f>VLOOKUP(C489,[1]Orders!$A$5:$W$1043,7,0)</f>
        <v>Home Office</v>
      </c>
      <c r="J489" t="str">
        <f>VLOOKUP(C489,[1]Orders!$A$5:$W$1043,8,0)</f>
        <v>Mihael Khan</v>
      </c>
      <c r="K489" t="str">
        <f>VLOOKUP(C489,[1]Orders!$A$5:$W$1043,9,0)</f>
        <v>Medium</v>
      </c>
    </row>
    <row r="490" spans="3:11" x14ac:dyDescent="0.25">
      <c r="C490" s="61" t="s">
        <v>582</v>
      </c>
      <c r="D490" t="str">
        <f>VLOOKUP(C490,[1]Orders!$A$5:$W$1043,3,0)</f>
        <v>Brendan Murry</v>
      </c>
      <c r="E490">
        <f>VLOOKUP(C490,[1]Orders!$A$5:$W$1043,23,0)</f>
        <v>281.11</v>
      </c>
      <c r="F490" t="str">
        <f>VLOOKUP(C490,[1]Orders!$A$5:$W$1043,5,0)</f>
        <v>Sydney</v>
      </c>
      <c r="G490" t="str">
        <f>VLOOKUP(C490,[1]Orders!$A$5:$W$1043,5,0)</f>
        <v>Sydney</v>
      </c>
      <c r="H490" t="str">
        <f>VLOOKUP(C490,[1]Orders!$A$5:$W$1043,6,0)</f>
        <v>NSW</v>
      </c>
      <c r="I490" t="str">
        <f>VLOOKUP(C490,[1]Orders!$A$5:$W$1043,7,0)</f>
        <v>Corporate</v>
      </c>
      <c r="J490" t="str">
        <f>VLOOKUP(C490,[1]Orders!$A$5:$W$1043,8,0)</f>
        <v>Samantha Chairs</v>
      </c>
      <c r="K490" t="str">
        <f>VLOOKUP(C490,[1]Orders!$A$5:$W$1043,9,0)</f>
        <v>High</v>
      </c>
    </row>
    <row r="491" spans="3:11" x14ac:dyDescent="0.25">
      <c r="C491" s="61" t="s">
        <v>583</v>
      </c>
      <c r="D491" t="str">
        <f>VLOOKUP(C491,[1]Orders!$A$5:$W$1043,3,0)</f>
        <v>John Murray</v>
      </c>
      <c r="E491">
        <f>VLOOKUP(C491,[1]Orders!$A$5:$W$1043,23,0)</f>
        <v>2020.48</v>
      </c>
      <c r="F491" t="str">
        <f>VLOOKUP(C491,[1]Orders!$A$5:$W$1043,5,0)</f>
        <v>Sydney</v>
      </c>
      <c r="G491" t="str">
        <f>VLOOKUP(C491,[1]Orders!$A$5:$W$1043,5,0)</f>
        <v>Sydney</v>
      </c>
      <c r="H491" t="str">
        <f>VLOOKUP(C491,[1]Orders!$A$5:$W$1043,6,0)</f>
        <v>NSW</v>
      </c>
      <c r="I491" t="str">
        <f>VLOOKUP(C491,[1]Orders!$A$5:$W$1043,7,0)</f>
        <v>Small Business</v>
      </c>
      <c r="J491" t="str">
        <f>VLOOKUP(C491,[1]Orders!$A$5:$W$1043,8,0)</f>
        <v>Phoebe Gour</v>
      </c>
      <c r="K491" t="str">
        <f>VLOOKUP(C491,[1]Orders!$A$5:$W$1043,9,0)</f>
        <v>Not Specified</v>
      </c>
    </row>
    <row r="492" spans="3:11" x14ac:dyDescent="0.25">
      <c r="C492" s="61" t="s">
        <v>584</v>
      </c>
      <c r="D492" t="str">
        <f>VLOOKUP(C492,[1]Orders!$A$5:$W$1043,3,0)</f>
        <v>Lindsay Shagiari</v>
      </c>
      <c r="E492">
        <f>VLOOKUP(C492,[1]Orders!$A$5:$W$1043,23,0)</f>
        <v>93.05</v>
      </c>
      <c r="F492" t="str">
        <f>VLOOKUP(C492,[1]Orders!$A$5:$W$1043,5,0)</f>
        <v>Sydney</v>
      </c>
      <c r="G492" t="str">
        <f>VLOOKUP(C492,[1]Orders!$A$5:$W$1043,5,0)</f>
        <v>Sydney</v>
      </c>
      <c r="H492" t="str">
        <f>VLOOKUP(C492,[1]Orders!$A$5:$W$1043,6,0)</f>
        <v>NSW</v>
      </c>
      <c r="I492" t="str">
        <f>VLOOKUP(C492,[1]Orders!$A$5:$W$1043,7,0)</f>
        <v>Home Office</v>
      </c>
      <c r="J492" t="str">
        <f>VLOOKUP(C492,[1]Orders!$A$5:$W$1043,8,0)</f>
        <v>Nicholas Fernandes</v>
      </c>
      <c r="K492" t="str">
        <f>VLOOKUP(C492,[1]Orders!$A$5:$W$1043,9,0)</f>
        <v>High</v>
      </c>
    </row>
    <row r="493" spans="3:11" x14ac:dyDescent="0.25">
      <c r="C493" s="61" t="s">
        <v>585</v>
      </c>
      <c r="D493" t="str">
        <f>VLOOKUP(C493,[1]Orders!$A$5:$W$1043,3,0)</f>
        <v>Pete Armstrong</v>
      </c>
      <c r="E493">
        <f>VLOOKUP(C493,[1]Orders!$A$5:$W$1043,23,0)</f>
        <v>129.21</v>
      </c>
      <c r="F493" t="str">
        <f>VLOOKUP(C493,[1]Orders!$A$5:$W$1043,5,0)</f>
        <v>Melbourne</v>
      </c>
      <c r="G493" t="str">
        <f>VLOOKUP(C493,[1]Orders!$A$5:$W$1043,5,0)</f>
        <v>Melbourne</v>
      </c>
      <c r="H493" t="str">
        <f>VLOOKUP(C493,[1]Orders!$A$5:$W$1043,6,0)</f>
        <v>VIC</v>
      </c>
      <c r="I493" t="str">
        <f>VLOOKUP(C493,[1]Orders!$A$5:$W$1043,7,0)</f>
        <v>Consumer</v>
      </c>
      <c r="J493" t="str">
        <f>VLOOKUP(C493,[1]Orders!$A$5:$W$1043,8,0)</f>
        <v>Connor Betts</v>
      </c>
      <c r="K493" t="str">
        <f>VLOOKUP(C493,[1]Orders!$A$5:$W$1043,9,0)</f>
        <v>Low</v>
      </c>
    </row>
    <row r="494" spans="3:11" x14ac:dyDescent="0.25">
      <c r="C494" s="61" t="s">
        <v>586</v>
      </c>
      <c r="D494" t="str">
        <f>VLOOKUP(C494,[1]Orders!$A$5:$W$1043,3,0)</f>
        <v>Becky Castell</v>
      </c>
      <c r="E494">
        <f>VLOOKUP(C494,[1]Orders!$A$5:$W$1043,23,0)</f>
        <v>378.26</v>
      </c>
      <c r="F494" t="str">
        <f>VLOOKUP(C494,[1]Orders!$A$5:$W$1043,5,0)</f>
        <v>Sydney</v>
      </c>
      <c r="G494" t="str">
        <f>VLOOKUP(C494,[1]Orders!$A$5:$W$1043,5,0)</f>
        <v>Sydney</v>
      </c>
      <c r="H494" t="str">
        <f>VLOOKUP(C494,[1]Orders!$A$5:$W$1043,6,0)</f>
        <v>NSW</v>
      </c>
      <c r="I494" t="str">
        <f>VLOOKUP(C494,[1]Orders!$A$5:$W$1043,7,0)</f>
        <v>Consumer</v>
      </c>
      <c r="J494" t="str">
        <f>VLOOKUP(C494,[1]Orders!$A$5:$W$1043,8,0)</f>
        <v>Preston Senome</v>
      </c>
      <c r="K494" t="str">
        <f>VLOOKUP(C494,[1]Orders!$A$5:$W$1043,9,0)</f>
        <v>Medium</v>
      </c>
    </row>
    <row r="495" spans="3:11" x14ac:dyDescent="0.25">
      <c r="C495" s="61" t="s">
        <v>587</v>
      </c>
      <c r="D495" t="str">
        <f>VLOOKUP(C495,[1]Orders!$A$5:$W$1043,3,0)</f>
        <v>Ritsa Hightower</v>
      </c>
      <c r="E495">
        <f>VLOOKUP(C495,[1]Orders!$A$5:$W$1043,23,0)</f>
        <v>24624.010000000002</v>
      </c>
      <c r="F495" t="str">
        <f>VLOOKUP(C495,[1]Orders!$A$5:$W$1043,5,0)</f>
        <v>Sydney</v>
      </c>
      <c r="G495" t="str">
        <f>VLOOKUP(C495,[1]Orders!$A$5:$W$1043,5,0)</f>
        <v>Sydney</v>
      </c>
      <c r="H495" t="str">
        <f>VLOOKUP(C495,[1]Orders!$A$5:$W$1043,6,0)</f>
        <v>NSW</v>
      </c>
      <c r="I495" t="str">
        <f>VLOOKUP(C495,[1]Orders!$A$5:$W$1043,7,0)</f>
        <v>Corporate</v>
      </c>
      <c r="J495" t="str">
        <f>VLOOKUP(C495,[1]Orders!$A$5:$W$1043,8,0)</f>
        <v>Natasha Song</v>
      </c>
      <c r="K495" t="str">
        <f>VLOOKUP(C495,[1]Orders!$A$5:$W$1043,9,0)</f>
        <v>Medium</v>
      </c>
    </row>
    <row r="496" spans="3:11" x14ac:dyDescent="0.25">
      <c r="C496" s="61" t="s">
        <v>588</v>
      </c>
      <c r="D496" t="str">
        <f>VLOOKUP(C496,[1]Orders!$A$5:$W$1043,3,0)</f>
        <v>Toby Carlisle</v>
      </c>
      <c r="E496">
        <f>VLOOKUP(C496,[1]Orders!$A$5:$W$1043,23,0)</f>
        <v>12024.22</v>
      </c>
      <c r="F496" t="str">
        <f>VLOOKUP(C496,[1]Orders!$A$5:$W$1043,5,0)</f>
        <v>Sydney</v>
      </c>
      <c r="G496" t="str">
        <f>VLOOKUP(C496,[1]Orders!$A$5:$W$1043,5,0)</f>
        <v>Sydney</v>
      </c>
      <c r="H496" t="str">
        <f>VLOOKUP(C496,[1]Orders!$A$5:$W$1043,6,0)</f>
        <v>NSW</v>
      </c>
      <c r="I496" t="str">
        <f>VLOOKUP(C496,[1]Orders!$A$5:$W$1043,7,0)</f>
        <v>Home Office</v>
      </c>
      <c r="J496" t="str">
        <f>VLOOKUP(C496,[1]Orders!$A$5:$W$1043,8,0)</f>
        <v>Leighton Forrest</v>
      </c>
      <c r="K496" t="str">
        <f>VLOOKUP(C496,[1]Orders!$A$5:$W$1043,9,0)</f>
        <v>High</v>
      </c>
    </row>
    <row r="497" spans="3:11" x14ac:dyDescent="0.25">
      <c r="C497" s="61" t="s">
        <v>589</v>
      </c>
      <c r="D497" t="str">
        <f>VLOOKUP(C497,[1]Orders!$A$5:$W$1043,3,0)</f>
        <v>Greg Hansen</v>
      </c>
      <c r="E497">
        <f>VLOOKUP(C497,[1]Orders!$A$5:$W$1043,23,0)</f>
        <v>68.37</v>
      </c>
      <c r="F497" t="str">
        <f>VLOOKUP(C497,[1]Orders!$A$5:$W$1043,5,0)</f>
        <v>Melbourne</v>
      </c>
      <c r="G497" t="str">
        <f>VLOOKUP(C497,[1]Orders!$A$5:$W$1043,5,0)</f>
        <v>Melbourne</v>
      </c>
      <c r="H497" t="str">
        <f>VLOOKUP(C497,[1]Orders!$A$5:$W$1043,6,0)</f>
        <v>VIC</v>
      </c>
      <c r="I497" t="str">
        <f>VLOOKUP(C497,[1]Orders!$A$5:$W$1043,7,0)</f>
        <v>Home Office</v>
      </c>
      <c r="J497" t="str">
        <f>VLOOKUP(C497,[1]Orders!$A$5:$W$1043,8,0)</f>
        <v>Yvette Biti</v>
      </c>
      <c r="K497" t="str">
        <f>VLOOKUP(C497,[1]Orders!$A$5:$W$1043,9,0)</f>
        <v>Critical</v>
      </c>
    </row>
    <row r="498" spans="3:11" x14ac:dyDescent="0.25">
      <c r="C498" s="61" t="s">
        <v>590</v>
      </c>
      <c r="D498" t="str">
        <f>VLOOKUP(C498,[1]Orders!$A$5:$W$1043,3,0)</f>
        <v>Julia Dunbar</v>
      </c>
      <c r="E498">
        <f>VLOOKUP(C498,[1]Orders!$A$5:$W$1043,23,0)</f>
        <v>944.00000000000011</v>
      </c>
      <c r="F498" t="str">
        <f>VLOOKUP(C498,[1]Orders!$A$5:$W$1043,5,0)</f>
        <v>Sydney</v>
      </c>
      <c r="G498" t="str">
        <f>VLOOKUP(C498,[1]Orders!$A$5:$W$1043,5,0)</f>
        <v>Sydney</v>
      </c>
      <c r="H498" t="str">
        <f>VLOOKUP(C498,[1]Orders!$A$5:$W$1043,6,0)</f>
        <v>NSW</v>
      </c>
      <c r="I498" t="str">
        <f>VLOOKUP(C498,[1]Orders!$A$5:$W$1043,7,0)</f>
        <v>Consumer</v>
      </c>
      <c r="J498" t="str">
        <f>VLOOKUP(C498,[1]Orders!$A$5:$W$1043,8,0)</f>
        <v>Phoebe Gour</v>
      </c>
      <c r="K498" t="str">
        <f>VLOOKUP(C498,[1]Orders!$A$5:$W$1043,9,0)</f>
        <v>Not Specified</v>
      </c>
    </row>
    <row r="499" spans="3:11" x14ac:dyDescent="0.25">
      <c r="C499" s="61" t="s">
        <v>591</v>
      </c>
      <c r="D499" t="str">
        <f>VLOOKUP(C499,[1]Orders!$A$5:$W$1043,3,0)</f>
        <v>Jill Stevenson</v>
      </c>
      <c r="E499">
        <f>VLOOKUP(C499,[1]Orders!$A$5:$W$1043,23,0)</f>
        <v>91.53</v>
      </c>
      <c r="F499" t="str">
        <f>VLOOKUP(C499,[1]Orders!$A$5:$W$1043,5,0)</f>
        <v>Sydney</v>
      </c>
      <c r="G499" t="str">
        <f>VLOOKUP(C499,[1]Orders!$A$5:$W$1043,5,0)</f>
        <v>Sydney</v>
      </c>
      <c r="H499" t="str">
        <f>VLOOKUP(C499,[1]Orders!$A$5:$W$1043,6,0)</f>
        <v>NSW</v>
      </c>
      <c r="I499" t="str">
        <f>VLOOKUP(C499,[1]Orders!$A$5:$W$1043,7,0)</f>
        <v>Consumer</v>
      </c>
      <c r="J499" t="str">
        <f>VLOOKUP(C499,[1]Orders!$A$5:$W$1043,8,0)</f>
        <v>Radhya Staples</v>
      </c>
      <c r="K499" t="str">
        <f>VLOOKUP(C499,[1]Orders!$A$5:$W$1043,9,0)</f>
        <v>Low</v>
      </c>
    </row>
    <row r="500" spans="3:11" x14ac:dyDescent="0.25">
      <c r="C500" s="61" t="s">
        <v>592</v>
      </c>
      <c r="D500" t="str">
        <f>VLOOKUP(C500,[1]Orders!$A$5:$W$1043,3,0)</f>
        <v>Giulietta Weimer</v>
      </c>
      <c r="E500">
        <f>VLOOKUP(C500,[1]Orders!$A$5:$W$1043,23,0)</f>
        <v>42.1</v>
      </c>
      <c r="F500" t="str">
        <f>VLOOKUP(C500,[1]Orders!$A$5:$W$1043,5,0)</f>
        <v>Sydney</v>
      </c>
      <c r="G500" t="str">
        <f>VLOOKUP(C500,[1]Orders!$A$5:$W$1043,5,0)</f>
        <v>Sydney</v>
      </c>
      <c r="H500" t="str">
        <f>VLOOKUP(C500,[1]Orders!$A$5:$W$1043,6,0)</f>
        <v>NSW</v>
      </c>
      <c r="I500" t="str">
        <f>VLOOKUP(C500,[1]Orders!$A$5:$W$1043,7,0)</f>
        <v>Corporate</v>
      </c>
      <c r="J500" t="str">
        <f>VLOOKUP(C500,[1]Orders!$A$5:$W$1043,8,0)</f>
        <v>Natasha Song</v>
      </c>
      <c r="K500" t="str">
        <f>VLOOKUP(C500,[1]Orders!$A$5:$W$1043,9,0)</f>
        <v>High</v>
      </c>
    </row>
    <row r="501" spans="3:11" x14ac:dyDescent="0.25">
      <c r="C501" s="61" t="s">
        <v>593</v>
      </c>
      <c r="D501" t="str">
        <f>VLOOKUP(C501,[1]Orders!$A$5:$W$1043,3,0)</f>
        <v>Jamie Kunitz</v>
      </c>
      <c r="E501">
        <f>VLOOKUP(C501,[1]Orders!$A$5:$W$1043,23,0)</f>
        <v>34.909999999999997</v>
      </c>
      <c r="F501" t="str">
        <f>VLOOKUP(C501,[1]Orders!$A$5:$W$1043,5,0)</f>
        <v>Sydney</v>
      </c>
      <c r="G501" t="str">
        <f>VLOOKUP(C501,[1]Orders!$A$5:$W$1043,5,0)</f>
        <v>Sydney</v>
      </c>
      <c r="H501" t="str">
        <f>VLOOKUP(C501,[1]Orders!$A$5:$W$1043,6,0)</f>
        <v>NSW</v>
      </c>
      <c r="I501" t="str">
        <f>VLOOKUP(C501,[1]Orders!$A$5:$W$1043,7,0)</f>
        <v>Corporate</v>
      </c>
      <c r="J501" t="str">
        <f>VLOOKUP(C501,[1]Orders!$A$5:$W$1043,8,0)</f>
        <v>Phoebe Gour</v>
      </c>
      <c r="K501" t="str">
        <f>VLOOKUP(C501,[1]Orders!$A$5:$W$1043,9,0)</f>
        <v>Critical</v>
      </c>
    </row>
    <row r="502" spans="3:11" x14ac:dyDescent="0.25">
      <c r="C502" s="61" t="s">
        <v>594</v>
      </c>
      <c r="D502" t="str">
        <f>VLOOKUP(C502,[1]Orders!$A$5:$W$1043,3,0)</f>
        <v>Brendan Murry</v>
      </c>
      <c r="E502">
        <f>VLOOKUP(C502,[1]Orders!$A$5:$W$1043,23,0)</f>
        <v>7619.1699999999992</v>
      </c>
      <c r="F502" t="str">
        <f>VLOOKUP(C502,[1]Orders!$A$5:$W$1043,5,0)</f>
        <v>Sydney</v>
      </c>
      <c r="G502" t="str">
        <f>VLOOKUP(C502,[1]Orders!$A$5:$W$1043,5,0)</f>
        <v>Sydney</v>
      </c>
      <c r="H502" t="str">
        <f>VLOOKUP(C502,[1]Orders!$A$5:$W$1043,6,0)</f>
        <v>NSW</v>
      </c>
      <c r="I502" t="str">
        <f>VLOOKUP(C502,[1]Orders!$A$5:$W$1043,7,0)</f>
        <v>Corporate</v>
      </c>
      <c r="J502" t="str">
        <f>VLOOKUP(C502,[1]Orders!$A$5:$W$1043,8,0)</f>
        <v>Samantha Chairs</v>
      </c>
      <c r="K502" t="str">
        <f>VLOOKUP(C502,[1]Orders!$A$5:$W$1043,9,0)</f>
        <v>Medium</v>
      </c>
    </row>
    <row r="503" spans="3:11" x14ac:dyDescent="0.25">
      <c r="C503" s="61" t="s">
        <v>595</v>
      </c>
      <c r="D503" t="str">
        <f>VLOOKUP(C503,[1]Orders!$A$5:$W$1043,3,0)</f>
        <v>Harold Ryan</v>
      </c>
      <c r="E503">
        <f>VLOOKUP(C503,[1]Orders!$A$5:$W$1043,23,0)</f>
        <v>4425.83</v>
      </c>
      <c r="F503" t="str">
        <f>VLOOKUP(C503,[1]Orders!$A$5:$W$1043,5,0)</f>
        <v>Sydney</v>
      </c>
      <c r="G503" t="str">
        <f>VLOOKUP(C503,[1]Orders!$A$5:$W$1043,5,0)</f>
        <v>Sydney</v>
      </c>
      <c r="H503" t="str">
        <f>VLOOKUP(C503,[1]Orders!$A$5:$W$1043,6,0)</f>
        <v>NSW</v>
      </c>
      <c r="I503" t="str">
        <f>VLOOKUP(C503,[1]Orders!$A$5:$W$1043,7,0)</f>
        <v>Home Office</v>
      </c>
      <c r="J503" t="str">
        <f>VLOOKUP(C503,[1]Orders!$A$5:$W$1043,8,0)</f>
        <v>Tina Carlton</v>
      </c>
      <c r="K503" t="str">
        <f>VLOOKUP(C503,[1]Orders!$A$5:$W$1043,9,0)</f>
        <v>Medium</v>
      </c>
    </row>
    <row r="504" spans="3:11" x14ac:dyDescent="0.25">
      <c r="C504" s="61" t="s">
        <v>596</v>
      </c>
      <c r="D504" t="str">
        <f>VLOOKUP(C504,[1]Orders!$A$5:$W$1043,3,0)</f>
        <v>Julia Barnett</v>
      </c>
      <c r="E504">
        <f>VLOOKUP(C504,[1]Orders!$A$5:$W$1043,23,0)</f>
        <v>238.89</v>
      </c>
      <c r="F504" t="str">
        <f>VLOOKUP(C504,[1]Orders!$A$5:$W$1043,5,0)</f>
        <v>Sydney</v>
      </c>
      <c r="G504" t="str">
        <f>VLOOKUP(C504,[1]Orders!$A$5:$W$1043,5,0)</f>
        <v>Sydney</v>
      </c>
      <c r="H504" t="str">
        <f>VLOOKUP(C504,[1]Orders!$A$5:$W$1043,6,0)</f>
        <v>NSW</v>
      </c>
      <c r="I504" t="str">
        <f>VLOOKUP(C504,[1]Orders!$A$5:$W$1043,7,0)</f>
        <v>Home Office</v>
      </c>
      <c r="J504" t="str">
        <f>VLOOKUP(C504,[1]Orders!$A$5:$W$1043,8,0)</f>
        <v>Leighton Forrest</v>
      </c>
      <c r="K504" t="str">
        <f>VLOOKUP(C504,[1]Orders!$A$5:$W$1043,9,0)</f>
        <v>High</v>
      </c>
    </row>
    <row r="505" spans="3:11" x14ac:dyDescent="0.25">
      <c r="C505" s="61" t="s">
        <v>597</v>
      </c>
      <c r="D505" t="str">
        <f>VLOOKUP(C505,[1]Orders!$A$5:$W$1043,3,0)</f>
        <v>Joseph Airdo</v>
      </c>
      <c r="E505">
        <f>VLOOKUP(C505,[1]Orders!$A$5:$W$1043,23,0)</f>
        <v>111.64</v>
      </c>
      <c r="F505" t="str">
        <f>VLOOKUP(C505,[1]Orders!$A$5:$W$1043,5,0)</f>
        <v>Sydney</v>
      </c>
      <c r="G505" t="str">
        <f>VLOOKUP(C505,[1]Orders!$A$5:$W$1043,5,0)</f>
        <v>Sydney</v>
      </c>
      <c r="H505" t="str">
        <f>VLOOKUP(C505,[1]Orders!$A$5:$W$1043,6,0)</f>
        <v>NSW</v>
      </c>
      <c r="I505" t="str">
        <f>VLOOKUP(C505,[1]Orders!$A$5:$W$1043,7,0)</f>
        <v>Consumer</v>
      </c>
      <c r="J505" t="str">
        <f>VLOOKUP(C505,[1]Orders!$A$5:$W$1043,8,0)</f>
        <v>Natasha Song</v>
      </c>
      <c r="K505" t="str">
        <f>VLOOKUP(C505,[1]Orders!$A$5:$W$1043,9,0)</f>
        <v>Critical</v>
      </c>
    </row>
    <row r="506" spans="3:11" x14ac:dyDescent="0.25">
      <c r="C506" s="61" t="s">
        <v>598</v>
      </c>
      <c r="D506" t="str">
        <f>VLOOKUP(C506,[1]Orders!$A$5:$W$1043,3,0)</f>
        <v>Nicole Hansen</v>
      </c>
      <c r="E506">
        <f>VLOOKUP(C506,[1]Orders!$A$5:$W$1043,23,0)</f>
        <v>1017.7099999999999</v>
      </c>
      <c r="F506" t="str">
        <f>VLOOKUP(C506,[1]Orders!$A$5:$W$1043,5,0)</f>
        <v>Sydney</v>
      </c>
      <c r="G506" t="str">
        <f>VLOOKUP(C506,[1]Orders!$A$5:$W$1043,5,0)</f>
        <v>Sydney</v>
      </c>
      <c r="H506" t="str">
        <f>VLOOKUP(C506,[1]Orders!$A$5:$W$1043,6,0)</f>
        <v>NSW</v>
      </c>
      <c r="I506" t="str">
        <f>VLOOKUP(C506,[1]Orders!$A$5:$W$1043,7,0)</f>
        <v>Small Business</v>
      </c>
      <c r="J506" t="str">
        <f>VLOOKUP(C506,[1]Orders!$A$5:$W$1043,8,0)</f>
        <v>Charlie Bui</v>
      </c>
      <c r="K506" t="str">
        <f>VLOOKUP(C506,[1]Orders!$A$5:$W$1043,9,0)</f>
        <v>Critical</v>
      </c>
    </row>
    <row r="507" spans="3:11" x14ac:dyDescent="0.25">
      <c r="C507" s="61" t="s">
        <v>599</v>
      </c>
      <c r="D507" t="str">
        <f>VLOOKUP(C507,[1]Orders!$A$5:$W$1043,3,0)</f>
        <v>Giulietta Dortch</v>
      </c>
      <c r="E507">
        <f>VLOOKUP(C507,[1]Orders!$A$5:$W$1043,23,0)</f>
        <v>15348.64</v>
      </c>
      <c r="F507" t="str">
        <f>VLOOKUP(C507,[1]Orders!$A$5:$W$1043,5,0)</f>
        <v>Melbourne</v>
      </c>
      <c r="G507" t="str">
        <f>VLOOKUP(C507,[1]Orders!$A$5:$W$1043,5,0)</f>
        <v>Melbourne</v>
      </c>
      <c r="H507" t="str">
        <f>VLOOKUP(C507,[1]Orders!$A$5:$W$1043,6,0)</f>
        <v>VIC</v>
      </c>
      <c r="I507" t="str">
        <f>VLOOKUP(C507,[1]Orders!$A$5:$W$1043,7,0)</f>
        <v>Consumer</v>
      </c>
      <c r="J507" t="str">
        <f>VLOOKUP(C507,[1]Orders!$A$5:$W$1043,8,0)</f>
        <v>Connor Betts</v>
      </c>
      <c r="K507" t="str">
        <f>VLOOKUP(C507,[1]Orders!$A$5:$W$1043,9,0)</f>
        <v>Low</v>
      </c>
    </row>
    <row r="508" spans="3:11" x14ac:dyDescent="0.25">
      <c r="C508" s="61" t="s">
        <v>600</v>
      </c>
      <c r="D508" t="str">
        <f>VLOOKUP(C508,[1]Orders!$A$5:$W$1043,3,0)</f>
        <v>Maurice Satty</v>
      </c>
      <c r="E508">
        <f>VLOOKUP(C508,[1]Orders!$A$5:$W$1043,23,0)</f>
        <v>86.320000000000007</v>
      </c>
      <c r="F508" t="str">
        <f>VLOOKUP(C508,[1]Orders!$A$5:$W$1043,5,0)</f>
        <v>Sydney</v>
      </c>
      <c r="G508" t="str">
        <f>VLOOKUP(C508,[1]Orders!$A$5:$W$1043,5,0)</f>
        <v>Sydney</v>
      </c>
      <c r="H508" t="str">
        <f>VLOOKUP(C508,[1]Orders!$A$5:$W$1043,6,0)</f>
        <v>NSW</v>
      </c>
      <c r="I508" t="str">
        <f>VLOOKUP(C508,[1]Orders!$A$5:$W$1043,7,0)</f>
        <v>Corporate</v>
      </c>
      <c r="J508" t="str">
        <f>VLOOKUP(C508,[1]Orders!$A$5:$W$1043,8,0)</f>
        <v>Tina Carlton</v>
      </c>
      <c r="K508" t="str">
        <f>VLOOKUP(C508,[1]Orders!$A$5:$W$1043,9,0)</f>
        <v>High</v>
      </c>
    </row>
    <row r="509" spans="3:11" x14ac:dyDescent="0.25">
      <c r="C509" s="61" t="s">
        <v>601</v>
      </c>
      <c r="D509" t="str">
        <f>VLOOKUP(C509,[1]Orders!$A$5:$W$1043,3,0)</f>
        <v>Lena Creighton</v>
      </c>
      <c r="E509">
        <f>VLOOKUP(C509,[1]Orders!$A$5:$W$1043,23,0)</f>
        <v>48.569999999999993</v>
      </c>
      <c r="F509" t="str">
        <f>VLOOKUP(C509,[1]Orders!$A$5:$W$1043,5,0)</f>
        <v>Sydney</v>
      </c>
      <c r="G509" t="str">
        <f>VLOOKUP(C509,[1]Orders!$A$5:$W$1043,5,0)</f>
        <v>Sydney</v>
      </c>
      <c r="H509" t="str">
        <f>VLOOKUP(C509,[1]Orders!$A$5:$W$1043,6,0)</f>
        <v>NSW</v>
      </c>
      <c r="I509" t="str">
        <f>VLOOKUP(C509,[1]Orders!$A$5:$W$1043,7,0)</f>
        <v>Home Office</v>
      </c>
      <c r="J509" t="str">
        <f>VLOOKUP(C509,[1]Orders!$A$5:$W$1043,8,0)</f>
        <v>Samantha Chairs</v>
      </c>
      <c r="K509" t="str">
        <f>VLOOKUP(C509,[1]Orders!$A$5:$W$1043,9,0)</f>
        <v>High</v>
      </c>
    </row>
    <row r="510" spans="3:11" x14ac:dyDescent="0.25">
      <c r="C510" s="61" t="s">
        <v>602</v>
      </c>
      <c r="D510" t="str">
        <f>VLOOKUP(C510,[1]Orders!$A$5:$W$1043,3,0)</f>
        <v>Ritsa Hightower</v>
      </c>
      <c r="E510">
        <f>VLOOKUP(C510,[1]Orders!$A$5:$W$1043,23,0)</f>
        <v>16.73</v>
      </c>
      <c r="F510" t="str">
        <f>VLOOKUP(C510,[1]Orders!$A$5:$W$1043,5,0)</f>
        <v>Sydney</v>
      </c>
      <c r="G510" t="str">
        <f>VLOOKUP(C510,[1]Orders!$A$5:$W$1043,5,0)</f>
        <v>Sydney</v>
      </c>
      <c r="H510" t="str">
        <f>VLOOKUP(C510,[1]Orders!$A$5:$W$1043,6,0)</f>
        <v>NSW</v>
      </c>
      <c r="I510" t="str">
        <f>VLOOKUP(C510,[1]Orders!$A$5:$W$1043,7,0)</f>
        <v>Corporate</v>
      </c>
      <c r="J510" t="str">
        <f>VLOOKUP(C510,[1]Orders!$A$5:$W$1043,8,0)</f>
        <v>Natasha Song</v>
      </c>
      <c r="K510" t="str">
        <f>VLOOKUP(C510,[1]Orders!$A$5:$W$1043,9,0)</f>
        <v>Low</v>
      </c>
    </row>
    <row r="511" spans="3:11" x14ac:dyDescent="0.25">
      <c r="C511" s="61" t="s">
        <v>603</v>
      </c>
      <c r="D511" t="str">
        <f>VLOOKUP(C511,[1]Orders!$A$5:$W$1043,3,0)</f>
        <v>Jesus Ocampo</v>
      </c>
      <c r="E511">
        <f>VLOOKUP(C511,[1]Orders!$A$5:$W$1043,23,0)</f>
        <v>1934.54</v>
      </c>
      <c r="F511" t="str">
        <f>VLOOKUP(C511,[1]Orders!$A$5:$W$1043,5,0)</f>
        <v>Melbourne</v>
      </c>
      <c r="G511" t="str">
        <f>VLOOKUP(C511,[1]Orders!$A$5:$W$1043,5,0)</f>
        <v>Melbourne</v>
      </c>
      <c r="H511" t="str">
        <f>VLOOKUP(C511,[1]Orders!$A$5:$W$1043,6,0)</f>
        <v>VIC</v>
      </c>
      <c r="I511" t="str">
        <f>VLOOKUP(C511,[1]Orders!$A$5:$W$1043,7,0)</f>
        <v>Small Business</v>
      </c>
      <c r="J511" t="str">
        <f>VLOOKUP(C511,[1]Orders!$A$5:$W$1043,8,0)</f>
        <v>Yvette Biti</v>
      </c>
      <c r="K511" t="str">
        <f>VLOOKUP(C511,[1]Orders!$A$5:$W$1043,9,0)</f>
        <v>Low</v>
      </c>
    </row>
    <row r="512" spans="3:11" x14ac:dyDescent="0.25">
      <c r="C512" s="61" t="s">
        <v>604</v>
      </c>
      <c r="D512" t="str">
        <f>VLOOKUP(C512,[1]Orders!$A$5:$W$1043,3,0)</f>
        <v>Ed Braxton</v>
      </c>
      <c r="E512">
        <f>VLOOKUP(C512,[1]Orders!$A$5:$W$1043,23,0)</f>
        <v>286.23</v>
      </c>
      <c r="F512" t="str">
        <f>VLOOKUP(C512,[1]Orders!$A$5:$W$1043,5,0)</f>
        <v>Melbourne</v>
      </c>
      <c r="G512" t="str">
        <f>VLOOKUP(C512,[1]Orders!$A$5:$W$1043,5,0)</f>
        <v>Melbourne</v>
      </c>
      <c r="H512" t="str">
        <f>VLOOKUP(C512,[1]Orders!$A$5:$W$1043,6,0)</f>
        <v>VIC</v>
      </c>
      <c r="I512" t="str">
        <f>VLOOKUP(C512,[1]Orders!$A$5:$W$1043,7,0)</f>
        <v>Home Office</v>
      </c>
      <c r="J512" t="str">
        <f>VLOOKUP(C512,[1]Orders!$A$5:$W$1043,8,0)</f>
        <v>Yvette Biti</v>
      </c>
      <c r="K512" t="str">
        <f>VLOOKUP(C512,[1]Orders!$A$5:$W$1043,9,0)</f>
        <v>Medium</v>
      </c>
    </row>
    <row r="513" spans="3:11" x14ac:dyDescent="0.25">
      <c r="C513" s="61" t="s">
        <v>605</v>
      </c>
      <c r="D513" t="str">
        <f>VLOOKUP(C513,[1]Orders!$A$5:$W$1043,3,0)</f>
        <v>Janet Martin</v>
      </c>
      <c r="E513">
        <f>VLOOKUP(C513,[1]Orders!$A$5:$W$1043,23,0)</f>
        <v>153.70999999999998</v>
      </c>
      <c r="F513" t="str">
        <f>VLOOKUP(C513,[1]Orders!$A$5:$W$1043,5,0)</f>
        <v>Sydney</v>
      </c>
      <c r="G513" t="str">
        <f>VLOOKUP(C513,[1]Orders!$A$5:$W$1043,5,0)</f>
        <v>Sydney</v>
      </c>
      <c r="H513" t="str">
        <f>VLOOKUP(C513,[1]Orders!$A$5:$W$1043,6,0)</f>
        <v>NSW</v>
      </c>
      <c r="I513" t="str">
        <f>VLOOKUP(C513,[1]Orders!$A$5:$W$1043,7,0)</f>
        <v>Corporate</v>
      </c>
      <c r="J513" t="str">
        <f>VLOOKUP(C513,[1]Orders!$A$5:$W$1043,8,0)</f>
        <v>Radhya Staples</v>
      </c>
      <c r="K513" t="str">
        <f>VLOOKUP(C513,[1]Orders!$A$5:$W$1043,9,0)</f>
        <v>Medium</v>
      </c>
    </row>
    <row r="514" spans="3:11" x14ac:dyDescent="0.25">
      <c r="C514" s="61" t="s">
        <v>606</v>
      </c>
      <c r="D514" t="str">
        <f>VLOOKUP(C514,[1]Orders!$A$5:$W$1043,3,0)</f>
        <v>Vivek Gonzalez</v>
      </c>
      <c r="E514">
        <f>VLOOKUP(C514,[1]Orders!$A$5:$W$1043,23,0)</f>
        <v>65.070000000000007</v>
      </c>
      <c r="F514" t="str">
        <f>VLOOKUP(C514,[1]Orders!$A$5:$W$1043,5,0)</f>
        <v>Sydney</v>
      </c>
      <c r="G514" t="str">
        <f>VLOOKUP(C514,[1]Orders!$A$5:$W$1043,5,0)</f>
        <v>Sydney</v>
      </c>
      <c r="H514" t="str">
        <f>VLOOKUP(C514,[1]Orders!$A$5:$W$1043,6,0)</f>
        <v>NSW</v>
      </c>
      <c r="I514" t="str">
        <f>VLOOKUP(C514,[1]Orders!$A$5:$W$1043,7,0)</f>
        <v>Consumer</v>
      </c>
      <c r="J514" t="str">
        <f>VLOOKUP(C514,[1]Orders!$A$5:$W$1043,8,0)</f>
        <v>Tina Carlton</v>
      </c>
      <c r="K514" t="str">
        <f>VLOOKUP(C514,[1]Orders!$A$5:$W$1043,9,0)</f>
        <v>Not Specified</v>
      </c>
    </row>
    <row r="515" spans="3:11" x14ac:dyDescent="0.25">
      <c r="C515" s="61" t="s">
        <v>607</v>
      </c>
      <c r="D515" t="str">
        <f>VLOOKUP(C515,[1]Orders!$A$5:$W$1043,3,0)</f>
        <v>Robert Barroso</v>
      </c>
      <c r="E515">
        <f>VLOOKUP(C515,[1]Orders!$A$5:$W$1043,23,0)</f>
        <v>1674.86</v>
      </c>
      <c r="F515" t="str">
        <f>VLOOKUP(C515,[1]Orders!$A$5:$W$1043,5,0)</f>
        <v>Sydney</v>
      </c>
      <c r="G515" t="str">
        <f>VLOOKUP(C515,[1]Orders!$A$5:$W$1043,5,0)</f>
        <v>Sydney</v>
      </c>
      <c r="H515" t="str">
        <f>VLOOKUP(C515,[1]Orders!$A$5:$W$1043,6,0)</f>
        <v>NSW</v>
      </c>
      <c r="I515" t="str">
        <f>VLOOKUP(C515,[1]Orders!$A$5:$W$1043,7,0)</f>
        <v>Small Business</v>
      </c>
      <c r="J515" t="str">
        <f>VLOOKUP(C515,[1]Orders!$A$5:$W$1043,8,0)</f>
        <v>Charlie Bui</v>
      </c>
      <c r="K515" t="str">
        <f>VLOOKUP(C515,[1]Orders!$A$5:$W$1043,9,0)</f>
        <v>High</v>
      </c>
    </row>
    <row r="516" spans="3:11" x14ac:dyDescent="0.25">
      <c r="C516" s="61" t="s">
        <v>608</v>
      </c>
      <c r="D516" t="str">
        <f>VLOOKUP(C516,[1]Orders!$A$5:$W$1043,3,0)</f>
        <v>Linda Southworth</v>
      </c>
      <c r="E516">
        <f>VLOOKUP(C516,[1]Orders!$A$5:$W$1043,23,0)</f>
        <v>964.8</v>
      </c>
      <c r="F516" t="str">
        <f>VLOOKUP(C516,[1]Orders!$A$5:$W$1043,5,0)</f>
        <v>Sydney</v>
      </c>
      <c r="G516" t="str">
        <f>VLOOKUP(C516,[1]Orders!$A$5:$W$1043,5,0)</f>
        <v>Sydney</v>
      </c>
      <c r="H516" t="str">
        <f>VLOOKUP(C516,[1]Orders!$A$5:$W$1043,6,0)</f>
        <v>NSW</v>
      </c>
      <c r="I516" t="str">
        <f>VLOOKUP(C516,[1]Orders!$A$5:$W$1043,7,0)</f>
        <v>Consumer</v>
      </c>
      <c r="J516" t="str">
        <f>VLOOKUP(C516,[1]Orders!$A$5:$W$1043,8,0)</f>
        <v>Phoebe Gour</v>
      </c>
      <c r="K516" t="str">
        <f>VLOOKUP(C516,[1]Orders!$A$5:$W$1043,9,0)</f>
        <v>Medium</v>
      </c>
    </row>
    <row r="517" spans="3:11" x14ac:dyDescent="0.25">
      <c r="C517" s="61" t="s">
        <v>609</v>
      </c>
      <c r="D517" t="str">
        <f>VLOOKUP(C517,[1]Orders!$A$5:$W$1043,3,0)</f>
        <v>Bart Watters</v>
      </c>
      <c r="E517">
        <f>VLOOKUP(C517,[1]Orders!$A$5:$W$1043,23,0)</f>
        <v>475.25000000000006</v>
      </c>
      <c r="F517" t="str">
        <f>VLOOKUP(C517,[1]Orders!$A$5:$W$1043,5,0)</f>
        <v>Sydney</v>
      </c>
      <c r="G517" t="str">
        <f>VLOOKUP(C517,[1]Orders!$A$5:$W$1043,5,0)</f>
        <v>Sydney</v>
      </c>
      <c r="H517" t="str">
        <f>VLOOKUP(C517,[1]Orders!$A$5:$W$1043,6,0)</f>
        <v>NSW</v>
      </c>
      <c r="I517" t="str">
        <f>VLOOKUP(C517,[1]Orders!$A$5:$W$1043,7,0)</f>
        <v>Corporate</v>
      </c>
      <c r="J517" t="str">
        <f>VLOOKUP(C517,[1]Orders!$A$5:$W$1043,8,0)</f>
        <v>Nicholas Fernandes</v>
      </c>
      <c r="K517" t="str">
        <f>VLOOKUP(C517,[1]Orders!$A$5:$W$1043,9,0)</f>
        <v>Not Specified</v>
      </c>
    </row>
    <row r="518" spans="3:11" x14ac:dyDescent="0.25">
      <c r="C518" s="61" t="s">
        <v>610</v>
      </c>
      <c r="D518" t="str">
        <f>VLOOKUP(C518,[1]Orders!$A$5:$W$1043,3,0)</f>
        <v>Marc Crier</v>
      </c>
      <c r="E518">
        <f>VLOOKUP(C518,[1]Orders!$A$5:$W$1043,23,0)</f>
        <v>92.089999999999989</v>
      </c>
      <c r="F518" t="str">
        <f>VLOOKUP(C518,[1]Orders!$A$5:$W$1043,5,0)</f>
        <v>Sydney</v>
      </c>
      <c r="G518" t="str">
        <f>VLOOKUP(C518,[1]Orders!$A$5:$W$1043,5,0)</f>
        <v>Sydney</v>
      </c>
      <c r="H518" t="str">
        <f>VLOOKUP(C518,[1]Orders!$A$5:$W$1043,6,0)</f>
        <v>NSW</v>
      </c>
      <c r="I518" t="str">
        <f>VLOOKUP(C518,[1]Orders!$A$5:$W$1043,7,0)</f>
        <v>Corporate</v>
      </c>
      <c r="J518" t="str">
        <f>VLOOKUP(C518,[1]Orders!$A$5:$W$1043,8,0)</f>
        <v>Natasha Song</v>
      </c>
      <c r="K518" t="str">
        <f>VLOOKUP(C518,[1]Orders!$A$5:$W$1043,9,0)</f>
        <v>Low</v>
      </c>
    </row>
    <row r="519" spans="3:11" x14ac:dyDescent="0.25">
      <c r="C519" s="61" t="s">
        <v>611</v>
      </c>
      <c r="D519" t="str">
        <f>VLOOKUP(C519,[1]Orders!$A$5:$W$1043,3,0)</f>
        <v>Mike Kennedy</v>
      </c>
      <c r="E519">
        <f>VLOOKUP(C519,[1]Orders!$A$5:$W$1043,23,0)</f>
        <v>273.17999999999995</v>
      </c>
      <c r="F519" t="str">
        <f>VLOOKUP(C519,[1]Orders!$A$5:$W$1043,5,0)</f>
        <v>Melbourne</v>
      </c>
      <c r="G519" t="str">
        <f>VLOOKUP(C519,[1]Orders!$A$5:$W$1043,5,0)</f>
        <v>Melbourne</v>
      </c>
      <c r="H519" t="str">
        <f>VLOOKUP(C519,[1]Orders!$A$5:$W$1043,6,0)</f>
        <v>VIC</v>
      </c>
      <c r="I519" t="str">
        <f>VLOOKUP(C519,[1]Orders!$A$5:$W$1043,7,0)</f>
        <v>Corporate</v>
      </c>
      <c r="J519" t="str">
        <f>VLOOKUP(C519,[1]Orders!$A$5:$W$1043,8,0)</f>
        <v>Connor Betts</v>
      </c>
      <c r="K519" t="str">
        <f>VLOOKUP(C519,[1]Orders!$A$5:$W$1043,9,0)</f>
        <v>High</v>
      </c>
    </row>
    <row r="520" spans="3:11" x14ac:dyDescent="0.25">
      <c r="C520" s="61" t="s">
        <v>612</v>
      </c>
      <c r="D520" t="str">
        <f>VLOOKUP(C520,[1]Orders!$A$5:$W$1043,3,0)</f>
        <v>Harry Greene</v>
      </c>
      <c r="E520">
        <f>VLOOKUP(C520,[1]Orders!$A$5:$W$1043,23,0)</f>
        <v>87.72</v>
      </c>
      <c r="F520" t="str">
        <f>VLOOKUP(C520,[1]Orders!$A$5:$W$1043,5,0)</f>
        <v>Sydney</v>
      </c>
      <c r="G520" t="str">
        <f>VLOOKUP(C520,[1]Orders!$A$5:$W$1043,5,0)</f>
        <v>Sydney</v>
      </c>
      <c r="H520" t="str">
        <f>VLOOKUP(C520,[1]Orders!$A$5:$W$1043,6,0)</f>
        <v>NSW</v>
      </c>
      <c r="I520" t="str">
        <f>VLOOKUP(C520,[1]Orders!$A$5:$W$1043,7,0)</f>
        <v>Corporate</v>
      </c>
      <c r="J520" t="str">
        <f>VLOOKUP(C520,[1]Orders!$A$5:$W$1043,8,0)</f>
        <v>Tina Carlton</v>
      </c>
      <c r="K520" t="str">
        <f>VLOOKUP(C520,[1]Orders!$A$5:$W$1043,9,0)</f>
        <v>Medium</v>
      </c>
    </row>
    <row r="521" spans="3:11" x14ac:dyDescent="0.25">
      <c r="C521" s="61" t="s">
        <v>613</v>
      </c>
      <c r="D521" t="str">
        <f>VLOOKUP(C521,[1]Orders!$A$5:$W$1043,3,0)</f>
        <v>Theone Pippenger</v>
      </c>
      <c r="E521">
        <f>VLOOKUP(C521,[1]Orders!$A$5:$W$1043,23,0)</f>
        <v>88.34</v>
      </c>
      <c r="F521" t="str">
        <f>VLOOKUP(C521,[1]Orders!$A$5:$W$1043,5,0)</f>
        <v>Sydney</v>
      </c>
      <c r="G521" t="str">
        <f>VLOOKUP(C521,[1]Orders!$A$5:$W$1043,5,0)</f>
        <v>Sydney</v>
      </c>
      <c r="H521" t="str">
        <f>VLOOKUP(C521,[1]Orders!$A$5:$W$1043,6,0)</f>
        <v>NSW</v>
      </c>
      <c r="I521" t="str">
        <f>VLOOKUP(C521,[1]Orders!$A$5:$W$1043,7,0)</f>
        <v>Corporate</v>
      </c>
      <c r="J521" t="str">
        <f>VLOOKUP(C521,[1]Orders!$A$5:$W$1043,8,0)</f>
        <v>Tina Carlton</v>
      </c>
      <c r="K521" t="str">
        <f>VLOOKUP(C521,[1]Orders!$A$5:$W$1043,9,0)</f>
        <v>Medium</v>
      </c>
    </row>
    <row r="522" spans="3:11" x14ac:dyDescent="0.25">
      <c r="C522" s="61" t="s">
        <v>614</v>
      </c>
      <c r="D522" t="str">
        <f>VLOOKUP(C522,[1]Orders!$A$5:$W$1043,3,0)</f>
        <v>Brian Stugart</v>
      </c>
      <c r="E522">
        <f>VLOOKUP(C522,[1]Orders!$A$5:$W$1043,23,0)</f>
        <v>4524.3799999999992</v>
      </c>
      <c r="F522" t="str">
        <f>VLOOKUP(C522,[1]Orders!$A$5:$W$1043,5,0)</f>
        <v>Sydney</v>
      </c>
      <c r="G522" t="str">
        <f>VLOOKUP(C522,[1]Orders!$A$5:$W$1043,5,0)</f>
        <v>Sydney</v>
      </c>
      <c r="H522" t="str">
        <f>VLOOKUP(C522,[1]Orders!$A$5:$W$1043,6,0)</f>
        <v>NSW</v>
      </c>
      <c r="I522" t="str">
        <f>VLOOKUP(C522,[1]Orders!$A$5:$W$1043,7,0)</f>
        <v>Consumer</v>
      </c>
      <c r="J522" t="str">
        <f>VLOOKUP(C522,[1]Orders!$A$5:$W$1043,8,0)</f>
        <v>Charlie Bui</v>
      </c>
      <c r="K522" t="str">
        <f>VLOOKUP(C522,[1]Orders!$A$5:$W$1043,9,0)</f>
        <v>Medium</v>
      </c>
    </row>
    <row r="523" spans="3:11" x14ac:dyDescent="0.25">
      <c r="C523" s="61" t="s">
        <v>615</v>
      </c>
      <c r="D523" t="str">
        <f>VLOOKUP(C523,[1]Orders!$A$5:$W$1043,3,0)</f>
        <v>Arthur Gainer</v>
      </c>
      <c r="E523">
        <f>VLOOKUP(C523,[1]Orders!$A$5:$W$1043,23,0)</f>
        <v>97.72999999999999</v>
      </c>
      <c r="F523" t="str">
        <f>VLOOKUP(C523,[1]Orders!$A$5:$W$1043,5,0)</f>
        <v>Melbourne</v>
      </c>
      <c r="G523" t="str">
        <f>VLOOKUP(C523,[1]Orders!$A$5:$W$1043,5,0)</f>
        <v>Melbourne</v>
      </c>
      <c r="H523" t="str">
        <f>VLOOKUP(C523,[1]Orders!$A$5:$W$1043,6,0)</f>
        <v>VIC</v>
      </c>
      <c r="I523" t="str">
        <f>VLOOKUP(C523,[1]Orders!$A$5:$W$1043,7,0)</f>
        <v>Consumer</v>
      </c>
      <c r="J523" t="str">
        <f>VLOOKUP(C523,[1]Orders!$A$5:$W$1043,8,0)</f>
        <v>Connor Betts</v>
      </c>
      <c r="K523" t="str">
        <f>VLOOKUP(C523,[1]Orders!$A$5:$W$1043,9,0)</f>
        <v>High</v>
      </c>
    </row>
    <row r="524" spans="3:11" x14ac:dyDescent="0.25">
      <c r="C524" s="61" t="s">
        <v>616</v>
      </c>
      <c r="D524" t="str">
        <f>VLOOKUP(C524,[1]Orders!$A$5:$W$1043,3,0)</f>
        <v>Greg Guthrie</v>
      </c>
      <c r="E524">
        <f>VLOOKUP(C524,[1]Orders!$A$5:$W$1043,23,0)</f>
        <v>239.89999999999998</v>
      </c>
      <c r="F524" t="str">
        <f>VLOOKUP(C524,[1]Orders!$A$5:$W$1043,5,0)</f>
        <v>Sydney</v>
      </c>
      <c r="G524" t="str">
        <f>VLOOKUP(C524,[1]Orders!$A$5:$W$1043,5,0)</f>
        <v>Sydney</v>
      </c>
      <c r="H524" t="str">
        <f>VLOOKUP(C524,[1]Orders!$A$5:$W$1043,6,0)</f>
        <v>NSW</v>
      </c>
      <c r="I524" t="str">
        <f>VLOOKUP(C524,[1]Orders!$A$5:$W$1043,7,0)</f>
        <v>Small Business</v>
      </c>
      <c r="J524" t="str">
        <f>VLOOKUP(C524,[1]Orders!$A$5:$W$1043,8,0)</f>
        <v>Aanya Zhang</v>
      </c>
      <c r="K524" t="str">
        <f>VLOOKUP(C524,[1]Orders!$A$5:$W$1043,9,0)</f>
        <v>High</v>
      </c>
    </row>
    <row r="525" spans="3:11" x14ac:dyDescent="0.25">
      <c r="C525" s="61" t="s">
        <v>617</v>
      </c>
      <c r="D525" t="str">
        <f>VLOOKUP(C525,[1]Orders!$A$5:$W$1043,3,0)</f>
        <v>Matthew Grinstein</v>
      </c>
      <c r="E525">
        <f>VLOOKUP(C525,[1]Orders!$A$5:$W$1043,23,0)</f>
        <v>96.97999999999999</v>
      </c>
      <c r="F525" t="str">
        <f>VLOOKUP(C525,[1]Orders!$A$5:$W$1043,5,0)</f>
        <v>Sydney</v>
      </c>
      <c r="G525" t="str">
        <f>VLOOKUP(C525,[1]Orders!$A$5:$W$1043,5,0)</f>
        <v>Sydney</v>
      </c>
      <c r="H525" t="str">
        <f>VLOOKUP(C525,[1]Orders!$A$5:$W$1043,6,0)</f>
        <v>NSW</v>
      </c>
      <c r="I525" t="str">
        <f>VLOOKUP(C525,[1]Orders!$A$5:$W$1043,7,0)</f>
        <v>Small Business</v>
      </c>
      <c r="J525" t="str">
        <f>VLOOKUP(C525,[1]Orders!$A$5:$W$1043,8,0)</f>
        <v>Charlie Bui</v>
      </c>
      <c r="K525" t="str">
        <f>VLOOKUP(C525,[1]Orders!$A$5:$W$1043,9,0)</f>
        <v>Critical</v>
      </c>
    </row>
    <row r="526" spans="3:11" x14ac:dyDescent="0.25">
      <c r="C526" s="61" t="s">
        <v>618</v>
      </c>
      <c r="D526" t="str">
        <f>VLOOKUP(C526,[1]Orders!$A$5:$W$1043,3,0)</f>
        <v>Charles Crestani</v>
      </c>
      <c r="E526">
        <f>VLOOKUP(C526,[1]Orders!$A$5:$W$1043,23,0)</f>
        <v>991.47</v>
      </c>
      <c r="F526" t="str">
        <f>VLOOKUP(C526,[1]Orders!$A$5:$W$1043,5,0)</f>
        <v>Sydney</v>
      </c>
      <c r="G526" t="str">
        <f>VLOOKUP(C526,[1]Orders!$A$5:$W$1043,5,0)</f>
        <v>Sydney</v>
      </c>
      <c r="H526" t="str">
        <f>VLOOKUP(C526,[1]Orders!$A$5:$W$1043,6,0)</f>
        <v>NSW</v>
      </c>
      <c r="I526" t="str">
        <f>VLOOKUP(C526,[1]Orders!$A$5:$W$1043,7,0)</f>
        <v>Consumer</v>
      </c>
      <c r="J526" t="str">
        <f>VLOOKUP(C526,[1]Orders!$A$5:$W$1043,8,0)</f>
        <v>Phoebe Gour</v>
      </c>
      <c r="K526" t="str">
        <f>VLOOKUP(C526,[1]Orders!$A$5:$W$1043,9,0)</f>
        <v>High</v>
      </c>
    </row>
    <row r="527" spans="3:11" x14ac:dyDescent="0.25">
      <c r="C527" s="61" t="s">
        <v>619</v>
      </c>
      <c r="D527" t="str">
        <f>VLOOKUP(C527,[1]Orders!$A$5:$W$1043,3,0)</f>
        <v>Tim Taslimi</v>
      </c>
      <c r="E527">
        <f>VLOOKUP(C527,[1]Orders!$A$5:$W$1043,23,0)</f>
        <v>290.45</v>
      </c>
      <c r="F527" t="str">
        <f>VLOOKUP(C527,[1]Orders!$A$5:$W$1043,5,0)</f>
        <v>Sydney</v>
      </c>
      <c r="G527" t="str">
        <f>VLOOKUP(C527,[1]Orders!$A$5:$W$1043,5,0)</f>
        <v>Sydney</v>
      </c>
      <c r="H527" t="str">
        <f>VLOOKUP(C527,[1]Orders!$A$5:$W$1043,6,0)</f>
        <v>NSW</v>
      </c>
      <c r="I527" t="str">
        <f>VLOOKUP(C527,[1]Orders!$A$5:$W$1043,7,0)</f>
        <v>Corporate</v>
      </c>
      <c r="J527" t="str">
        <f>VLOOKUP(C527,[1]Orders!$A$5:$W$1043,8,0)</f>
        <v>Tina Carlton</v>
      </c>
      <c r="K527" t="str">
        <f>VLOOKUP(C527,[1]Orders!$A$5:$W$1043,9,0)</f>
        <v>Not Specified</v>
      </c>
    </row>
    <row r="528" spans="3:11" x14ac:dyDescent="0.25">
      <c r="C528" s="61" t="s">
        <v>620</v>
      </c>
      <c r="D528" t="str">
        <f>VLOOKUP(C528,[1]Orders!$A$5:$W$1043,3,0)</f>
        <v>Christine Sundaresam</v>
      </c>
      <c r="E528">
        <f>VLOOKUP(C528,[1]Orders!$A$5:$W$1043,23,0)</f>
        <v>82.089999999999989</v>
      </c>
      <c r="F528" t="str">
        <f>VLOOKUP(C528,[1]Orders!$A$5:$W$1043,5,0)</f>
        <v>Sydney</v>
      </c>
      <c r="G528" t="str">
        <f>VLOOKUP(C528,[1]Orders!$A$5:$W$1043,5,0)</f>
        <v>Sydney</v>
      </c>
      <c r="H528" t="str">
        <f>VLOOKUP(C528,[1]Orders!$A$5:$W$1043,6,0)</f>
        <v>NSW</v>
      </c>
      <c r="I528" t="str">
        <f>VLOOKUP(C528,[1]Orders!$A$5:$W$1043,7,0)</f>
        <v>Small Business</v>
      </c>
      <c r="J528" t="str">
        <f>VLOOKUP(C528,[1]Orders!$A$5:$W$1043,8,0)</f>
        <v>Preston Senome</v>
      </c>
      <c r="K528" t="str">
        <f>VLOOKUP(C528,[1]Orders!$A$5:$W$1043,9,0)</f>
        <v>Not Specified</v>
      </c>
    </row>
    <row r="529" spans="3:11" x14ac:dyDescent="0.25">
      <c r="C529" s="61" t="s">
        <v>621</v>
      </c>
      <c r="D529" t="str">
        <f>VLOOKUP(C529,[1]Orders!$A$5:$W$1043,3,0)</f>
        <v>Michael Oakman</v>
      </c>
      <c r="E529">
        <f>VLOOKUP(C529,[1]Orders!$A$5:$W$1043,23,0)</f>
        <v>243.81</v>
      </c>
      <c r="F529" t="str">
        <f>VLOOKUP(C529,[1]Orders!$A$5:$W$1043,5,0)</f>
        <v>Melbourne</v>
      </c>
      <c r="G529" t="str">
        <f>VLOOKUP(C529,[1]Orders!$A$5:$W$1043,5,0)</f>
        <v>Melbourne</v>
      </c>
      <c r="H529" t="str">
        <f>VLOOKUP(C529,[1]Orders!$A$5:$W$1043,6,0)</f>
        <v>VIC</v>
      </c>
      <c r="I529" t="str">
        <f>VLOOKUP(C529,[1]Orders!$A$5:$W$1043,7,0)</f>
        <v>Small Business</v>
      </c>
      <c r="J529" t="str">
        <f>VLOOKUP(C529,[1]Orders!$A$5:$W$1043,8,0)</f>
        <v>Connor Betts</v>
      </c>
      <c r="K529" t="str">
        <f>VLOOKUP(C529,[1]Orders!$A$5:$W$1043,9,0)</f>
        <v>Not Specified</v>
      </c>
    </row>
    <row r="530" spans="3:11" x14ac:dyDescent="0.25">
      <c r="C530" s="61" t="s">
        <v>622</v>
      </c>
      <c r="D530" t="str">
        <f>VLOOKUP(C530,[1]Orders!$A$5:$W$1043,3,0)</f>
        <v>Ellis Ballard</v>
      </c>
      <c r="E530">
        <f>VLOOKUP(C530,[1]Orders!$A$5:$W$1043,23,0)</f>
        <v>2304.4899999999998</v>
      </c>
      <c r="F530" t="str">
        <f>VLOOKUP(C530,[1]Orders!$A$5:$W$1043,5,0)</f>
        <v>Sydney</v>
      </c>
      <c r="G530" t="str">
        <f>VLOOKUP(C530,[1]Orders!$A$5:$W$1043,5,0)</f>
        <v>Sydney</v>
      </c>
      <c r="H530" t="str">
        <f>VLOOKUP(C530,[1]Orders!$A$5:$W$1043,6,0)</f>
        <v>NSW</v>
      </c>
      <c r="I530" t="str">
        <f>VLOOKUP(C530,[1]Orders!$A$5:$W$1043,7,0)</f>
        <v>Corporate</v>
      </c>
      <c r="J530" t="str">
        <f>VLOOKUP(C530,[1]Orders!$A$5:$W$1043,8,0)</f>
        <v>Tina Carlton</v>
      </c>
      <c r="K530" t="str">
        <f>VLOOKUP(C530,[1]Orders!$A$5:$W$1043,9,0)</f>
        <v>Low</v>
      </c>
    </row>
    <row r="531" spans="3:11" x14ac:dyDescent="0.25">
      <c r="C531" s="61" t="s">
        <v>623</v>
      </c>
      <c r="D531" t="str">
        <f>VLOOKUP(C531,[1]Orders!$A$5:$W$1043,3,0)</f>
        <v>Dave Hallsten</v>
      </c>
      <c r="E531">
        <f>VLOOKUP(C531,[1]Orders!$A$5:$W$1043,23,0)</f>
        <v>183.53</v>
      </c>
      <c r="F531" t="str">
        <f>VLOOKUP(C531,[1]Orders!$A$5:$W$1043,5,0)</f>
        <v>Sydney</v>
      </c>
      <c r="G531" t="str">
        <f>VLOOKUP(C531,[1]Orders!$A$5:$W$1043,5,0)</f>
        <v>Sydney</v>
      </c>
      <c r="H531" t="str">
        <f>VLOOKUP(C531,[1]Orders!$A$5:$W$1043,6,0)</f>
        <v>NSW</v>
      </c>
      <c r="I531" t="str">
        <f>VLOOKUP(C531,[1]Orders!$A$5:$W$1043,7,0)</f>
        <v>Home Office</v>
      </c>
      <c r="J531" t="str">
        <f>VLOOKUP(C531,[1]Orders!$A$5:$W$1043,8,0)</f>
        <v>Charlie Bui</v>
      </c>
      <c r="K531" t="str">
        <f>VLOOKUP(C531,[1]Orders!$A$5:$W$1043,9,0)</f>
        <v>Medium</v>
      </c>
    </row>
    <row r="532" spans="3:11" x14ac:dyDescent="0.25">
      <c r="C532" s="61" t="s">
        <v>624</v>
      </c>
      <c r="D532" t="str">
        <f>VLOOKUP(C532,[1]Orders!$A$5:$W$1043,3,0)</f>
        <v>Barry Franz</v>
      </c>
      <c r="E532">
        <f>VLOOKUP(C532,[1]Orders!$A$5:$W$1043,23,0)</f>
        <v>418.96999999999997</v>
      </c>
      <c r="F532" t="str">
        <f>VLOOKUP(C532,[1]Orders!$A$5:$W$1043,5,0)</f>
        <v>Melbourne</v>
      </c>
      <c r="G532" t="str">
        <f>VLOOKUP(C532,[1]Orders!$A$5:$W$1043,5,0)</f>
        <v>Melbourne</v>
      </c>
      <c r="H532" t="str">
        <f>VLOOKUP(C532,[1]Orders!$A$5:$W$1043,6,0)</f>
        <v>VIC</v>
      </c>
      <c r="I532" t="str">
        <f>VLOOKUP(C532,[1]Orders!$A$5:$W$1043,7,0)</f>
        <v>Corporate</v>
      </c>
      <c r="J532" t="str">
        <f>VLOOKUP(C532,[1]Orders!$A$5:$W$1043,8,0)</f>
        <v>Yvette Biti</v>
      </c>
      <c r="K532" t="str">
        <f>VLOOKUP(C532,[1]Orders!$A$5:$W$1043,9,0)</f>
        <v>Medium</v>
      </c>
    </row>
    <row r="533" spans="3:11" x14ac:dyDescent="0.25">
      <c r="C533" s="61" t="s">
        <v>625</v>
      </c>
      <c r="D533" t="str">
        <f>VLOOKUP(C533,[1]Orders!$A$5:$W$1043,3,0)</f>
        <v>Sarah Brown</v>
      </c>
      <c r="E533">
        <f>VLOOKUP(C533,[1]Orders!$A$5:$W$1043,23,0)</f>
        <v>407.43</v>
      </c>
      <c r="F533" t="str">
        <f>VLOOKUP(C533,[1]Orders!$A$5:$W$1043,5,0)</f>
        <v>Sydney</v>
      </c>
      <c r="G533" t="str">
        <f>VLOOKUP(C533,[1]Orders!$A$5:$W$1043,5,0)</f>
        <v>Sydney</v>
      </c>
      <c r="H533" t="str">
        <f>VLOOKUP(C533,[1]Orders!$A$5:$W$1043,6,0)</f>
        <v>NSW</v>
      </c>
      <c r="I533" t="str">
        <f>VLOOKUP(C533,[1]Orders!$A$5:$W$1043,7,0)</f>
        <v>Consumer</v>
      </c>
      <c r="J533" t="str">
        <f>VLOOKUP(C533,[1]Orders!$A$5:$W$1043,8,0)</f>
        <v>Aanya Zhang</v>
      </c>
      <c r="K533" t="str">
        <f>VLOOKUP(C533,[1]Orders!$A$5:$W$1043,9,0)</f>
        <v>Not Specified</v>
      </c>
    </row>
    <row r="534" spans="3:11" x14ac:dyDescent="0.25">
      <c r="C534" s="61" t="s">
        <v>626</v>
      </c>
      <c r="D534" t="str">
        <f>VLOOKUP(C534,[1]Orders!$A$5:$W$1043,3,0)</f>
        <v>Katrina Willman</v>
      </c>
      <c r="E534">
        <f>VLOOKUP(C534,[1]Orders!$A$5:$W$1043,23,0)</f>
        <v>16.95</v>
      </c>
      <c r="F534" t="str">
        <f>VLOOKUP(C534,[1]Orders!$A$5:$W$1043,5,0)</f>
        <v>Melbourne</v>
      </c>
      <c r="G534" t="str">
        <f>VLOOKUP(C534,[1]Orders!$A$5:$W$1043,5,0)</f>
        <v>Melbourne</v>
      </c>
      <c r="H534" t="str">
        <f>VLOOKUP(C534,[1]Orders!$A$5:$W$1043,6,0)</f>
        <v>VIC</v>
      </c>
      <c r="I534" t="str">
        <f>VLOOKUP(C534,[1]Orders!$A$5:$W$1043,7,0)</f>
        <v>Consumer</v>
      </c>
      <c r="J534" t="str">
        <f>VLOOKUP(C534,[1]Orders!$A$5:$W$1043,8,0)</f>
        <v>Yvette Biti</v>
      </c>
      <c r="K534" t="str">
        <f>VLOOKUP(C534,[1]Orders!$A$5:$W$1043,9,0)</f>
        <v>High</v>
      </c>
    </row>
    <row r="535" spans="3:11" x14ac:dyDescent="0.25">
      <c r="C535" s="61" t="s">
        <v>627</v>
      </c>
      <c r="D535" t="str">
        <f>VLOOKUP(C535,[1]Orders!$A$5:$W$1043,3,0)</f>
        <v>Max Jones</v>
      </c>
      <c r="E535">
        <f>VLOOKUP(C535,[1]Orders!$A$5:$W$1043,23,0)</f>
        <v>1134.03</v>
      </c>
      <c r="F535" t="str">
        <f>VLOOKUP(C535,[1]Orders!$A$5:$W$1043,5,0)</f>
        <v>Melbourne</v>
      </c>
      <c r="G535" t="str">
        <f>VLOOKUP(C535,[1]Orders!$A$5:$W$1043,5,0)</f>
        <v>Melbourne</v>
      </c>
      <c r="H535" t="str">
        <f>VLOOKUP(C535,[1]Orders!$A$5:$W$1043,6,0)</f>
        <v>VIC</v>
      </c>
      <c r="I535" t="str">
        <f>VLOOKUP(C535,[1]Orders!$A$5:$W$1043,7,0)</f>
        <v>Home Office</v>
      </c>
      <c r="J535" t="str">
        <f>VLOOKUP(C535,[1]Orders!$A$5:$W$1043,8,0)</f>
        <v>Connor Betts</v>
      </c>
      <c r="K535" t="str">
        <f>VLOOKUP(C535,[1]Orders!$A$5:$W$1043,9,0)</f>
        <v>Medium</v>
      </c>
    </row>
    <row r="536" spans="3:11" x14ac:dyDescent="0.25">
      <c r="C536" s="61" t="s">
        <v>628</v>
      </c>
      <c r="D536" t="str">
        <f>VLOOKUP(C536,[1]Orders!$A$5:$W$1043,3,0)</f>
        <v>Joy Smith</v>
      </c>
      <c r="E536">
        <f>VLOOKUP(C536,[1]Orders!$A$5:$W$1043,23,0)</f>
        <v>60.57</v>
      </c>
      <c r="F536" t="str">
        <f>VLOOKUP(C536,[1]Orders!$A$5:$W$1043,5,0)</f>
        <v>Melbourne</v>
      </c>
      <c r="G536" t="str">
        <f>VLOOKUP(C536,[1]Orders!$A$5:$W$1043,5,0)</f>
        <v>Melbourne</v>
      </c>
      <c r="H536" t="str">
        <f>VLOOKUP(C536,[1]Orders!$A$5:$W$1043,6,0)</f>
        <v>VIC</v>
      </c>
      <c r="I536" t="str">
        <f>VLOOKUP(C536,[1]Orders!$A$5:$W$1043,7,0)</f>
        <v>Consumer</v>
      </c>
      <c r="J536" t="str">
        <f>VLOOKUP(C536,[1]Orders!$A$5:$W$1043,8,0)</f>
        <v>Yvette Biti</v>
      </c>
      <c r="K536" t="str">
        <f>VLOOKUP(C536,[1]Orders!$A$5:$W$1043,9,0)</f>
        <v>Low</v>
      </c>
    </row>
    <row r="537" spans="3:11" x14ac:dyDescent="0.25">
      <c r="C537" s="61" t="s">
        <v>629</v>
      </c>
      <c r="D537" t="str">
        <f>VLOOKUP(C537,[1]Orders!$A$5:$W$1043,3,0)</f>
        <v>Katherine Nockton</v>
      </c>
      <c r="E537">
        <f>VLOOKUP(C537,[1]Orders!$A$5:$W$1043,23,0)</f>
        <v>37.4</v>
      </c>
      <c r="F537" t="str">
        <f>VLOOKUP(C537,[1]Orders!$A$5:$W$1043,5,0)</f>
        <v>Melbourne</v>
      </c>
      <c r="G537" t="str">
        <f>VLOOKUP(C537,[1]Orders!$A$5:$W$1043,5,0)</f>
        <v>Melbourne</v>
      </c>
      <c r="H537" t="str">
        <f>VLOOKUP(C537,[1]Orders!$A$5:$W$1043,6,0)</f>
        <v>VIC</v>
      </c>
      <c r="I537" t="str">
        <f>VLOOKUP(C537,[1]Orders!$A$5:$W$1043,7,0)</f>
        <v>Corporate</v>
      </c>
      <c r="J537" t="str">
        <f>VLOOKUP(C537,[1]Orders!$A$5:$W$1043,8,0)</f>
        <v>Yvette Biti</v>
      </c>
      <c r="K537" t="str">
        <f>VLOOKUP(C537,[1]Orders!$A$5:$W$1043,9,0)</f>
        <v>Not Specified</v>
      </c>
    </row>
    <row r="538" spans="3:11" x14ac:dyDescent="0.25">
      <c r="C538" s="61" t="s">
        <v>630</v>
      </c>
      <c r="D538" t="str">
        <f>VLOOKUP(C538,[1]Orders!$A$5:$W$1043,3,0)</f>
        <v>Troy Blackwell</v>
      </c>
      <c r="E538">
        <f>VLOOKUP(C538,[1]Orders!$A$5:$W$1043,23,0)</f>
        <v>48.940000000000005</v>
      </c>
      <c r="F538" t="str">
        <f>VLOOKUP(C538,[1]Orders!$A$5:$W$1043,5,0)</f>
        <v>Sydney</v>
      </c>
      <c r="G538" t="str">
        <f>VLOOKUP(C538,[1]Orders!$A$5:$W$1043,5,0)</f>
        <v>Sydney</v>
      </c>
      <c r="H538" t="str">
        <f>VLOOKUP(C538,[1]Orders!$A$5:$W$1043,6,0)</f>
        <v>NSW</v>
      </c>
      <c r="I538" t="str">
        <f>VLOOKUP(C538,[1]Orders!$A$5:$W$1043,7,0)</f>
        <v>Home Office</v>
      </c>
      <c r="J538" t="str">
        <f>VLOOKUP(C538,[1]Orders!$A$5:$W$1043,8,0)</f>
        <v>Mihael Khan</v>
      </c>
      <c r="K538" t="str">
        <f>VLOOKUP(C538,[1]Orders!$A$5:$W$1043,9,0)</f>
        <v>Not Specified</v>
      </c>
    </row>
    <row r="539" spans="3:11" x14ac:dyDescent="0.25">
      <c r="C539" s="61" t="s">
        <v>631</v>
      </c>
      <c r="D539" t="str">
        <f>VLOOKUP(C539,[1]Orders!$A$5:$W$1043,3,0)</f>
        <v>Jim Sink</v>
      </c>
      <c r="E539">
        <f>VLOOKUP(C539,[1]Orders!$A$5:$W$1043,23,0)</f>
        <v>103.57</v>
      </c>
      <c r="F539" t="str">
        <f>VLOOKUP(C539,[1]Orders!$A$5:$W$1043,5,0)</f>
        <v>Sydney</v>
      </c>
      <c r="G539" t="str">
        <f>VLOOKUP(C539,[1]Orders!$A$5:$W$1043,5,0)</f>
        <v>Sydney</v>
      </c>
      <c r="H539" t="str">
        <f>VLOOKUP(C539,[1]Orders!$A$5:$W$1043,6,0)</f>
        <v>NSW</v>
      </c>
      <c r="I539" t="str">
        <f>VLOOKUP(C539,[1]Orders!$A$5:$W$1043,7,0)</f>
        <v>Corporate</v>
      </c>
      <c r="J539" t="str">
        <f>VLOOKUP(C539,[1]Orders!$A$5:$W$1043,8,0)</f>
        <v>Preston Senome</v>
      </c>
      <c r="K539" t="str">
        <f>VLOOKUP(C539,[1]Orders!$A$5:$W$1043,9,0)</f>
        <v>Not Specified</v>
      </c>
    </row>
    <row r="540" spans="3:11" x14ac:dyDescent="0.25">
      <c r="C540" s="61" t="s">
        <v>632</v>
      </c>
      <c r="D540" t="str">
        <f>VLOOKUP(C540,[1]Orders!$A$5:$W$1043,3,0)</f>
        <v>Jenna Caffey</v>
      </c>
      <c r="E540">
        <f>VLOOKUP(C540,[1]Orders!$A$5:$W$1043,23,0)</f>
        <v>200.73</v>
      </c>
      <c r="F540" t="str">
        <f>VLOOKUP(C540,[1]Orders!$A$5:$W$1043,5,0)</f>
        <v>Sydney</v>
      </c>
      <c r="G540" t="str">
        <f>VLOOKUP(C540,[1]Orders!$A$5:$W$1043,5,0)</f>
        <v>Sydney</v>
      </c>
      <c r="H540" t="str">
        <f>VLOOKUP(C540,[1]Orders!$A$5:$W$1043,6,0)</f>
        <v>NSW</v>
      </c>
      <c r="I540" t="str">
        <f>VLOOKUP(C540,[1]Orders!$A$5:$W$1043,7,0)</f>
        <v>Consumer</v>
      </c>
      <c r="J540" t="str">
        <f>VLOOKUP(C540,[1]Orders!$A$5:$W$1043,8,0)</f>
        <v>Tina Carlton</v>
      </c>
      <c r="K540" t="str">
        <f>VLOOKUP(C540,[1]Orders!$A$5:$W$1043,9,0)</f>
        <v>Critical</v>
      </c>
    </row>
    <row r="541" spans="3:11" x14ac:dyDescent="0.25">
      <c r="C541" s="61" t="s">
        <v>633</v>
      </c>
      <c r="D541" t="str">
        <f>VLOOKUP(C541,[1]Orders!$A$5:$W$1043,3,0)</f>
        <v>Stephanie Ulpright</v>
      </c>
      <c r="E541">
        <f>VLOOKUP(C541,[1]Orders!$A$5:$W$1043,23,0)</f>
        <v>182.17999999999998</v>
      </c>
      <c r="F541" t="str">
        <f>VLOOKUP(C541,[1]Orders!$A$5:$W$1043,5,0)</f>
        <v>Melbourne</v>
      </c>
      <c r="G541" t="str">
        <f>VLOOKUP(C541,[1]Orders!$A$5:$W$1043,5,0)</f>
        <v>Melbourne</v>
      </c>
      <c r="H541" t="str">
        <f>VLOOKUP(C541,[1]Orders!$A$5:$W$1043,6,0)</f>
        <v>VIC</v>
      </c>
      <c r="I541" t="str">
        <f>VLOOKUP(C541,[1]Orders!$A$5:$W$1043,7,0)</f>
        <v>Consumer</v>
      </c>
      <c r="J541" t="str">
        <f>VLOOKUP(C541,[1]Orders!$A$5:$W$1043,8,0)</f>
        <v>Yvette Biti</v>
      </c>
      <c r="K541" t="str">
        <f>VLOOKUP(C541,[1]Orders!$A$5:$W$1043,9,0)</f>
        <v>High</v>
      </c>
    </row>
    <row r="542" spans="3:11" x14ac:dyDescent="0.25">
      <c r="C542" s="61" t="s">
        <v>634</v>
      </c>
      <c r="D542" t="str">
        <f>VLOOKUP(C542,[1]Orders!$A$5:$W$1043,3,0)</f>
        <v>Max Jones</v>
      </c>
      <c r="E542">
        <f>VLOOKUP(C542,[1]Orders!$A$5:$W$1043,23,0)</f>
        <v>72.080000000000013</v>
      </c>
      <c r="F542" t="str">
        <f>VLOOKUP(C542,[1]Orders!$A$5:$W$1043,5,0)</f>
        <v>Melbourne</v>
      </c>
      <c r="G542" t="str">
        <f>VLOOKUP(C542,[1]Orders!$A$5:$W$1043,5,0)</f>
        <v>Melbourne</v>
      </c>
      <c r="H542" t="str">
        <f>VLOOKUP(C542,[1]Orders!$A$5:$W$1043,6,0)</f>
        <v>VIC</v>
      </c>
      <c r="I542" t="str">
        <f>VLOOKUP(C542,[1]Orders!$A$5:$W$1043,7,0)</f>
        <v>Home Office</v>
      </c>
      <c r="J542" t="str">
        <f>VLOOKUP(C542,[1]Orders!$A$5:$W$1043,8,0)</f>
        <v>Connor Betts</v>
      </c>
      <c r="K542" t="str">
        <f>VLOOKUP(C542,[1]Orders!$A$5:$W$1043,9,0)</f>
        <v>Not Specified</v>
      </c>
    </row>
    <row r="543" spans="3:11" x14ac:dyDescent="0.25">
      <c r="C543" s="61" t="s">
        <v>635</v>
      </c>
      <c r="D543" t="str">
        <f>VLOOKUP(C543,[1]Orders!$A$5:$W$1043,3,0)</f>
        <v>Maya Herman</v>
      </c>
      <c r="E543">
        <f>VLOOKUP(C543,[1]Orders!$A$5:$W$1043,23,0)</f>
        <v>887.84999999999991</v>
      </c>
      <c r="F543" t="str">
        <f>VLOOKUP(C543,[1]Orders!$A$5:$W$1043,5,0)</f>
        <v>Sydney</v>
      </c>
      <c r="G543" t="str">
        <f>VLOOKUP(C543,[1]Orders!$A$5:$W$1043,5,0)</f>
        <v>Sydney</v>
      </c>
      <c r="H543" t="str">
        <f>VLOOKUP(C543,[1]Orders!$A$5:$W$1043,6,0)</f>
        <v>NSW</v>
      </c>
      <c r="I543" t="str">
        <f>VLOOKUP(C543,[1]Orders!$A$5:$W$1043,7,0)</f>
        <v>Corporate</v>
      </c>
      <c r="J543" t="str">
        <f>VLOOKUP(C543,[1]Orders!$A$5:$W$1043,8,0)</f>
        <v>Leighton Forrest</v>
      </c>
      <c r="K543" t="str">
        <f>VLOOKUP(C543,[1]Orders!$A$5:$W$1043,9,0)</f>
        <v>Critical</v>
      </c>
    </row>
    <row r="544" spans="3:11" x14ac:dyDescent="0.25">
      <c r="C544" s="61" t="s">
        <v>636</v>
      </c>
      <c r="D544" t="str">
        <f>VLOOKUP(C544,[1]Orders!$A$5:$W$1043,3,0)</f>
        <v>Clay Rozendal</v>
      </c>
      <c r="E544">
        <f>VLOOKUP(C544,[1]Orders!$A$5:$W$1043,23,0)</f>
        <v>78.689999999999984</v>
      </c>
      <c r="F544" t="str">
        <f>VLOOKUP(C544,[1]Orders!$A$5:$W$1043,5,0)</f>
        <v>Melbourne</v>
      </c>
      <c r="G544" t="str">
        <f>VLOOKUP(C544,[1]Orders!$A$5:$W$1043,5,0)</f>
        <v>Melbourne</v>
      </c>
      <c r="H544" t="str">
        <f>VLOOKUP(C544,[1]Orders!$A$5:$W$1043,6,0)</f>
        <v>VIC</v>
      </c>
      <c r="I544" t="str">
        <f>VLOOKUP(C544,[1]Orders!$A$5:$W$1043,7,0)</f>
        <v>Corporate</v>
      </c>
      <c r="J544" t="str">
        <f>VLOOKUP(C544,[1]Orders!$A$5:$W$1043,8,0)</f>
        <v>Connor Betts</v>
      </c>
      <c r="K544" t="str">
        <f>VLOOKUP(C544,[1]Orders!$A$5:$W$1043,9,0)</f>
        <v>Critical</v>
      </c>
    </row>
    <row r="545" spans="3:11" x14ac:dyDescent="0.25">
      <c r="C545" s="61" t="s">
        <v>637</v>
      </c>
      <c r="D545" t="str">
        <f>VLOOKUP(C545,[1]Orders!$A$5:$W$1043,3,0)</f>
        <v>Philip Brown</v>
      </c>
      <c r="E545">
        <f>VLOOKUP(C545,[1]Orders!$A$5:$W$1043,23,0)</f>
        <v>18605.189999999999</v>
      </c>
      <c r="F545" t="str">
        <f>VLOOKUP(C545,[1]Orders!$A$5:$W$1043,5,0)</f>
        <v>Melbourne</v>
      </c>
      <c r="G545" t="str">
        <f>VLOOKUP(C545,[1]Orders!$A$5:$W$1043,5,0)</f>
        <v>Melbourne</v>
      </c>
      <c r="H545" t="str">
        <f>VLOOKUP(C545,[1]Orders!$A$5:$W$1043,6,0)</f>
        <v>VIC</v>
      </c>
      <c r="I545" t="str">
        <f>VLOOKUP(C545,[1]Orders!$A$5:$W$1043,7,0)</f>
        <v>Corporate</v>
      </c>
      <c r="J545" t="str">
        <f>VLOOKUP(C545,[1]Orders!$A$5:$W$1043,8,0)</f>
        <v>Yvette Biti</v>
      </c>
      <c r="K545" t="str">
        <f>VLOOKUP(C545,[1]Orders!$A$5:$W$1043,9,0)</f>
        <v>High</v>
      </c>
    </row>
    <row r="546" spans="3:11" x14ac:dyDescent="0.25">
      <c r="C546" s="61" t="s">
        <v>638</v>
      </c>
      <c r="D546" t="str">
        <f>VLOOKUP(C546,[1]Orders!$A$5:$W$1043,3,0)</f>
        <v>Art Foster</v>
      </c>
      <c r="E546">
        <f>VLOOKUP(C546,[1]Orders!$A$5:$W$1043,23,0)</f>
        <v>384.4</v>
      </c>
      <c r="F546" t="str">
        <f>VLOOKUP(C546,[1]Orders!$A$5:$W$1043,5,0)</f>
        <v>Sydney</v>
      </c>
      <c r="G546" t="str">
        <f>VLOOKUP(C546,[1]Orders!$A$5:$W$1043,5,0)</f>
        <v>Sydney</v>
      </c>
      <c r="H546" t="str">
        <f>VLOOKUP(C546,[1]Orders!$A$5:$W$1043,6,0)</f>
        <v>NSW</v>
      </c>
      <c r="I546" t="str">
        <f>VLOOKUP(C546,[1]Orders!$A$5:$W$1043,7,0)</f>
        <v>Home Office</v>
      </c>
      <c r="J546" t="str">
        <f>VLOOKUP(C546,[1]Orders!$A$5:$W$1043,8,0)</f>
        <v>Stevie Bacata</v>
      </c>
      <c r="K546" t="str">
        <f>VLOOKUP(C546,[1]Orders!$A$5:$W$1043,9,0)</f>
        <v>High</v>
      </c>
    </row>
    <row r="547" spans="3:11" x14ac:dyDescent="0.25">
      <c r="C547" s="61" t="s">
        <v>639</v>
      </c>
      <c r="D547" t="str">
        <f>VLOOKUP(C547,[1]Orders!$A$5:$W$1043,3,0)</f>
        <v>Doug Jacobs</v>
      </c>
      <c r="E547">
        <f>VLOOKUP(C547,[1]Orders!$A$5:$W$1043,23,0)</f>
        <v>7840.59</v>
      </c>
      <c r="F547" t="str">
        <f>VLOOKUP(C547,[1]Orders!$A$5:$W$1043,5,0)</f>
        <v>Sydney</v>
      </c>
      <c r="G547" t="str">
        <f>VLOOKUP(C547,[1]Orders!$A$5:$W$1043,5,0)</f>
        <v>Sydney</v>
      </c>
      <c r="H547" t="str">
        <f>VLOOKUP(C547,[1]Orders!$A$5:$W$1043,6,0)</f>
        <v>NSW</v>
      </c>
      <c r="I547" t="str">
        <f>VLOOKUP(C547,[1]Orders!$A$5:$W$1043,7,0)</f>
        <v>Home Office</v>
      </c>
      <c r="J547" t="str">
        <f>VLOOKUP(C547,[1]Orders!$A$5:$W$1043,8,0)</f>
        <v>Natasha Song</v>
      </c>
      <c r="K547" t="str">
        <f>VLOOKUP(C547,[1]Orders!$A$5:$W$1043,9,0)</f>
        <v>Medium</v>
      </c>
    </row>
    <row r="548" spans="3:11" x14ac:dyDescent="0.25">
      <c r="C548" s="61" t="s">
        <v>640</v>
      </c>
      <c r="D548" t="str">
        <f>VLOOKUP(C548,[1]Orders!$A$5:$W$1043,3,0)</f>
        <v>Jennifer Braxton</v>
      </c>
      <c r="E548">
        <f>VLOOKUP(C548,[1]Orders!$A$5:$W$1043,23,0)</f>
        <v>50.42</v>
      </c>
      <c r="F548" t="str">
        <f>VLOOKUP(C548,[1]Orders!$A$5:$W$1043,5,0)</f>
        <v>Sydney</v>
      </c>
      <c r="G548" t="str">
        <f>VLOOKUP(C548,[1]Orders!$A$5:$W$1043,5,0)</f>
        <v>Sydney</v>
      </c>
      <c r="H548" t="str">
        <f>VLOOKUP(C548,[1]Orders!$A$5:$W$1043,6,0)</f>
        <v>NSW</v>
      </c>
      <c r="I548" t="str">
        <f>VLOOKUP(C548,[1]Orders!$A$5:$W$1043,7,0)</f>
        <v>Small Business</v>
      </c>
      <c r="J548" t="str">
        <f>VLOOKUP(C548,[1]Orders!$A$5:$W$1043,8,0)</f>
        <v>Aanya Zhang</v>
      </c>
      <c r="K548" t="str">
        <f>VLOOKUP(C548,[1]Orders!$A$5:$W$1043,9,0)</f>
        <v>High</v>
      </c>
    </row>
    <row r="549" spans="3:11" x14ac:dyDescent="0.25">
      <c r="C549" s="61" t="s">
        <v>641</v>
      </c>
      <c r="D549" t="str">
        <f>VLOOKUP(C549,[1]Orders!$A$5:$W$1043,3,0)</f>
        <v>Christy Brittain</v>
      </c>
      <c r="E549">
        <f>VLOOKUP(C549,[1]Orders!$A$5:$W$1043,23,0)</f>
        <v>53.779999999999994</v>
      </c>
      <c r="F549" t="str">
        <f>VLOOKUP(C549,[1]Orders!$A$5:$W$1043,5,0)</f>
        <v>Sydney</v>
      </c>
      <c r="G549" t="str">
        <f>VLOOKUP(C549,[1]Orders!$A$5:$W$1043,5,0)</f>
        <v>Sydney</v>
      </c>
      <c r="H549" t="str">
        <f>VLOOKUP(C549,[1]Orders!$A$5:$W$1043,6,0)</f>
        <v>NSW</v>
      </c>
      <c r="I549" t="str">
        <f>VLOOKUP(C549,[1]Orders!$A$5:$W$1043,7,0)</f>
        <v>Consumer</v>
      </c>
      <c r="J549" t="str">
        <f>VLOOKUP(C549,[1]Orders!$A$5:$W$1043,8,0)</f>
        <v>Mihael Khan</v>
      </c>
      <c r="K549" t="str">
        <f>VLOOKUP(C549,[1]Orders!$A$5:$W$1043,9,0)</f>
        <v>Not Specified</v>
      </c>
    </row>
    <row r="550" spans="3:11" x14ac:dyDescent="0.25">
      <c r="C550" s="61" t="s">
        <v>642</v>
      </c>
      <c r="D550" t="str">
        <f>VLOOKUP(C550,[1]Orders!$A$5:$W$1043,3,0)</f>
        <v>Darrin Sayre</v>
      </c>
      <c r="E550">
        <f>VLOOKUP(C550,[1]Orders!$A$5:$W$1043,23,0)</f>
        <v>48.519999999999996</v>
      </c>
      <c r="F550" t="str">
        <f>VLOOKUP(C550,[1]Orders!$A$5:$W$1043,5,0)</f>
        <v>Sydney</v>
      </c>
      <c r="G550" t="str">
        <f>VLOOKUP(C550,[1]Orders!$A$5:$W$1043,5,0)</f>
        <v>Sydney</v>
      </c>
      <c r="H550" t="str">
        <f>VLOOKUP(C550,[1]Orders!$A$5:$W$1043,6,0)</f>
        <v>NSW</v>
      </c>
      <c r="I550" t="str">
        <f>VLOOKUP(C550,[1]Orders!$A$5:$W$1043,7,0)</f>
        <v>Consumer</v>
      </c>
      <c r="J550" t="str">
        <f>VLOOKUP(C550,[1]Orders!$A$5:$W$1043,8,0)</f>
        <v>Phoebe Gour</v>
      </c>
      <c r="K550" t="str">
        <f>VLOOKUP(C550,[1]Orders!$A$5:$W$1043,9,0)</f>
        <v>Not Specified</v>
      </c>
    </row>
    <row r="551" spans="3:11" x14ac:dyDescent="0.25">
      <c r="C551" s="61" t="s">
        <v>643</v>
      </c>
      <c r="D551" t="str">
        <f>VLOOKUP(C551,[1]Orders!$A$5:$W$1043,3,0)</f>
        <v>Phillip Flathmann</v>
      </c>
      <c r="E551">
        <f>VLOOKUP(C551,[1]Orders!$A$5:$W$1043,23,0)</f>
        <v>15.25</v>
      </c>
      <c r="F551" t="str">
        <f>VLOOKUP(C551,[1]Orders!$A$5:$W$1043,5,0)</f>
        <v>Sydney</v>
      </c>
      <c r="G551" t="str">
        <f>VLOOKUP(C551,[1]Orders!$A$5:$W$1043,5,0)</f>
        <v>Sydney</v>
      </c>
      <c r="H551" t="str">
        <f>VLOOKUP(C551,[1]Orders!$A$5:$W$1043,6,0)</f>
        <v>NSW</v>
      </c>
      <c r="I551" t="str">
        <f>VLOOKUP(C551,[1]Orders!$A$5:$W$1043,7,0)</f>
        <v>Small Business</v>
      </c>
      <c r="J551" t="str">
        <f>VLOOKUP(C551,[1]Orders!$A$5:$W$1043,8,0)</f>
        <v>Nicholas Fernandes</v>
      </c>
      <c r="K551" t="str">
        <f>VLOOKUP(C551,[1]Orders!$A$5:$W$1043,9,0)</f>
        <v>Medium</v>
      </c>
    </row>
    <row r="552" spans="3:11" x14ac:dyDescent="0.25">
      <c r="C552" s="61" t="s">
        <v>644</v>
      </c>
      <c r="D552" t="str">
        <f>VLOOKUP(C552,[1]Orders!$A$5:$W$1043,3,0)</f>
        <v>Corinna Mitchell</v>
      </c>
      <c r="E552">
        <f>VLOOKUP(C552,[1]Orders!$A$5:$W$1043,23,0)</f>
        <v>3206.0499999999997</v>
      </c>
      <c r="F552" t="str">
        <f>VLOOKUP(C552,[1]Orders!$A$5:$W$1043,5,0)</f>
        <v>Sydney</v>
      </c>
      <c r="G552" t="str">
        <f>VLOOKUP(C552,[1]Orders!$A$5:$W$1043,5,0)</f>
        <v>Sydney</v>
      </c>
      <c r="H552" t="str">
        <f>VLOOKUP(C552,[1]Orders!$A$5:$W$1043,6,0)</f>
        <v>NSW</v>
      </c>
      <c r="I552" t="str">
        <f>VLOOKUP(C552,[1]Orders!$A$5:$W$1043,7,0)</f>
        <v>Corporate</v>
      </c>
      <c r="J552" t="str">
        <f>VLOOKUP(C552,[1]Orders!$A$5:$W$1043,8,0)</f>
        <v>Nicholas Fernandes</v>
      </c>
      <c r="K552" t="str">
        <f>VLOOKUP(C552,[1]Orders!$A$5:$W$1043,9,0)</f>
        <v>Not Specified</v>
      </c>
    </row>
    <row r="553" spans="3:11" x14ac:dyDescent="0.25">
      <c r="C553" s="61" t="s">
        <v>645</v>
      </c>
      <c r="D553" t="str">
        <f>VLOOKUP(C553,[1]Orders!$A$5:$W$1043,3,0)</f>
        <v>Carl Ludwig</v>
      </c>
      <c r="E553">
        <f>VLOOKUP(C553,[1]Orders!$A$5:$W$1043,23,0)</f>
        <v>11298.74</v>
      </c>
      <c r="F553" t="str">
        <f>VLOOKUP(C553,[1]Orders!$A$5:$W$1043,5,0)</f>
        <v>Sydney</v>
      </c>
      <c r="G553" t="str">
        <f>VLOOKUP(C553,[1]Orders!$A$5:$W$1043,5,0)</f>
        <v>Sydney</v>
      </c>
      <c r="H553" t="str">
        <f>VLOOKUP(C553,[1]Orders!$A$5:$W$1043,6,0)</f>
        <v>NSW</v>
      </c>
      <c r="I553" t="str">
        <f>VLOOKUP(C553,[1]Orders!$A$5:$W$1043,7,0)</f>
        <v>Corporate</v>
      </c>
      <c r="J553" t="str">
        <f>VLOOKUP(C553,[1]Orders!$A$5:$W$1043,8,0)</f>
        <v>Leighton Forrest</v>
      </c>
      <c r="K553" t="str">
        <f>VLOOKUP(C553,[1]Orders!$A$5:$W$1043,9,0)</f>
        <v>High</v>
      </c>
    </row>
    <row r="554" spans="3:11" x14ac:dyDescent="0.25">
      <c r="C554" s="61" t="s">
        <v>646</v>
      </c>
      <c r="D554" t="str">
        <f>VLOOKUP(C554,[1]Orders!$A$5:$W$1043,3,0)</f>
        <v>Cari Schnelling</v>
      </c>
      <c r="E554">
        <f>VLOOKUP(C554,[1]Orders!$A$5:$W$1043,23,0)</f>
        <v>298.37</v>
      </c>
      <c r="F554" t="str">
        <f>VLOOKUP(C554,[1]Orders!$A$5:$W$1043,5,0)</f>
        <v>Sydney</v>
      </c>
      <c r="G554" t="str">
        <f>VLOOKUP(C554,[1]Orders!$A$5:$W$1043,5,0)</f>
        <v>Sydney</v>
      </c>
      <c r="H554" t="str">
        <f>VLOOKUP(C554,[1]Orders!$A$5:$W$1043,6,0)</f>
        <v>NSW</v>
      </c>
      <c r="I554" t="str">
        <f>VLOOKUP(C554,[1]Orders!$A$5:$W$1043,7,0)</f>
        <v>Home Office</v>
      </c>
      <c r="J554" t="str">
        <f>VLOOKUP(C554,[1]Orders!$A$5:$W$1043,8,0)</f>
        <v>Leighton Forrest</v>
      </c>
      <c r="K554" t="str">
        <f>VLOOKUP(C554,[1]Orders!$A$5:$W$1043,9,0)</f>
        <v>High</v>
      </c>
    </row>
    <row r="555" spans="3:11" x14ac:dyDescent="0.25">
      <c r="C555" s="61" t="s">
        <v>647</v>
      </c>
      <c r="D555" t="str">
        <f>VLOOKUP(C555,[1]Orders!$A$5:$W$1043,3,0)</f>
        <v>Julia Dunbar</v>
      </c>
      <c r="E555">
        <f>VLOOKUP(C555,[1]Orders!$A$5:$W$1043,23,0)</f>
        <v>1260.5300000000002</v>
      </c>
      <c r="F555" t="str">
        <f>VLOOKUP(C555,[1]Orders!$A$5:$W$1043,5,0)</f>
        <v>Sydney</v>
      </c>
      <c r="G555" t="str">
        <f>VLOOKUP(C555,[1]Orders!$A$5:$W$1043,5,0)</f>
        <v>Sydney</v>
      </c>
      <c r="H555" t="str">
        <f>VLOOKUP(C555,[1]Orders!$A$5:$W$1043,6,0)</f>
        <v>NSW</v>
      </c>
      <c r="I555" t="str">
        <f>VLOOKUP(C555,[1]Orders!$A$5:$W$1043,7,0)</f>
        <v>Consumer</v>
      </c>
      <c r="J555" t="str">
        <f>VLOOKUP(C555,[1]Orders!$A$5:$W$1043,8,0)</f>
        <v>Phoebe Gour</v>
      </c>
      <c r="K555" t="str">
        <f>VLOOKUP(C555,[1]Orders!$A$5:$W$1043,9,0)</f>
        <v>Critical</v>
      </c>
    </row>
    <row r="556" spans="3:11" x14ac:dyDescent="0.25">
      <c r="C556" s="61" t="s">
        <v>648</v>
      </c>
      <c r="D556" t="str">
        <f>VLOOKUP(C556,[1]Orders!$A$5:$W$1043,3,0)</f>
        <v>Paul Knutson</v>
      </c>
      <c r="E556">
        <f>VLOOKUP(C556,[1]Orders!$A$5:$W$1043,23,0)</f>
        <v>7248.75</v>
      </c>
      <c r="F556" t="str">
        <f>VLOOKUP(C556,[1]Orders!$A$5:$W$1043,5,0)</f>
        <v>Sydney</v>
      </c>
      <c r="G556" t="str">
        <f>VLOOKUP(C556,[1]Orders!$A$5:$W$1043,5,0)</f>
        <v>Sydney</v>
      </c>
      <c r="H556" t="str">
        <f>VLOOKUP(C556,[1]Orders!$A$5:$W$1043,6,0)</f>
        <v>NSW</v>
      </c>
      <c r="I556" t="str">
        <f>VLOOKUP(C556,[1]Orders!$A$5:$W$1043,7,0)</f>
        <v>Corporate</v>
      </c>
      <c r="J556" t="str">
        <f>VLOOKUP(C556,[1]Orders!$A$5:$W$1043,8,0)</f>
        <v>Leighton Forrest</v>
      </c>
      <c r="K556" t="str">
        <f>VLOOKUP(C556,[1]Orders!$A$5:$W$1043,9,0)</f>
        <v>Critical</v>
      </c>
    </row>
    <row r="557" spans="3:11" x14ac:dyDescent="0.25">
      <c r="C557" s="61" t="s">
        <v>649</v>
      </c>
      <c r="D557" t="str">
        <f>VLOOKUP(C557,[1]Orders!$A$5:$W$1043,3,0)</f>
        <v>Ionia McGrath</v>
      </c>
      <c r="E557">
        <f>VLOOKUP(C557,[1]Orders!$A$5:$W$1043,23,0)</f>
        <v>487.47999999999996</v>
      </c>
      <c r="F557" t="str">
        <f>VLOOKUP(C557,[1]Orders!$A$5:$W$1043,5,0)</f>
        <v>Sydney</v>
      </c>
      <c r="G557" t="str">
        <f>VLOOKUP(C557,[1]Orders!$A$5:$W$1043,5,0)</f>
        <v>Sydney</v>
      </c>
      <c r="H557" t="str">
        <f>VLOOKUP(C557,[1]Orders!$A$5:$W$1043,6,0)</f>
        <v>NSW</v>
      </c>
      <c r="I557" t="str">
        <f>VLOOKUP(C557,[1]Orders!$A$5:$W$1043,7,0)</f>
        <v>Small Business</v>
      </c>
      <c r="J557" t="str">
        <f>VLOOKUP(C557,[1]Orders!$A$5:$W$1043,8,0)</f>
        <v>Stevie Bacata</v>
      </c>
      <c r="K557" t="str">
        <f>VLOOKUP(C557,[1]Orders!$A$5:$W$1043,9,0)</f>
        <v>High</v>
      </c>
    </row>
    <row r="558" spans="3:11" x14ac:dyDescent="0.25">
      <c r="C558" s="61" t="s">
        <v>650</v>
      </c>
      <c r="D558" t="str">
        <f>VLOOKUP(C558,[1]Orders!$A$5:$W$1043,3,0)</f>
        <v>Claire Good</v>
      </c>
      <c r="E558">
        <f>VLOOKUP(C558,[1]Orders!$A$5:$W$1043,23,0)</f>
        <v>17.670000000000002</v>
      </c>
      <c r="F558" t="str">
        <f>VLOOKUP(C558,[1]Orders!$A$5:$W$1043,5,0)</f>
        <v>Sydney</v>
      </c>
      <c r="G558" t="str">
        <f>VLOOKUP(C558,[1]Orders!$A$5:$W$1043,5,0)</f>
        <v>Sydney</v>
      </c>
      <c r="H558" t="str">
        <f>VLOOKUP(C558,[1]Orders!$A$5:$W$1043,6,0)</f>
        <v>NSW</v>
      </c>
      <c r="I558" t="str">
        <f>VLOOKUP(C558,[1]Orders!$A$5:$W$1043,7,0)</f>
        <v>Home Office</v>
      </c>
      <c r="J558" t="str">
        <f>VLOOKUP(C558,[1]Orders!$A$5:$W$1043,8,0)</f>
        <v>Stevie Bacata</v>
      </c>
      <c r="K558" t="str">
        <f>VLOOKUP(C558,[1]Orders!$A$5:$W$1043,9,0)</f>
        <v>Medium</v>
      </c>
    </row>
    <row r="559" spans="3:11" x14ac:dyDescent="0.25">
      <c r="C559" s="61" t="s">
        <v>651</v>
      </c>
      <c r="D559" t="str">
        <f>VLOOKUP(C559,[1]Orders!$A$5:$W$1043,3,0)</f>
        <v>Tom Stivers</v>
      </c>
      <c r="E559">
        <f>VLOOKUP(C559,[1]Orders!$A$5:$W$1043,23,0)</f>
        <v>209.27</v>
      </c>
      <c r="F559" t="str">
        <f>VLOOKUP(C559,[1]Orders!$A$5:$W$1043,5,0)</f>
        <v>Sydney</v>
      </c>
      <c r="G559" t="str">
        <f>VLOOKUP(C559,[1]Orders!$A$5:$W$1043,5,0)</f>
        <v>Sydney</v>
      </c>
      <c r="H559" t="str">
        <f>VLOOKUP(C559,[1]Orders!$A$5:$W$1043,6,0)</f>
        <v>NSW</v>
      </c>
      <c r="I559" t="str">
        <f>VLOOKUP(C559,[1]Orders!$A$5:$W$1043,7,0)</f>
        <v>Corporate</v>
      </c>
      <c r="J559" t="str">
        <f>VLOOKUP(C559,[1]Orders!$A$5:$W$1043,8,0)</f>
        <v>Aanya Zhang</v>
      </c>
      <c r="K559" t="str">
        <f>VLOOKUP(C559,[1]Orders!$A$5:$W$1043,9,0)</f>
        <v>Low</v>
      </c>
    </row>
    <row r="560" spans="3:11" x14ac:dyDescent="0.25">
      <c r="C560" s="61" t="s">
        <v>652</v>
      </c>
      <c r="D560" t="str">
        <f>VLOOKUP(C560,[1]Orders!$A$5:$W$1043,3,0)</f>
        <v>Brad Thomas</v>
      </c>
      <c r="E560">
        <f>VLOOKUP(C560,[1]Orders!$A$5:$W$1043,23,0)</f>
        <v>1256.56</v>
      </c>
      <c r="F560" t="str">
        <f>VLOOKUP(C560,[1]Orders!$A$5:$W$1043,5,0)</f>
        <v>Sydney</v>
      </c>
      <c r="G560" t="str">
        <f>VLOOKUP(C560,[1]Orders!$A$5:$W$1043,5,0)</f>
        <v>Sydney</v>
      </c>
      <c r="H560" t="str">
        <f>VLOOKUP(C560,[1]Orders!$A$5:$W$1043,6,0)</f>
        <v>NSW</v>
      </c>
      <c r="I560" t="str">
        <f>VLOOKUP(C560,[1]Orders!$A$5:$W$1043,7,0)</f>
        <v>Home Office</v>
      </c>
      <c r="J560" t="str">
        <f>VLOOKUP(C560,[1]Orders!$A$5:$W$1043,8,0)</f>
        <v>Tina Carlton</v>
      </c>
      <c r="K560" t="str">
        <f>VLOOKUP(C560,[1]Orders!$A$5:$W$1043,9,0)</f>
        <v>Medium</v>
      </c>
    </row>
    <row r="561" spans="3:11" x14ac:dyDescent="0.25">
      <c r="C561" s="61" t="s">
        <v>653</v>
      </c>
      <c r="D561" t="str">
        <f>VLOOKUP(C561,[1]Orders!$A$5:$W$1043,3,0)</f>
        <v>David Smith</v>
      </c>
      <c r="E561">
        <f>VLOOKUP(C561,[1]Orders!$A$5:$W$1043,23,0)</f>
        <v>129.19999999999999</v>
      </c>
      <c r="F561" t="str">
        <f>VLOOKUP(C561,[1]Orders!$A$5:$W$1043,5,0)</f>
        <v>Sydney</v>
      </c>
      <c r="G561" t="str">
        <f>VLOOKUP(C561,[1]Orders!$A$5:$W$1043,5,0)</f>
        <v>Sydney</v>
      </c>
      <c r="H561" t="str">
        <f>VLOOKUP(C561,[1]Orders!$A$5:$W$1043,6,0)</f>
        <v>NSW</v>
      </c>
      <c r="I561" t="str">
        <f>VLOOKUP(C561,[1]Orders!$A$5:$W$1043,7,0)</f>
        <v>Small Business</v>
      </c>
      <c r="J561" t="str">
        <f>VLOOKUP(C561,[1]Orders!$A$5:$W$1043,8,0)</f>
        <v>Mihael Khan</v>
      </c>
      <c r="K561" t="str">
        <f>VLOOKUP(C561,[1]Orders!$A$5:$W$1043,9,0)</f>
        <v>Critical</v>
      </c>
    </row>
    <row r="562" spans="3:11" x14ac:dyDescent="0.25">
      <c r="C562" s="61" t="s">
        <v>654</v>
      </c>
      <c r="D562" t="str">
        <f>VLOOKUP(C562,[1]Orders!$A$5:$W$1043,3,0)</f>
        <v>Carlos Soltero</v>
      </c>
      <c r="E562">
        <f>VLOOKUP(C562,[1]Orders!$A$5:$W$1043,23,0)</f>
        <v>1319.88</v>
      </c>
      <c r="F562" t="str">
        <f>VLOOKUP(C562,[1]Orders!$A$5:$W$1043,5,0)</f>
        <v>Sydney</v>
      </c>
      <c r="G562" t="str">
        <f>VLOOKUP(C562,[1]Orders!$A$5:$W$1043,5,0)</f>
        <v>Sydney</v>
      </c>
      <c r="H562" t="str">
        <f>VLOOKUP(C562,[1]Orders!$A$5:$W$1043,6,0)</f>
        <v>NSW</v>
      </c>
      <c r="I562" t="str">
        <f>VLOOKUP(C562,[1]Orders!$A$5:$W$1043,7,0)</f>
        <v>Small Business</v>
      </c>
      <c r="J562" t="str">
        <f>VLOOKUP(C562,[1]Orders!$A$5:$W$1043,8,0)</f>
        <v>Charlie Bui</v>
      </c>
      <c r="K562" t="str">
        <f>VLOOKUP(C562,[1]Orders!$A$5:$W$1043,9,0)</f>
        <v>Medium</v>
      </c>
    </row>
    <row r="563" spans="3:11" x14ac:dyDescent="0.25">
      <c r="C563" s="61" t="s">
        <v>655</v>
      </c>
      <c r="D563" t="str">
        <f>VLOOKUP(C563,[1]Orders!$A$5:$W$1043,3,0)</f>
        <v>Doug Bickford</v>
      </c>
      <c r="E563">
        <f>VLOOKUP(C563,[1]Orders!$A$5:$W$1043,23,0)</f>
        <v>6374.2300000000005</v>
      </c>
      <c r="F563" t="str">
        <f>VLOOKUP(C563,[1]Orders!$A$5:$W$1043,5,0)</f>
        <v>Melbourne</v>
      </c>
      <c r="G563" t="str">
        <f>VLOOKUP(C563,[1]Orders!$A$5:$W$1043,5,0)</f>
        <v>Melbourne</v>
      </c>
      <c r="H563" t="str">
        <f>VLOOKUP(C563,[1]Orders!$A$5:$W$1043,6,0)</f>
        <v>VIC</v>
      </c>
      <c r="I563" t="str">
        <f>VLOOKUP(C563,[1]Orders!$A$5:$W$1043,7,0)</f>
        <v>Small Business</v>
      </c>
      <c r="J563" t="str">
        <f>VLOOKUP(C563,[1]Orders!$A$5:$W$1043,8,0)</f>
        <v>Yvette Biti</v>
      </c>
      <c r="K563" t="str">
        <f>VLOOKUP(C563,[1]Orders!$A$5:$W$1043,9,0)</f>
        <v>Medium</v>
      </c>
    </row>
    <row r="564" spans="3:11" x14ac:dyDescent="0.25">
      <c r="C564" s="61" t="s">
        <v>656</v>
      </c>
      <c r="D564" t="str">
        <f>VLOOKUP(C564,[1]Orders!$A$5:$W$1043,3,0)</f>
        <v>Linda Southworth</v>
      </c>
      <c r="E564">
        <f>VLOOKUP(C564,[1]Orders!$A$5:$W$1043,23,0)</f>
        <v>58.959999999999994</v>
      </c>
      <c r="F564" t="str">
        <f>VLOOKUP(C564,[1]Orders!$A$5:$W$1043,5,0)</f>
        <v>Sydney</v>
      </c>
      <c r="G564" t="str">
        <f>VLOOKUP(C564,[1]Orders!$A$5:$W$1043,5,0)</f>
        <v>Sydney</v>
      </c>
      <c r="H564" t="str">
        <f>VLOOKUP(C564,[1]Orders!$A$5:$W$1043,6,0)</f>
        <v>NSW</v>
      </c>
      <c r="I564" t="str">
        <f>VLOOKUP(C564,[1]Orders!$A$5:$W$1043,7,0)</f>
        <v>Consumer</v>
      </c>
      <c r="J564" t="str">
        <f>VLOOKUP(C564,[1]Orders!$A$5:$W$1043,8,0)</f>
        <v>Phoebe Gour</v>
      </c>
      <c r="K564" t="str">
        <f>VLOOKUP(C564,[1]Orders!$A$5:$W$1043,9,0)</f>
        <v>Low</v>
      </c>
    </row>
    <row r="565" spans="3:11" x14ac:dyDescent="0.25">
      <c r="C565" s="61" t="s">
        <v>657</v>
      </c>
      <c r="D565" t="str">
        <f>VLOOKUP(C565,[1]Orders!$A$5:$W$1043,3,0)</f>
        <v>Michelle Moray</v>
      </c>
      <c r="E565">
        <f>VLOOKUP(C565,[1]Orders!$A$5:$W$1043,23,0)</f>
        <v>652.05999999999995</v>
      </c>
      <c r="F565" t="str">
        <f>VLOOKUP(C565,[1]Orders!$A$5:$W$1043,5,0)</f>
        <v>Sydney</v>
      </c>
      <c r="G565" t="str">
        <f>VLOOKUP(C565,[1]Orders!$A$5:$W$1043,5,0)</f>
        <v>Sydney</v>
      </c>
      <c r="H565" t="str">
        <f>VLOOKUP(C565,[1]Orders!$A$5:$W$1043,6,0)</f>
        <v>NSW</v>
      </c>
      <c r="I565" t="str">
        <f>VLOOKUP(C565,[1]Orders!$A$5:$W$1043,7,0)</f>
        <v>Corporate</v>
      </c>
      <c r="J565" t="str">
        <f>VLOOKUP(C565,[1]Orders!$A$5:$W$1043,8,0)</f>
        <v>Aanya Zhang</v>
      </c>
      <c r="K565" t="str">
        <f>VLOOKUP(C565,[1]Orders!$A$5:$W$1043,9,0)</f>
        <v>Low</v>
      </c>
    </row>
    <row r="566" spans="3:11" x14ac:dyDescent="0.25">
      <c r="C566" s="61" t="s">
        <v>658</v>
      </c>
      <c r="D566" t="str">
        <f>VLOOKUP(C566,[1]Orders!$A$5:$W$1043,3,0)</f>
        <v>Dorris Love</v>
      </c>
      <c r="E566">
        <f>VLOOKUP(C566,[1]Orders!$A$5:$W$1043,23,0)</f>
        <v>12346.85</v>
      </c>
      <c r="F566" t="str">
        <f>VLOOKUP(C566,[1]Orders!$A$5:$W$1043,5,0)</f>
        <v>Sydney</v>
      </c>
      <c r="G566" t="str">
        <f>VLOOKUP(C566,[1]Orders!$A$5:$W$1043,5,0)</f>
        <v>Sydney</v>
      </c>
      <c r="H566" t="str">
        <f>VLOOKUP(C566,[1]Orders!$A$5:$W$1043,6,0)</f>
        <v>NSW</v>
      </c>
      <c r="I566" t="str">
        <f>VLOOKUP(C566,[1]Orders!$A$5:$W$1043,7,0)</f>
        <v>Home Office</v>
      </c>
      <c r="J566" t="str">
        <f>VLOOKUP(C566,[1]Orders!$A$5:$W$1043,8,0)</f>
        <v>Phoebe Gour</v>
      </c>
      <c r="K566" t="str">
        <f>VLOOKUP(C566,[1]Orders!$A$5:$W$1043,9,0)</f>
        <v>Not Specified</v>
      </c>
    </row>
    <row r="567" spans="3:11" x14ac:dyDescent="0.25">
      <c r="C567" s="61" t="s">
        <v>659</v>
      </c>
      <c r="D567" t="str">
        <f>VLOOKUP(C567,[1]Orders!$A$5:$W$1043,3,0)</f>
        <v>Ralph Arnett</v>
      </c>
      <c r="E567">
        <f>VLOOKUP(C567,[1]Orders!$A$5:$W$1043,23,0)</f>
        <v>47.5</v>
      </c>
      <c r="F567" t="str">
        <f>VLOOKUP(C567,[1]Orders!$A$5:$W$1043,5,0)</f>
        <v>Sydney</v>
      </c>
      <c r="G567" t="str">
        <f>VLOOKUP(C567,[1]Orders!$A$5:$W$1043,5,0)</f>
        <v>Sydney</v>
      </c>
      <c r="H567" t="str">
        <f>VLOOKUP(C567,[1]Orders!$A$5:$W$1043,6,0)</f>
        <v>NSW</v>
      </c>
      <c r="I567" t="str">
        <f>VLOOKUP(C567,[1]Orders!$A$5:$W$1043,7,0)</f>
        <v>Consumer</v>
      </c>
      <c r="J567" t="str">
        <f>VLOOKUP(C567,[1]Orders!$A$5:$W$1043,8,0)</f>
        <v>Charlie Bui</v>
      </c>
      <c r="K567" t="str">
        <f>VLOOKUP(C567,[1]Orders!$A$5:$W$1043,9,0)</f>
        <v>Medium</v>
      </c>
    </row>
    <row r="568" spans="3:11" x14ac:dyDescent="0.25">
      <c r="C568" s="61" t="s">
        <v>660</v>
      </c>
      <c r="D568" t="str">
        <f>VLOOKUP(C568,[1]Orders!$A$5:$W$1043,3,0)</f>
        <v>Shahid Shariari</v>
      </c>
      <c r="E568">
        <f>VLOOKUP(C568,[1]Orders!$A$5:$W$1043,23,0)</f>
        <v>364.83000000000004</v>
      </c>
      <c r="F568" t="str">
        <f>VLOOKUP(C568,[1]Orders!$A$5:$W$1043,5,0)</f>
        <v>Sydney</v>
      </c>
      <c r="G568" t="str">
        <f>VLOOKUP(C568,[1]Orders!$A$5:$W$1043,5,0)</f>
        <v>Sydney</v>
      </c>
      <c r="H568" t="str">
        <f>VLOOKUP(C568,[1]Orders!$A$5:$W$1043,6,0)</f>
        <v>NSW</v>
      </c>
      <c r="I568" t="str">
        <f>VLOOKUP(C568,[1]Orders!$A$5:$W$1043,7,0)</f>
        <v>Corporate</v>
      </c>
      <c r="J568" t="str">
        <f>VLOOKUP(C568,[1]Orders!$A$5:$W$1043,8,0)</f>
        <v>Mihael Khan</v>
      </c>
      <c r="K568" t="str">
        <f>VLOOKUP(C568,[1]Orders!$A$5:$W$1043,9,0)</f>
        <v>Medium</v>
      </c>
    </row>
    <row r="569" spans="3:11" x14ac:dyDescent="0.25">
      <c r="C569" s="61" t="s">
        <v>661</v>
      </c>
      <c r="D569" t="str">
        <f>VLOOKUP(C569,[1]Orders!$A$5:$W$1043,3,0)</f>
        <v>Jeremy Pistek</v>
      </c>
      <c r="E569">
        <f>VLOOKUP(C569,[1]Orders!$A$5:$W$1043,23,0)</f>
        <v>64.75</v>
      </c>
      <c r="F569" t="str">
        <f>VLOOKUP(C569,[1]Orders!$A$5:$W$1043,5,0)</f>
        <v>Sydney</v>
      </c>
      <c r="G569" t="str">
        <f>VLOOKUP(C569,[1]Orders!$A$5:$W$1043,5,0)</f>
        <v>Sydney</v>
      </c>
      <c r="H569" t="str">
        <f>VLOOKUP(C569,[1]Orders!$A$5:$W$1043,6,0)</f>
        <v>NSW</v>
      </c>
      <c r="I569" t="str">
        <f>VLOOKUP(C569,[1]Orders!$A$5:$W$1043,7,0)</f>
        <v>Corporate</v>
      </c>
      <c r="J569" t="str">
        <f>VLOOKUP(C569,[1]Orders!$A$5:$W$1043,8,0)</f>
        <v>Mihael Khan</v>
      </c>
      <c r="K569" t="str">
        <f>VLOOKUP(C569,[1]Orders!$A$5:$W$1043,9,0)</f>
        <v>High</v>
      </c>
    </row>
    <row r="570" spans="3:11" x14ac:dyDescent="0.25">
      <c r="C570" s="61" t="s">
        <v>662</v>
      </c>
      <c r="D570" t="str">
        <f>VLOOKUP(C570,[1]Orders!$A$5:$W$1043,3,0)</f>
        <v>Brian Thompson</v>
      </c>
      <c r="E570">
        <f>VLOOKUP(C570,[1]Orders!$A$5:$W$1043,23,0)</f>
        <v>245.80999999999997</v>
      </c>
      <c r="F570" t="str">
        <f>VLOOKUP(C570,[1]Orders!$A$5:$W$1043,5,0)</f>
        <v>Sydney</v>
      </c>
      <c r="G570" t="str">
        <f>VLOOKUP(C570,[1]Orders!$A$5:$W$1043,5,0)</f>
        <v>Sydney</v>
      </c>
      <c r="H570" t="str">
        <f>VLOOKUP(C570,[1]Orders!$A$5:$W$1043,6,0)</f>
        <v>NSW</v>
      </c>
      <c r="I570" t="str">
        <f>VLOOKUP(C570,[1]Orders!$A$5:$W$1043,7,0)</f>
        <v>Home Office</v>
      </c>
      <c r="J570" t="str">
        <f>VLOOKUP(C570,[1]Orders!$A$5:$W$1043,8,0)</f>
        <v>Samantha Chairs</v>
      </c>
      <c r="K570" t="str">
        <f>VLOOKUP(C570,[1]Orders!$A$5:$W$1043,9,0)</f>
        <v>Critical</v>
      </c>
    </row>
    <row r="571" spans="3:11" x14ac:dyDescent="0.25">
      <c r="C571" s="61" t="s">
        <v>663</v>
      </c>
      <c r="D571" t="str">
        <f>VLOOKUP(C571,[1]Orders!$A$5:$W$1043,3,0)</f>
        <v>Ann Blume</v>
      </c>
      <c r="E571">
        <f>VLOOKUP(C571,[1]Orders!$A$5:$W$1043,23,0)</f>
        <v>44.76</v>
      </c>
      <c r="F571" t="str">
        <f>VLOOKUP(C571,[1]Orders!$A$5:$W$1043,5,0)</f>
        <v>Melbourne</v>
      </c>
      <c r="G571" t="str">
        <f>VLOOKUP(C571,[1]Orders!$A$5:$W$1043,5,0)</f>
        <v>Melbourne</v>
      </c>
      <c r="H571" t="str">
        <f>VLOOKUP(C571,[1]Orders!$A$5:$W$1043,6,0)</f>
        <v>VIC</v>
      </c>
      <c r="I571" t="str">
        <f>VLOOKUP(C571,[1]Orders!$A$5:$W$1043,7,0)</f>
        <v>Small Business</v>
      </c>
      <c r="J571" t="str">
        <f>VLOOKUP(C571,[1]Orders!$A$5:$W$1043,8,0)</f>
        <v>Connor Betts</v>
      </c>
      <c r="K571" t="str">
        <f>VLOOKUP(C571,[1]Orders!$A$5:$W$1043,9,0)</f>
        <v>Critical</v>
      </c>
    </row>
    <row r="572" spans="3:11" x14ac:dyDescent="0.25">
      <c r="C572" s="61" t="s">
        <v>664</v>
      </c>
      <c r="D572" t="str">
        <f>VLOOKUP(C572,[1]Orders!$A$5:$W$1043,3,0)</f>
        <v>Roy French</v>
      </c>
      <c r="E572">
        <f>VLOOKUP(C572,[1]Orders!$A$5:$W$1043,23,0)</f>
        <v>26.909999999999997</v>
      </c>
      <c r="F572" t="str">
        <f>VLOOKUP(C572,[1]Orders!$A$5:$W$1043,5,0)</f>
        <v>Sydney</v>
      </c>
      <c r="G572" t="str">
        <f>VLOOKUP(C572,[1]Orders!$A$5:$W$1043,5,0)</f>
        <v>Sydney</v>
      </c>
      <c r="H572" t="str">
        <f>VLOOKUP(C572,[1]Orders!$A$5:$W$1043,6,0)</f>
        <v>NSW</v>
      </c>
      <c r="I572" t="str">
        <f>VLOOKUP(C572,[1]Orders!$A$5:$W$1043,7,0)</f>
        <v>Consumer</v>
      </c>
      <c r="J572" t="str">
        <f>VLOOKUP(C572,[1]Orders!$A$5:$W$1043,8,0)</f>
        <v>Phoebe Gour</v>
      </c>
      <c r="K572" t="str">
        <f>VLOOKUP(C572,[1]Orders!$A$5:$W$1043,9,0)</f>
        <v>High</v>
      </c>
    </row>
    <row r="573" spans="3:11" x14ac:dyDescent="0.25">
      <c r="C573" s="61" t="s">
        <v>665</v>
      </c>
      <c r="D573" t="str">
        <f>VLOOKUP(C573,[1]Orders!$A$5:$W$1043,3,0)</f>
        <v>Anne McFarland</v>
      </c>
      <c r="E573">
        <f>VLOOKUP(C573,[1]Orders!$A$5:$W$1043,23,0)</f>
        <v>419.47</v>
      </c>
      <c r="F573" t="str">
        <f>VLOOKUP(C573,[1]Orders!$A$5:$W$1043,5,0)</f>
        <v>Sydney</v>
      </c>
      <c r="G573" t="str">
        <f>VLOOKUP(C573,[1]Orders!$A$5:$W$1043,5,0)</f>
        <v>Sydney</v>
      </c>
      <c r="H573" t="str">
        <f>VLOOKUP(C573,[1]Orders!$A$5:$W$1043,6,0)</f>
        <v>NSW</v>
      </c>
      <c r="I573" t="str">
        <f>VLOOKUP(C573,[1]Orders!$A$5:$W$1043,7,0)</f>
        <v>Consumer</v>
      </c>
      <c r="J573" t="str">
        <f>VLOOKUP(C573,[1]Orders!$A$5:$W$1043,8,0)</f>
        <v>Charlie Bui</v>
      </c>
      <c r="K573" t="str">
        <f>VLOOKUP(C573,[1]Orders!$A$5:$W$1043,9,0)</f>
        <v>Low</v>
      </c>
    </row>
    <row r="574" spans="3:11" x14ac:dyDescent="0.25">
      <c r="C574" s="61" t="s">
        <v>666</v>
      </c>
      <c r="D574" t="str">
        <f>VLOOKUP(C574,[1]Orders!$A$5:$W$1043,3,0)</f>
        <v>Sarah Bern</v>
      </c>
      <c r="E574">
        <f>VLOOKUP(C574,[1]Orders!$A$5:$W$1043,23,0)</f>
        <v>31.79</v>
      </c>
      <c r="F574" t="str">
        <f>VLOOKUP(C574,[1]Orders!$A$5:$W$1043,5,0)</f>
        <v>Sydney</v>
      </c>
      <c r="G574" t="str">
        <f>VLOOKUP(C574,[1]Orders!$A$5:$W$1043,5,0)</f>
        <v>Sydney</v>
      </c>
      <c r="H574" t="str">
        <f>VLOOKUP(C574,[1]Orders!$A$5:$W$1043,6,0)</f>
        <v>NSW</v>
      </c>
      <c r="I574" t="str">
        <f>VLOOKUP(C574,[1]Orders!$A$5:$W$1043,7,0)</f>
        <v>Corporate</v>
      </c>
      <c r="J574" t="str">
        <f>VLOOKUP(C574,[1]Orders!$A$5:$W$1043,8,0)</f>
        <v>Aanya Zhang</v>
      </c>
      <c r="K574" t="str">
        <f>VLOOKUP(C574,[1]Orders!$A$5:$W$1043,9,0)</f>
        <v>Medium</v>
      </c>
    </row>
    <row r="575" spans="3:11" x14ac:dyDescent="0.25">
      <c r="C575" s="61" t="s">
        <v>667</v>
      </c>
      <c r="D575" t="str">
        <f>VLOOKUP(C575,[1]Orders!$A$5:$W$1043,3,0)</f>
        <v>Thomas Thornton</v>
      </c>
      <c r="E575">
        <f>VLOOKUP(C575,[1]Orders!$A$5:$W$1043,23,0)</f>
        <v>124.75</v>
      </c>
      <c r="F575" t="str">
        <f>VLOOKUP(C575,[1]Orders!$A$5:$W$1043,5,0)</f>
        <v>Melbourne</v>
      </c>
      <c r="G575" t="str">
        <f>VLOOKUP(C575,[1]Orders!$A$5:$W$1043,5,0)</f>
        <v>Melbourne</v>
      </c>
      <c r="H575" t="str">
        <f>VLOOKUP(C575,[1]Orders!$A$5:$W$1043,6,0)</f>
        <v>VIC</v>
      </c>
      <c r="I575" t="str">
        <f>VLOOKUP(C575,[1]Orders!$A$5:$W$1043,7,0)</f>
        <v>Consumer</v>
      </c>
      <c r="J575" t="str">
        <f>VLOOKUP(C575,[1]Orders!$A$5:$W$1043,8,0)</f>
        <v>Yvette Biti</v>
      </c>
      <c r="K575" t="str">
        <f>VLOOKUP(C575,[1]Orders!$A$5:$W$1043,9,0)</f>
        <v>Critical</v>
      </c>
    </row>
    <row r="576" spans="3:11" x14ac:dyDescent="0.25">
      <c r="C576" s="61" t="s">
        <v>668</v>
      </c>
      <c r="D576" t="str">
        <f>VLOOKUP(C576,[1]Orders!$A$5:$W$1043,3,0)</f>
        <v>Nicole Brennan</v>
      </c>
      <c r="E576">
        <f>VLOOKUP(C576,[1]Orders!$A$5:$W$1043,23,0)</f>
        <v>408.61999999999995</v>
      </c>
      <c r="F576" t="str">
        <f>VLOOKUP(C576,[1]Orders!$A$5:$W$1043,5,0)</f>
        <v>Sydney</v>
      </c>
      <c r="G576" t="str">
        <f>VLOOKUP(C576,[1]Orders!$A$5:$W$1043,5,0)</f>
        <v>Sydney</v>
      </c>
      <c r="H576" t="str">
        <f>VLOOKUP(C576,[1]Orders!$A$5:$W$1043,6,0)</f>
        <v>NSW</v>
      </c>
      <c r="I576" t="str">
        <f>VLOOKUP(C576,[1]Orders!$A$5:$W$1043,7,0)</f>
        <v>Home Office</v>
      </c>
      <c r="J576" t="str">
        <f>VLOOKUP(C576,[1]Orders!$A$5:$W$1043,8,0)</f>
        <v>Aanya Zhang</v>
      </c>
      <c r="K576" t="str">
        <f>VLOOKUP(C576,[1]Orders!$A$5:$W$1043,9,0)</f>
        <v>High</v>
      </c>
    </row>
    <row r="577" spans="3:11" x14ac:dyDescent="0.25">
      <c r="C577" s="61" t="s">
        <v>669</v>
      </c>
      <c r="D577" t="str">
        <f>VLOOKUP(C577,[1]Orders!$A$5:$W$1043,3,0)</f>
        <v>Tracy Poddar</v>
      </c>
      <c r="E577">
        <f>VLOOKUP(C577,[1]Orders!$A$5:$W$1043,23,0)</f>
        <v>16.010000000000002</v>
      </c>
      <c r="F577" t="str">
        <f>VLOOKUP(C577,[1]Orders!$A$5:$W$1043,5,0)</f>
        <v>Sydney</v>
      </c>
      <c r="G577" t="str">
        <f>VLOOKUP(C577,[1]Orders!$A$5:$W$1043,5,0)</f>
        <v>Sydney</v>
      </c>
      <c r="H577" t="str">
        <f>VLOOKUP(C577,[1]Orders!$A$5:$W$1043,6,0)</f>
        <v>NSW</v>
      </c>
      <c r="I577" t="str">
        <f>VLOOKUP(C577,[1]Orders!$A$5:$W$1043,7,0)</f>
        <v>Corporate</v>
      </c>
      <c r="J577" t="str">
        <f>VLOOKUP(C577,[1]Orders!$A$5:$W$1043,8,0)</f>
        <v>Charlie Bui</v>
      </c>
      <c r="K577" t="str">
        <f>VLOOKUP(C577,[1]Orders!$A$5:$W$1043,9,0)</f>
        <v>High</v>
      </c>
    </row>
    <row r="578" spans="3:11" x14ac:dyDescent="0.25">
      <c r="C578" s="61" t="s">
        <v>670</v>
      </c>
      <c r="D578" t="str">
        <f>VLOOKUP(C578,[1]Orders!$A$5:$W$1043,3,0)</f>
        <v>Trudy Brown</v>
      </c>
      <c r="E578">
        <f>VLOOKUP(C578,[1]Orders!$A$5:$W$1043,23,0)</f>
        <v>23.34</v>
      </c>
      <c r="F578" t="str">
        <f>VLOOKUP(C578,[1]Orders!$A$5:$W$1043,5,0)</f>
        <v>Melbourne</v>
      </c>
      <c r="G578" t="str">
        <f>VLOOKUP(C578,[1]Orders!$A$5:$W$1043,5,0)</f>
        <v>Melbourne</v>
      </c>
      <c r="H578" t="str">
        <f>VLOOKUP(C578,[1]Orders!$A$5:$W$1043,6,0)</f>
        <v>VIC</v>
      </c>
      <c r="I578" t="str">
        <f>VLOOKUP(C578,[1]Orders!$A$5:$W$1043,7,0)</f>
        <v>Small Business</v>
      </c>
      <c r="J578" t="str">
        <f>VLOOKUP(C578,[1]Orders!$A$5:$W$1043,8,0)</f>
        <v>Connor Betts</v>
      </c>
      <c r="K578" t="str">
        <f>VLOOKUP(C578,[1]Orders!$A$5:$W$1043,9,0)</f>
        <v>High</v>
      </c>
    </row>
    <row r="579" spans="3:11" x14ac:dyDescent="0.25">
      <c r="C579" s="61" t="s">
        <v>671</v>
      </c>
      <c r="D579" t="str">
        <f>VLOOKUP(C579,[1]Orders!$A$5:$W$1043,3,0)</f>
        <v>Anthony Garverick</v>
      </c>
      <c r="E579">
        <f>VLOOKUP(C579,[1]Orders!$A$5:$W$1043,23,0)</f>
        <v>87.210000000000008</v>
      </c>
      <c r="F579" t="str">
        <f>VLOOKUP(C579,[1]Orders!$A$5:$W$1043,5,0)</f>
        <v>Sydney</v>
      </c>
      <c r="G579" t="str">
        <f>VLOOKUP(C579,[1]Orders!$A$5:$W$1043,5,0)</f>
        <v>Sydney</v>
      </c>
      <c r="H579" t="str">
        <f>VLOOKUP(C579,[1]Orders!$A$5:$W$1043,6,0)</f>
        <v>NSW</v>
      </c>
      <c r="I579" t="str">
        <f>VLOOKUP(C579,[1]Orders!$A$5:$W$1043,7,0)</f>
        <v>Small Business</v>
      </c>
      <c r="J579" t="str">
        <f>VLOOKUP(C579,[1]Orders!$A$5:$W$1043,8,0)</f>
        <v>Tina Carlton</v>
      </c>
      <c r="K579" t="str">
        <f>VLOOKUP(C579,[1]Orders!$A$5:$W$1043,9,0)</f>
        <v>High</v>
      </c>
    </row>
    <row r="580" spans="3:11" x14ac:dyDescent="0.25">
      <c r="C580" s="61" t="s">
        <v>672</v>
      </c>
      <c r="D580" t="str">
        <f>VLOOKUP(C580,[1]Orders!$A$5:$W$1043,3,0)</f>
        <v>Susan Pistek</v>
      </c>
      <c r="E580">
        <f>VLOOKUP(C580,[1]Orders!$A$5:$W$1043,23,0)</f>
        <v>13.280000000000001</v>
      </c>
      <c r="F580" t="str">
        <f>VLOOKUP(C580,[1]Orders!$A$5:$W$1043,5,0)</f>
        <v>Sydney</v>
      </c>
      <c r="G580" t="str">
        <f>VLOOKUP(C580,[1]Orders!$A$5:$W$1043,5,0)</f>
        <v>Sydney</v>
      </c>
      <c r="H580" t="str">
        <f>VLOOKUP(C580,[1]Orders!$A$5:$W$1043,6,0)</f>
        <v>NSW</v>
      </c>
      <c r="I580" t="str">
        <f>VLOOKUP(C580,[1]Orders!$A$5:$W$1043,7,0)</f>
        <v>Home Office</v>
      </c>
      <c r="J580" t="str">
        <f>VLOOKUP(C580,[1]Orders!$A$5:$W$1043,8,0)</f>
        <v>Phoebe Gour</v>
      </c>
      <c r="K580" t="str">
        <f>VLOOKUP(C580,[1]Orders!$A$5:$W$1043,9,0)</f>
        <v>Critical</v>
      </c>
    </row>
    <row r="581" spans="3:11" x14ac:dyDescent="0.25">
      <c r="C581" s="61" t="s">
        <v>673</v>
      </c>
      <c r="D581" t="str">
        <f>VLOOKUP(C581,[1]Orders!$A$5:$W$1043,3,0)</f>
        <v>Carlos Soltero</v>
      </c>
      <c r="E581">
        <f>VLOOKUP(C581,[1]Orders!$A$5:$W$1043,23,0)</f>
        <v>179.23</v>
      </c>
      <c r="F581" t="str">
        <f>VLOOKUP(C581,[1]Orders!$A$5:$W$1043,5,0)</f>
        <v>Sydney</v>
      </c>
      <c r="G581" t="str">
        <f>VLOOKUP(C581,[1]Orders!$A$5:$W$1043,5,0)</f>
        <v>Sydney</v>
      </c>
      <c r="H581" t="str">
        <f>VLOOKUP(C581,[1]Orders!$A$5:$W$1043,6,0)</f>
        <v>NSW</v>
      </c>
      <c r="I581" t="str">
        <f>VLOOKUP(C581,[1]Orders!$A$5:$W$1043,7,0)</f>
        <v>Consumer</v>
      </c>
      <c r="J581" t="str">
        <f>VLOOKUP(C581,[1]Orders!$A$5:$W$1043,8,0)</f>
        <v>Charlie Bui</v>
      </c>
      <c r="K581" t="str">
        <f>VLOOKUP(C581,[1]Orders!$A$5:$W$1043,9,0)</f>
        <v>High</v>
      </c>
    </row>
    <row r="582" spans="3:11" x14ac:dyDescent="0.25">
      <c r="C582" s="61" t="s">
        <v>674</v>
      </c>
      <c r="D582" t="str">
        <f>VLOOKUP(C582,[1]Orders!$A$5:$W$1043,3,0)</f>
        <v>Keith Dawkins</v>
      </c>
      <c r="E582">
        <f>VLOOKUP(C582,[1]Orders!$A$5:$W$1043,23,0)</f>
        <v>1572.15</v>
      </c>
      <c r="F582" t="str">
        <f>VLOOKUP(C582,[1]Orders!$A$5:$W$1043,5,0)</f>
        <v>Sydney</v>
      </c>
      <c r="G582" t="str">
        <f>VLOOKUP(C582,[1]Orders!$A$5:$W$1043,5,0)</f>
        <v>Sydney</v>
      </c>
      <c r="H582" t="str">
        <f>VLOOKUP(C582,[1]Orders!$A$5:$W$1043,6,0)</f>
        <v>NSW</v>
      </c>
      <c r="I582" t="str">
        <f>VLOOKUP(C582,[1]Orders!$A$5:$W$1043,7,0)</f>
        <v>Home Office</v>
      </c>
      <c r="J582" t="str">
        <f>VLOOKUP(C582,[1]Orders!$A$5:$W$1043,8,0)</f>
        <v>Natasha Song</v>
      </c>
      <c r="K582" t="str">
        <f>VLOOKUP(C582,[1]Orders!$A$5:$W$1043,9,0)</f>
        <v>Not Specified</v>
      </c>
    </row>
    <row r="583" spans="3:11" x14ac:dyDescent="0.25">
      <c r="C583" s="61" t="s">
        <v>675</v>
      </c>
      <c r="D583" t="str">
        <f>VLOOKUP(C583,[1]Orders!$A$5:$W$1043,3,0)</f>
        <v>Harold Pawlan</v>
      </c>
      <c r="E583">
        <f>VLOOKUP(C583,[1]Orders!$A$5:$W$1043,23,0)</f>
        <v>1502.8999999999999</v>
      </c>
      <c r="F583" t="str">
        <f>VLOOKUP(C583,[1]Orders!$A$5:$W$1043,5,0)</f>
        <v>Melbourne</v>
      </c>
      <c r="G583" t="str">
        <f>VLOOKUP(C583,[1]Orders!$A$5:$W$1043,5,0)</f>
        <v>Melbourne</v>
      </c>
      <c r="H583" t="str">
        <f>VLOOKUP(C583,[1]Orders!$A$5:$W$1043,6,0)</f>
        <v>VIC</v>
      </c>
      <c r="I583" t="str">
        <f>VLOOKUP(C583,[1]Orders!$A$5:$W$1043,7,0)</f>
        <v>Small Business</v>
      </c>
      <c r="J583" t="str">
        <f>VLOOKUP(C583,[1]Orders!$A$5:$W$1043,8,0)</f>
        <v>Connor Betts</v>
      </c>
      <c r="K583" t="str">
        <f>VLOOKUP(C583,[1]Orders!$A$5:$W$1043,9,0)</f>
        <v>High</v>
      </c>
    </row>
    <row r="584" spans="3:11" x14ac:dyDescent="0.25">
      <c r="C584" s="61" t="s">
        <v>676</v>
      </c>
      <c r="D584" t="str">
        <f>VLOOKUP(C584,[1]Orders!$A$5:$W$1043,3,0)</f>
        <v>Natalie Webber</v>
      </c>
      <c r="E584">
        <f>VLOOKUP(C584,[1]Orders!$A$5:$W$1043,23,0)</f>
        <v>86.96</v>
      </c>
      <c r="F584" t="str">
        <f>VLOOKUP(C584,[1]Orders!$A$5:$W$1043,5,0)</f>
        <v>Sydney</v>
      </c>
      <c r="G584" t="str">
        <f>VLOOKUP(C584,[1]Orders!$A$5:$W$1043,5,0)</f>
        <v>Sydney</v>
      </c>
      <c r="H584" t="str">
        <f>VLOOKUP(C584,[1]Orders!$A$5:$W$1043,6,0)</f>
        <v>NSW</v>
      </c>
      <c r="I584" t="str">
        <f>VLOOKUP(C584,[1]Orders!$A$5:$W$1043,7,0)</f>
        <v>Consumer</v>
      </c>
      <c r="J584" t="str">
        <f>VLOOKUP(C584,[1]Orders!$A$5:$W$1043,8,0)</f>
        <v>Phoebe Gour</v>
      </c>
      <c r="K584" t="str">
        <f>VLOOKUP(C584,[1]Orders!$A$5:$W$1043,9,0)</f>
        <v>Critical</v>
      </c>
    </row>
    <row r="585" spans="3:11" x14ac:dyDescent="0.25">
      <c r="C585" s="61" t="s">
        <v>677</v>
      </c>
      <c r="D585" t="str">
        <f>VLOOKUP(C585,[1]Orders!$A$5:$W$1043,3,0)</f>
        <v>Jonathan Howell</v>
      </c>
      <c r="E585">
        <f>VLOOKUP(C585,[1]Orders!$A$5:$W$1043,23,0)</f>
        <v>645.08000000000004</v>
      </c>
      <c r="F585" t="str">
        <f>VLOOKUP(C585,[1]Orders!$A$5:$W$1043,5,0)</f>
        <v>Melbourne</v>
      </c>
      <c r="G585" t="str">
        <f>VLOOKUP(C585,[1]Orders!$A$5:$W$1043,5,0)</f>
        <v>Melbourne</v>
      </c>
      <c r="H585" t="str">
        <f>VLOOKUP(C585,[1]Orders!$A$5:$W$1043,6,0)</f>
        <v>VIC</v>
      </c>
      <c r="I585" t="str">
        <f>VLOOKUP(C585,[1]Orders!$A$5:$W$1043,7,0)</f>
        <v>Consumer</v>
      </c>
      <c r="J585" t="str">
        <f>VLOOKUP(C585,[1]Orders!$A$5:$W$1043,8,0)</f>
        <v>Connor Betts</v>
      </c>
      <c r="K585" t="str">
        <f>VLOOKUP(C585,[1]Orders!$A$5:$W$1043,9,0)</f>
        <v>Medium</v>
      </c>
    </row>
    <row r="586" spans="3:11" x14ac:dyDescent="0.25">
      <c r="C586" s="61" t="s">
        <v>678</v>
      </c>
      <c r="D586" t="str">
        <f>VLOOKUP(C586,[1]Orders!$A$5:$W$1043,3,0)</f>
        <v>Erin Creighton</v>
      </c>
      <c r="E586">
        <f>VLOOKUP(C586,[1]Orders!$A$5:$W$1043,23,0)</f>
        <v>243.79999999999998</v>
      </c>
      <c r="F586" t="str">
        <f>VLOOKUP(C586,[1]Orders!$A$5:$W$1043,5,0)</f>
        <v>Sydney</v>
      </c>
      <c r="G586" t="str">
        <f>VLOOKUP(C586,[1]Orders!$A$5:$W$1043,5,0)</f>
        <v>Sydney</v>
      </c>
      <c r="H586" t="str">
        <f>VLOOKUP(C586,[1]Orders!$A$5:$W$1043,6,0)</f>
        <v>NSW</v>
      </c>
      <c r="I586" t="str">
        <f>VLOOKUP(C586,[1]Orders!$A$5:$W$1043,7,0)</f>
        <v>Corporate</v>
      </c>
      <c r="J586" t="str">
        <f>VLOOKUP(C586,[1]Orders!$A$5:$W$1043,8,0)</f>
        <v>Aanya Zhang</v>
      </c>
      <c r="K586" t="str">
        <f>VLOOKUP(C586,[1]Orders!$A$5:$W$1043,9,0)</f>
        <v>Critical</v>
      </c>
    </row>
    <row r="587" spans="3:11" x14ac:dyDescent="0.25">
      <c r="C587" s="61" t="s">
        <v>679</v>
      </c>
      <c r="D587" t="str">
        <f>VLOOKUP(C587,[1]Orders!$A$5:$W$1043,3,0)</f>
        <v>Sibella Parks</v>
      </c>
      <c r="E587">
        <f>VLOOKUP(C587,[1]Orders!$A$5:$W$1043,23,0)</f>
        <v>1458.91</v>
      </c>
      <c r="F587" t="str">
        <f>VLOOKUP(C587,[1]Orders!$A$5:$W$1043,5,0)</f>
        <v>Melbourne</v>
      </c>
      <c r="G587" t="str">
        <f>VLOOKUP(C587,[1]Orders!$A$5:$W$1043,5,0)</f>
        <v>Melbourne</v>
      </c>
      <c r="H587" t="str">
        <f>VLOOKUP(C587,[1]Orders!$A$5:$W$1043,6,0)</f>
        <v>VIC</v>
      </c>
      <c r="I587" t="str">
        <f>VLOOKUP(C587,[1]Orders!$A$5:$W$1043,7,0)</f>
        <v>Small Business</v>
      </c>
      <c r="J587" t="str">
        <f>VLOOKUP(C587,[1]Orders!$A$5:$W$1043,8,0)</f>
        <v>Connor Betts</v>
      </c>
      <c r="K587" t="str">
        <f>VLOOKUP(C587,[1]Orders!$A$5:$W$1043,9,0)</f>
        <v>Critical</v>
      </c>
    </row>
    <row r="588" spans="3:11" x14ac:dyDescent="0.25">
      <c r="C588" s="61" t="s">
        <v>680</v>
      </c>
      <c r="D588" t="str">
        <f>VLOOKUP(C588,[1]Orders!$A$5:$W$1043,3,0)</f>
        <v>Tony Sayre</v>
      </c>
      <c r="E588">
        <f>VLOOKUP(C588,[1]Orders!$A$5:$W$1043,23,0)</f>
        <v>221.82</v>
      </c>
      <c r="F588" t="str">
        <f>VLOOKUP(C588,[1]Orders!$A$5:$W$1043,5,0)</f>
        <v>Melbourne</v>
      </c>
      <c r="G588" t="str">
        <f>VLOOKUP(C588,[1]Orders!$A$5:$W$1043,5,0)</f>
        <v>Melbourne</v>
      </c>
      <c r="H588" t="str">
        <f>VLOOKUP(C588,[1]Orders!$A$5:$W$1043,6,0)</f>
        <v>VIC</v>
      </c>
      <c r="I588" t="str">
        <f>VLOOKUP(C588,[1]Orders!$A$5:$W$1043,7,0)</f>
        <v>Small Business</v>
      </c>
      <c r="J588" t="str">
        <f>VLOOKUP(C588,[1]Orders!$A$5:$W$1043,8,0)</f>
        <v>Yvette Biti</v>
      </c>
      <c r="K588" t="str">
        <f>VLOOKUP(C588,[1]Orders!$A$5:$W$1043,9,0)</f>
        <v>Critical</v>
      </c>
    </row>
    <row r="589" spans="3:11" x14ac:dyDescent="0.25">
      <c r="C589" s="61" t="s">
        <v>681</v>
      </c>
      <c r="D589" t="str">
        <f>VLOOKUP(C589,[1]Orders!$A$5:$W$1043,3,0)</f>
        <v>Tom Ashbrook</v>
      </c>
      <c r="E589">
        <f>VLOOKUP(C589,[1]Orders!$A$5:$W$1043,23,0)</f>
        <v>302.30999999999995</v>
      </c>
      <c r="F589" t="str">
        <f>VLOOKUP(C589,[1]Orders!$A$5:$W$1043,5,0)</f>
        <v>Sydney</v>
      </c>
      <c r="G589" t="str">
        <f>VLOOKUP(C589,[1]Orders!$A$5:$W$1043,5,0)</f>
        <v>Sydney</v>
      </c>
      <c r="H589" t="str">
        <f>VLOOKUP(C589,[1]Orders!$A$5:$W$1043,6,0)</f>
        <v>NSW</v>
      </c>
      <c r="I589" t="str">
        <f>VLOOKUP(C589,[1]Orders!$A$5:$W$1043,7,0)</f>
        <v>Home Office</v>
      </c>
      <c r="J589" t="str">
        <f>VLOOKUP(C589,[1]Orders!$A$5:$W$1043,8,0)</f>
        <v>Natasha Song</v>
      </c>
      <c r="K589" t="str">
        <f>VLOOKUP(C589,[1]Orders!$A$5:$W$1043,9,0)</f>
        <v>High</v>
      </c>
    </row>
    <row r="590" spans="3:11" x14ac:dyDescent="0.25">
      <c r="C590" s="61" t="s">
        <v>682</v>
      </c>
      <c r="D590" t="str">
        <f>VLOOKUP(C590,[1]Orders!$A$5:$W$1043,3,0)</f>
        <v>Astrea Jones</v>
      </c>
      <c r="E590">
        <f>VLOOKUP(C590,[1]Orders!$A$5:$W$1043,23,0)</f>
        <v>134.07000000000002</v>
      </c>
      <c r="F590" t="str">
        <f>VLOOKUP(C590,[1]Orders!$A$5:$W$1043,5,0)</f>
        <v>Sydney</v>
      </c>
      <c r="G590" t="str">
        <f>VLOOKUP(C590,[1]Orders!$A$5:$W$1043,5,0)</f>
        <v>Sydney</v>
      </c>
      <c r="H590" t="str">
        <f>VLOOKUP(C590,[1]Orders!$A$5:$W$1043,6,0)</f>
        <v>NSW</v>
      </c>
      <c r="I590" t="str">
        <f>VLOOKUP(C590,[1]Orders!$A$5:$W$1043,7,0)</f>
        <v>Corporate</v>
      </c>
      <c r="J590" t="str">
        <f>VLOOKUP(C590,[1]Orders!$A$5:$W$1043,8,0)</f>
        <v>Leighton Forrest</v>
      </c>
      <c r="K590" t="str">
        <f>VLOOKUP(C590,[1]Orders!$A$5:$W$1043,9,0)</f>
        <v>Medium</v>
      </c>
    </row>
    <row r="591" spans="3:11" x14ac:dyDescent="0.25">
      <c r="C591" s="61" t="s">
        <v>683</v>
      </c>
      <c r="D591" t="str">
        <f>VLOOKUP(C591,[1]Orders!$A$5:$W$1043,3,0)</f>
        <v>Brad Norvell</v>
      </c>
      <c r="E591">
        <f>VLOOKUP(C591,[1]Orders!$A$5:$W$1043,23,0)</f>
        <v>46.809999999999995</v>
      </c>
      <c r="F591" t="str">
        <f>VLOOKUP(C591,[1]Orders!$A$5:$W$1043,5,0)</f>
        <v>Melbourne</v>
      </c>
      <c r="G591" t="str">
        <f>VLOOKUP(C591,[1]Orders!$A$5:$W$1043,5,0)</f>
        <v>Melbourne</v>
      </c>
      <c r="H591" t="str">
        <f>VLOOKUP(C591,[1]Orders!$A$5:$W$1043,6,0)</f>
        <v>VIC</v>
      </c>
      <c r="I591" t="str">
        <f>VLOOKUP(C591,[1]Orders!$A$5:$W$1043,7,0)</f>
        <v>Corporate</v>
      </c>
      <c r="J591" t="str">
        <f>VLOOKUP(C591,[1]Orders!$A$5:$W$1043,8,0)</f>
        <v>Yvette Biti</v>
      </c>
      <c r="K591" t="str">
        <f>VLOOKUP(C591,[1]Orders!$A$5:$W$1043,9,0)</f>
        <v>Critical</v>
      </c>
    </row>
    <row r="592" spans="3:11" x14ac:dyDescent="0.25">
      <c r="C592" s="61" t="s">
        <v>684</v>
      </c>
      <c r="D592" t="str">
        <f>VLOOKUP(C592,[1]Orders!$A$5:$W$1043,3,0)</f>
        <v>Ed Braxton</v>
      </c>
      <c r="E592">
        <f>VLOOKUP(C592,[1]Orders!$A$5:$W$1043,23,0)</f>
        <v>949.32999999999993</v>
      </c>
      <c r="F592" t="str">
        <f>VLOOKUP(C592,[1]Orders!$A$5:$W$1043,5,0)</f>
        <v>Melbourne</v>
      </c>
      <c r="G592" t="str">
        <f>VLOOKUP(C592,[1]Orders!$A$5:$W$1043,5,0)</f>
        <v>Melbourne</v>
      </c>
      <c r="H592" t="str">
        <f>VLOOKUP(C592,[1]Orders!$A$5:$W$1043,6,0)</f>
        <v>VIC</v>
      </c>
      <c r="I592" t="str">
        <f>VLOOKUP(C592,[1]Orders!$A$5:$W$1043,7,0)</f>
        <v>Home Office</v>
      </c>
      <c r="J592" t="str">
        <f>VLOOKUP(C592,[1]Orders!$A$5:$W$1043,8,0)</f>
        <v>Yvette Biti</v>
      </c>
      <c r="K592" t="str">
        <f>VLOOKUP(C592,[1]Orders!$A$5:$W$1043,9,0)</f>
        <v>Not Specified</v>
      </c>
    </row>
    <row r="593" spans="3:11" x14ac:dyDescent="0.25">
      <c r="C593" s="61" t="s">
        <v>685</v>
      </c>
      <c r="D593" t="str">
        <f>VLOOKUP(C593,[1]Orders!$A$5:$W$1043,3,0)</f>
        <v>Erin Creighton</v>
      </c>
      <c r="E593">
        <f>VLOOKUP(C593,[1]Orders!$A$5:$W$1043,23,0)</f>
        <v>95.86</v>
      </c>
      <c r="F593" t="str">
        <f>VLOOKUP(C593,[1]Orders!$A$5:$W$1043,5,0)</f>
        <v>Sydney</v>
      </c>
      <c r="G593" t="str">
        <f>VLOOKUP(C593,[1]Orders!$A$5:$W$1043,5,0)</f>
        <v>Sydney</v>
      </c>
      <c r="H593" t="str">
        <f>VLOOKUP(C593,[1]Orders!$A$5:$W$1043,6,0)</f>
        <v>NSW</v>
      </c>
      <c r="I593" t="str">
        <f>VLOOKUP(C593,[1]Orders!$A$5:$W$1043,7,0)</f>
        <v>Corporate</v>
      </c>
      <c r="J593" t="str">
        <f>VLOOKUP(C593,[1]Orders!$A$5:$W$1043,8,0)</f>
        <v>Aanya Zhang</v>
      </c>
      <c r="K593" t="str">
        <f>VLOOKUP(C593,[1]Orders!$A$5:$W$1043,9,0)</f>
        <v>Not Specified</v>
      </c>
    </row>
    <row r="594" spans="3:11" x14ac:dyDescent="0.25">
      <c r="C594" s="61" t="s">
        <v>686</v>
      </c>
      <c r="D594" t="str">
        <f>VLOOKUP(C594,[1]Orders!$A$5:$W$1043,3,0)</f>
        <v>Mike Kennedy</v>
      </c>
      <c r="E594">
        <f>VLOOKUP(C594,[1]Orders!$A$5:$W$1043,23,0)</f>
        <v>1319.73</v>
      </c>
      <c r="F594" t="str">
        <f>VLOOKUP(C594,[1]Orders!$A$5:$W$1043,5,0)</f>
        <v>Melbourne</v>
      </c>
      <c r="G594" t="str">
        <f>VLOOKUP(C594,[1]Orders!$A$5:$W$1043,5,0)</f>
        <v>Melbourne</v>
      </c>
      <c r="H594" t="str">
        <f>VLOOKUP(C594,[1]Orders!$A$5:$W$1043,6,0)</f>
        <v>VIC</v>
      </c>
      <c r="I594" t="str">
        <f>VLOOKUP(C594,[1]Orders!$A$5:$W$1043,7,0)</f>
        <v>Small Business</v>
      </c>
      <c r="J594" t="str">
        <f>VLOOKUP(C594,[1]Orders!$A$5:$W$1043,8,0)</f>
        <v>Connor Betts</v>
      </c>
      <c r="K594" t="str">
        <f>VLOOKUP(C594,[1]Orders!$A$5:$W$1043,9,0)</f>
        <v>Medium</v>
      </c>
    </row>
    <row r="595" spans="3:11" x14ac:dyDescent="0.25">
      <c r="C595" s="61" t="s">
        <v>687</v>
      </c>
      <c r="D595" t="str">
        <f>VLOOKUP(C595,[1]Orders!$A$5:$W$1043,3,0)</f>
        <v>Valerie Mitchum</v>
      </c>
      <c r="E595">
        <f>VLOOKUP(C595,[1]Orders!$A$5:$W$1043,23,0)</f>
        <v>4623.07</v>
      </c>
      <c r="F595" t="str">
        <f>VLOOKUP(C595,[1]Orders!$A$5:$W$1043,5,0)</f>
        <v>Sydney</v>
      </c>
      <c r="G595" t="str">
        <f>VLOOKUP(C595,[1]Orders!$A$5:$W$1043,5,0)</f>
        <v>Sydney</v>
      </c>
      <c r="H595" t="str">
        <f>VLOOKUP(C595,[1]Orders!$A$5:$W$1043,6,0)</f>
        <v>NSW</v>
      </c>
      <c r="I595" t="str">
        <f>VLOOKUP(C595,[1]Orders!$A$5:$W$1043,7,0)</f>
        <v>Home Office</v>
      </c>
      <c r="J595" t="str">
        <f>VLOOKUP(C595,[1]Orders!$A$5:$W$1043,8,0)</f>
        <v>Natasha Song</v>
      </c>
      <c r="K595" t="str">
        <f>VLOOKUP(C595,[1]Orders!$A$5:$W$1043,9,0)</f>
        <v>Medium</v>
      </c>
    </row>
    <row r="596" spans="3:11" x14ac:dyDescent="0.25">
      <c r="C596" s="61" t="s">
        <v>688</v>
      </c>
      <c r="D596" t="str">
        <f>VLOOKUP(C596,[1]Orders!$A$5:$W$1043,3,0)</f>
        <v>Michael Paige</v>
      </c>
      <c r="E596">
        <f>VLOOKUP(C596,[1]Orders!$A$5:$W$1043,23,0)</f>
        <v>10.89</v>
      </c>
      <c r="F596" t="str">
        <f>VLOOKUP(C596,[1]Orders!$A$5:$W$1043,5,0)</f>
        <v>Melbourne</v>
      </c>
      <c r="G596" t="str">
        <f>VLOOKUP(C596,[1]Orders!$A$5:$W$1043,5,0)</f>
        <v>Melbourne</v>
      </c>
      <c r="H596" t="str">
        <f>VLOOKUP(C596,[1]Orders!$A$5:$W$1043,6,0)</f>
        <v>VIC</v>
      </c>
      <c r="I596" t="str">
        <f>VLOOKUP(C596,[1]Orders!$A$5:$W$1043,7,0)</f>
        <v>Small Business</v>
      </c>
      <c r="J596" t="str">
        <f>VLOOKUP(C596,[1]Orders!$A$5:$W$1043,8,0)</f>
        <v>Connor Betts</v>
      </c>
      <c r="K596" t="str">
        <f>VLOOKUP(C596,[1]Orders!$A$5:$W$1043,9,0)</f>
        <v>High</v>
      </c>
    </row>
    <row r="597" spans="3:11" x14ac:dyDescent="0.25">
      <c r="C597" s="61" t="s">
        <v>689</v>
      </c>
      <c r="D597" t="str">
        <f>VLOOKUP(C597,[1]Orders!$A$5:$W$1043,3,0)</f>
        <v>Carol Triggs</v>
      </c>
      <c r="E597">
        <f>VLOOKUP(C597,[1]Orders!$A$5:$W$1043,23,0)</f>
        <v>56.66</v>
      </c>
      <c r="F597" t="str">
        <f>VLOOKUP(C597,[1]Orders!$A$5:$W$1043,5,0)</f>
        <v>Sydney</v>
      </c>
      <c r="G597" t="str">
        <f>VLOOKUP(C597,[1]Orders!$A$5:$W$1043,5,0)</f>
        <v>Sydney</v>
      </c>
      <c r="H597" t="str">
        <f>VLOOKUP(C597,[1]Orders!$A$5:$W$1043,6,0)</f>
        <v>NSW</v>
      </c>
      <c r="I597" t="str">
        <f>VLOOKUP(C597,[1]Orders!$A$5:$W$1043,7,0)</f>
        <v>Home Office</v>
      </c>
      <c r="J597" t="str">
        <f>VLOOKUP(C597,[1]Orders!$A$5:$W$1043,8,0)</f>
        <v>Radhya Staples</v>
      </c>
      <c r="K597" t="str">
        <f>VLOOKUP(C597,[1]Orders!$A$5:$W$1043,9,0)</f>
        <v>Critical</v>
      </c>
    </row>
    <row r="598" spans="3:11" x14ac:dyDescent="0.25">
      <c r="C598" s="61" t="s">
        <v>690</v>
      </c>
      <c r="D598" t="str">
        <f>VLOOKUP(C598,[1]Orders!$A$5:$W$1043,3,0)</f>
        <v>Craig Molinari</v>
      </c>
      <c r="E598">
        <f>VLOOKUP(C598,[1]Orders!$A$5:$W$1043,23,0)</f>
        <v>71.52000000000001</v>
      </c>
      <c r="F598" t="str">
        <f>VLOOKUP(C598,[1]Orders!$A$5:$W$1043,5,0)</f>
        <v>Sydney</v>
      </c>
      <c r="G598" t="str">
        <f>VLOOKUP(C598,[1]Orders!$A$5:$W$1043,5,0)</f>
        <v>Sydney</v>
      </c>
      <c r="H598" t="str">
        <f>VLOOKUP(C598,[1]Orders!$A$5:$W$1043,6,0)</f>
        <v>NSW</v>
      </c>
      <c r="I598" t="str">
        <f>VLOOKUP(C598,[1]Orders!$A$5:$W$1043,7,0)</f>
        <v>Small Business</v>
      </c>
      <c r="J598" t="str">
        <f>VLOOKUP(C598,[1]Orders!$A$5:$W$1043,8,0)</f>
        <v>Phoebe Gour</v>
      </c>
      <c r="K598" t="str">
        <f>VLOOKUP(C598,[1]Orders!$A$5:$W$1043,9,0)</f>
        <v>Not Specified</v>
      </c>
    </row>
    <row r="599" spans="3:11" x14ac:dyDescent="0.25">
      <c r="C599" s="61" t="s">
        <v>691</v>
      </c>
      <c r="D599" t="str">
        <f>VLOOKUP(C599,[1]Orders!$A$5:$W$1043,3,0)</f>
        <v>Bradley Nguyen</v>
      </c>
      <c r="E599">
        <f>VLOOKUP(C599,[1]Orders!$A$5:$W$1043,23,0)</f>
        <v>435.42999999999995</v>
      </c>
      <c r="F599" t="str">
        <f>VLOOKUP(C599,[1]Orders!$A$5:$W$1043,5,0)</f>
        <v>Sydney</v>
      </c>
      <c r="G599" t="str">
        <f>VLOOKUP(C599,[1]Orders!$A$5:$W$1043,5,0)</f>
        <v>Sydney</v>
      </c>
      <c r="H599" t="str">
        <f>VLOOKUP(C599,[1]Orders!$A$5:$W$1043,6,0)</f>
        <v>NSW</v>
      </c>
      <c r="I599" t="str">
        <f>VLOOKUP(C599,[1]Orders!$A$5:$W$1043,7,0)</f>
        <v>Consumer</v>
      </c>
      <c r="J599" t="str">
        <f>VLOOKUP(C599,[1]Orders!$A$5:$W$1043,8,0)</f>
        <v>Mihael Khan</v>
      </c>
      <c r="K599" t="str">
        <f>VLOOKUP(C599,[1]Orders!$A$5:$W$1043,9,0)</f>
        <v>High</v>
      </c>
    </row>
    <row r="600" spans="3:11" x14ac:dyDescent="0.25">
      <c r="C600" s="61" t="s">
        <v>692</v>
      </c>
      <c r="D600" t="str">
        <f>VLOOKUP(C600,[1]Orders!$A$5:$W$1043,3,0)</f>
        <v>Tom Stivers</v>
      </c>
      <c r="E600">
        <f>VLOOKUP(C600,[1]Orders!$A$5:$W$1043,23,0)</f>
        <v>703.2</v>
      </c>
      <c r="F600" t="str">
        <f>VLOOKUP(C600,[1]Orders!$A$5:$W$1043,5,0)</f>
        <v>Sydney</v>
      </c>
      <c r="G600" t="str">
        <f>VLOOKUP(C600,[1]Orders!$A$5:$W$1043,5,0)</f>
        <v>Sydney</v>
      </c>
      <c r="H600" t="str">
        <f>VLOOKUP(C600,[1]Orders!$A$5:$W$1043,6,0)</f>
        <v>NSW</v>
      </c>
      <c r="I600" t="str">
        <f>VLOOKUP(C600,[1]Orders!$A$5:$W$1043,7,0)</f>
        <v>Small Business</v>
      </c>
      <c r="J600" t="str">
        <f>VLOOKUP(C600,[1]Orders!$A$5:$W$1043,8,0)</f>
        <v>Aanya Zhang</v>
      </c>
      <c r="K600" t="str">
        <f>VLOOKUP(C600,[1]Orders!$A$5:$W$1043,9,0)</f>
        <v>Critical</v>
      </c>
    </row>
    <row r="601" spans="3:11" x14ac:dyDescent="0.25">
      <c r="C601" s="61" t="s">
        <v>693</v>
      </c>
      <c r="D601" t="str">
        <f>VLOOKUP(C601,[1]Orders!$A$5:$W$1043,3,0)</f>
        <v>Katrina Edelman</v>
      </c>
      <c r="E601">
        <f>VLOOKUP(C601,[1]Orders!$A$5:$W$1043,23,0)</f>
        <v>54.099999999999994</v>
      </c>
      <c r="F601" t="str">
        <f>VLOOKUP(C601,[1]Orders!$A$5:$W$1043,5,0)</f>
        <v>Sydney</v>
      </c>
      <c r="G601" t="str">
        <f>VLOOKUP(C601,[1]Orders!$A$5:$W$1043,5,0)</f>
        <v>Sydney</v>
      </c>
      <c r="H601" t="str">
        <f>VLOOKUP(C601,[1]Orders!$A$5:$W$1043,6,0)</f>
        <v>NSW</v>
      </c>
      <c r="I601" t="str">
        <f>VLOOKUP(C601,[1]Orders!$A$5:$W$1043,7,0)</f>
        <v>Corporate</v>
      </c>
      <c r="J601" t="str">
        <f>VLOOKUP(C601,[1]Orders!$A$5:$W$1043,8,0)</f>
        <v>Preston Senome</v>
      </c>
      <c r="K601" t="str">
        <f>VLOOKUP(C601,[1]Orders!$A$5:$W$1043,9,0)</f>
        <v>Critical</v>
      </c>
    </row>
    <row r="602" spans="3:11" x14ac:dyDescent="0.25">
      <c r="C602" s="61" t="s">
        <v>694</v>
      </c>
      <c r="D602" t="str">
        <f>VLOOKUP(C602,[1]Orders!$A$5:$W$1043,3,0)</f>
        <v>Anthony Rawles</v>
      </c>
      <c r="E602">
        <f>VLOOKUP(C602,[1]Orders!$A$5:$W$1043,23,0)</f>
        <v>643.19000000000005</v>
      </c>
      <c r="F602" t="str">
        <f>VLOOKUP(C602,[1]Orders!$A$5:$W$1043,5,0)</f>
        <v>Sydney</v>
      </c>
      <c r="G602" t="str">
        <f>VLOOKUP(C602,[1]Orders!$A$5:$W$1043,5,0)</f>
        <v>Sydney</v>
      </c>
      <c r="H602" t="str">
        <f>VLOOKUP(C602,[1]Orders!$A$5:$W$1043,6,0)</f>
        <v>NSW</v>
      </c>
      <c r="I602" t="str">
        <f>VLOOKUP(C602,[1]Orders!$A$5:$W$1043,7,0)</f>
        <v>Small Business</v>
      </c>
      <c r="J602" t="str">
        <f>VLOOKUP(C602,[1]Orders!$A$5:$W$1043,8,0)</f>
        <v>Mihael Khan</v>
      </c>
      <c r="K602" t="str">
        <f>VLOOKUP(C602,[1]Orders!$A$5:$W$1043,9,0)</f>
        <v>Medium</v>
      </c>
    </row>
    <row r="603" spans="3:11" x14ac:dyDescent="0.25">
      <c r="C603" s="61" t="s">
        <v>695</v>
      </c>
      <c r="D603" t="str">
        <f>VLOOKUP(C603,[1]Orders!$A$5:$W$1043,3,0)</f>
        <v>Alejandro Grove</v>
      </c>
      <c r="E603">
        <f>VLOOKUP(C603,[1]Orders!$A$5:$W$1043,23,0)</f>
        <v>162.39000000000001</v>
      </c>
      <c r="F603" t="str">
        <f>VLOOKUP(C603,[1]Orders!$A$5:$W$1043,5,0)</f>
        <v>Sydney</v>
      </c>
      <c r="G603" t="str">
        <f>VLOOKUP(C603,[1]Orders!$A$5:$W$1043,5,0)</f>
        <v>Sydney</v>
      </c>
      <c r="H603" t="str">
        <f>VLOOKUP(C603,[1]Orders!$A$5:$W$1043,6,0)</f>
        <v>NSW</v>
      </c>
      <c r="I603" t="str">
        <f>VLOOKUP(C603,[1]Orders!$A$5:$W$1043,7,0)</f>
        <v>Corporate</v>
      </c>
      <c r="J603" t="str">
        <f>VLOOKUP(C603,[1]Orders!$A$5:$W$1043,8,0)</f>
        <v>Samantha Chairs</v>
      </c>
      <c r="K603" t="str">
        <f>VLOOKUP(C603,[1]Orders!$A$5:$W$1043,9,0)</f>
        <v>High</v>
      </c>
    </row>
    <row r="604" spans="3:11" x14ac:dyDescent="0.25">
      <c r="C604" s="61" t="s">
        <v>696</v>
      </c>
      <c r="D604" t="str">
        <f>VLOOKUP(C604,[1]Orders!$A$5:$W$1043,3,0)</f>
        <v>Philip Brown</v>
      </c>
      <c r="E604">
        <f>VLOOKUP(C604,[1]Orders!$A$5:$W$1043,23,0)</f>
        <v>172.87</v>
      </c>
      <c r="F604" t="str">
        <f>VLOOKUP(C604,[1]Orders!$A$5:$W$1043,5,0)</f>
        <v>Melbourne</v>
      </c>
      <c r="G604" t="str">
        <f>VLOOKUP(C604,[1]Orders!$A$5:$W$1043,5,0)</f>
        <v>Melbourne</v>
      </c>
      <c r="H604" t="str">
        <f>VLOOKUP(C604,[1]Orders!$A$5:$W$1043,6,0)</f>
        <v>VIC</v>
      </c>
      <c r="I604" t="str">
        <f>VLOOKUP(C604,[1]Orders!$A$5:$W$1043,7,0)</f>
        <v>Corporate</v>
      </c>
      <c r="J604" t="str">
        <f>VLOOKUP(C604,[1]Orders!$A$5:$W$1043,8,0)</f>
        <v>Yvette Biti</v>
      </c>
      <c r="K604" t="str">
        <f>VLOOKUP(C604,[1]Orders!$A$5:$W$1043,9,0)</f>
        <v>Medium</v>
      </c>
    </row>
    <row r="605" spans="3:11" x14ac:dyDescent="0.25">
      <c r="C605" s="61" t="s">
        <v>697</v>
      </c>
      <c r="D605" t="str">
        <f>VLOOKUP(C605,[1]Orders!$A$5:$W$1043,3,0)</f>
        <v>Arthur Gainer</v>
      </c>
      <c r="E605">
        <f>VLOOKUP(C605,[1]Orders!$A$5:$W$1043,23,0)</f>
        <v>156.25</v>
      </c>
      <c r="F605" t="str">
        <f>VLOOKUP(C605,[1]Orders!$A$5:$W$1043,5,0)</f>
        <v>Melbourne</v>
      </c>
      <c r="G605" t="str">
        <f>VLOOKUP(C605,[1]Orders!$A$5:$W$1043,5,0)</f>
        <v>Melbourne</v>
      </c>
      <c r="H605" t="str">
        <f>VLOOKUP(C605,[1]Orders!$A$5:$W$1043,6,0)</f>
        <v>VIC</v>
      </c>
      <c r="I605" t="str">
        <f>VLOOKUP(C605,[1]Orders!$A$5:$W$1043,7,0)</f>
        <v>Corporate</v>
      </c>
      <c r="J605" t="str">
        <f>VLOOKUP(C605,[1]Orders!$A$5:$W$1043,8,0)</f>
        <v>Connor Betts</v>
      </c>
      <c r="K605" t="str">
        <f>VLOOKUP(C605,[1]Orders!$A$5:$W$1043,9,0)</f>
        <v>Medium</v>
      </c>
    </row>
    <row r="606" spans="3:11" x14ac:dyDescent="0.25">
      <c r="C606" s="61" t="s">
        <v>698</v>
      </c>
      <c r="D606" t="str">
        <f>VLOOKUP(C606,[1]Orders!$A$5:$W$1043,3,0)</f>
        <v>Trudy Schmidt</v>
      </c>
      <c r="E606">
        <f>VLOOKUP(C606,[1]Orders!$A$5:$W$1043,23,0)</f>
        <v>136.97</v>
      </c>
      <c r="F606" t="str">
        <f>VLOOKUP(C606,[1]Orders!$A$5:$W$1043,5,0)</f>
        <v>Sydney</v>
      </c>
      <c r="G606" t="str">
        <f>VLOOKUP(C606,[1]Orders!$A$5:$W$1043,5,0)</f>
        <v>Sydney</v>
      </c>
      <c r="H606" t="str">
        <f>VLOOKUP(C606,[1]Orders!$A$5:$W$1043,6,0)</f>
        <v>NSW</v>
      </c>
      <c r="I606" t="str">
        <f>VLOOKUP(C606,[1]Orders!$A$5:$W$1043,7,0)</f>
        <v>Small Business</v>
      </c>
      <c r="J606" t="str">
        <f>VLOOKUP(C606,[1]Orders!$A$5:$W$1043,8,0)</f>
        <v>Preston Senome</v>
      </c>
      <c r="K606" t="str">
        <f>VLOOKUP(C606,[1]Orders!$A$5:$W$1043,9,0)</f>
        <v>Medium</v>
      </c>
    </row>
    <row r="607" spans="3:11" x14ac:dyDescent="0.25">
      <c r="C607" s="61" t="s">
        <v>699</v>
      </c>
      <c r="D607" t="str">
        <f>VLOOKUP(C607,[1]Orders!$A$5:$W$1043,3,0)</f>
        <v>Thais Sissman</v>
      </c>
      <c r="E607">
        <f>VLOOKUP(C607,[1]Orders!$A$5:$W$1043,23,0)</f>
        <v>123.8</v>
      </c>
      <c r="F607" t="str">
        <f>VLOOKUP(C607,[1]Orders!$A$5:$W$1043,5,0)</f>
        <v>Sydney</v>
      </c>
      <c r="G607" t="str">
        <f>VLOOKUP(C607,[1]Orders!$A$5:$W$1043,5,0)</f>
        <v>Sydney</v>
      </c>
      <c r="H607" t="str">
        <f>VLOOKUP(C607,[1]Orders!$A$5:$W$1043,6,0)</f>
        <v>NSW</v>
      </c>
      <c r="I607" t="str">
        <f>VLOOKUP(C607,[1]Orders!$A$5:$W$1043,7,0)</f>
        <v>Corporate</v>
      </c>
      <c r="J607" t="str">
        <f>VLOOKUP(C607,[1]Orders!$A$5:$W$1043,8,0)</f>
        <v>Tina Carlton</v>
      </c>
      <c r="K607" t="str">
        <f>VLOOKUP(C607,[1]Orders!$A$5:$W$1043,9,0)</f>
        <v>Not Specified</v>
      </c>
    </row>
    <row r="608" spans="3:11" x14ac:dyDescent="0.25">
      <c r="C608" s="61" t="s">
        <v>700</v>
      </c>
      <c r="D608" t="str">
        <f>VLOOKUP(C608,[1]Orders!$A$5:$W$1043,3,0)</f>
        <v>Art Ferguson</v>
      </c>
      <c r="E608">
        <f>VLOOKUP(C608,[1]Orders!$A$5:$W$1043,23,0)</f>
        <v>70.89</v>
      </c>
      <c r="F608" t="str">
        <f>VLOOKUP(C608,[1]Orders!$A$5:$W$1043,5,0)</f>
        <v>Sydney</v>
      </c>
      <c r="G608" t="str">
        <f>VLOOKUP(C608,[1]Orders!$A$5:$W$1043,5,0)</f>
        <v>Sydney</v>
      </c>
      <c r="H608" t="str">
        <f>VLOOKUP(C608,[1]Orders!$A$5:$W$1043,6,0)</f>
        <v>NSW</v>
      </c>
      <c r="I608" t="str">
        <f>VLOOKUP(C608,[1]Orders!$A$5:$W$1043,7,0)</f>
        <v>Corporate</v>
      </c>
      <c r="J608" t="str">
        <f>VLOOKUP(C608,[1]Orders!$A$5:$W$1043,8,0)</f>
        <v>Mihael Khan</v>
      </c>
      <c r="K608" t="str">
        <f>VLOOKUP(C608,[1]Orders!$A$5:$W$1043,9,0)</f>
        <v>High</v>
      </c>
    </row>
    <row r="609" spans="3:11" x14ac:dyDescent="0.25">
      <c r="C609" s="61" t="s">
        <v>701</v>
      </c>
      <c r="D609" t="str">
        <f>VLOOKUP(C609,[1]Orders!$A$5:$W$1043,3,0)</f>
        <v>Deborah Brumfield</v>
      </c>
      <c r="E609">
        <f>VLOOKUP(C609,[1]Orders!$A$5:$W$1043,23,0)</f>
        <v>30023.9</v>
      </c>
      <c r="F609" t="str">
        <f>VLOOKUP(C609,[1]Orders!$A$5:$W$1043,5,0)</f>
        <v>Sydney</v>
      </c>
      <c r="G609" t="str">
        <f>VLOOKUP(C609,[1]Orders!$A$5:$W$1043,5,0)</f>
        <v>Sydney</v>
      </c>
      <c r="H609" t="str">
        <f>VLOOKUP(C609,[1]Orders!$A$5:$W$1043,6,0)</f>
        <v>NSW</v>
      </c>
      <c r="I609" t="str">
        <f>VLOOKUP(C609,[1]Orders!$A$5:$W$1043,7,0)</f>
        <v>Small Business</v>
      </c>
      <c r="J609" t="str">
        <f>VLOOKUP(C609,[1]Orders!$A$5:$W$1043,8,0)</f>
        <v>Samantha Chairs</v>
      </c>
      <c r="K609" t="str">
        <f>VLOOKUP(C609,[1]Orders!$A$5:$W$1043,9,0)</f>
        <v>High</v>
      </c>
    </row>
    <row r="610" spans="3:11" x14ac:dyDescent="0.25">
      <c r="C610" s="61" t="s">
        <v>702</v>
      </c>
      <c r="D610" t="str">
        <f>VLOOKUP(C610,[1]Orders!$A$5:$W$1043,3,0)</f>
        <v>Christopher Schild</v>
      </c>
      <c r="E610">
        <f>VLOOKUP(C610,[1]Orders!$A$5:$W$1043,23,0)</f>
        <v>105.58999999999999</v>
      </c>
      <c r="F610" t="str">
        <f>VLOOKUP(C610,[1]Orders!$A$5:$W$1043,5,0)</f>
        <v>Sydney</v>
      </c>
      <c r="G610" t="str">
        <f>VLOOKUP(C610,[1]Orders!$A$5:$W$1043,5,0)</f>
        <v>Sydney</v>
      </c>
      <c r="H610" t="str">
        <f>VLOOKUP(C610,[1]Orders!$A$5:$W$1043,6,0)</f>
        <v>NSW</v>
      </c>
      <c r="I610" t="str">
        <f>VLOOKUP(C610,[1]Orders!$A$5:$W$1043,7,0)</f>
        <v>Corporate</v>
      </c>
      <c r="J610" t="str">
        <f>VLOOKUP(C610,[1]Orders!$A$5:$W$1043,8,0)</f>
        <v>Tina Carlton</v>
      </c>
      <c r="K610" t="str">
        <f>VLOOKUP(C610,[1]Orders!$A$5:$W$1043,9,0)</f>
        <v>Low</v>
      </c>
    </row>
    <row r="611" spans="3:11" x14ac:dyDescent="0.25">
      <c r="C611" s="61" t="s">
        <v>703</v>
      </c>
      <c r="D611" t="str">
        <f>VLOOKUP(C611,[1]Orders!$A$5:$W$1043,3,0)</f>
        <v>Frank Carlisle</v>
      </c>
      <c r="E611">
        <f>VLOOKUP(C611,[1]Orders!$A$5:$W$1043,23,0)</f>
        <v>924.39</v>
      </c>
      <c r="F611" t="str">
        <f>VLOOKUP(C611,[1]Orders!$A$5:$W$1043,5,0)</f>
        <v>Melbourne</v>
      </c>
      <c r="G611" t="str">
        <f>VLOOKUP(C611,[1]Orders!$A$5:$W$1043,5,0)</f>
        <v>Melbourne</v>
      </c>
      <c r="H611" t="str">
        <f>VLOOKUP(C611,[1]Orders!$A$5:$W$1043,6,0)</f>
        <v>VIC</v>
      </c>
      <c r="I611" t="str">
        <f>VLOOKUP(C611,[1]Orders!$A$5:$W$1043,7,0)</f>
        <v>Small Business</v>
      </c>
      <c r="J611" t="str">
        <f>VLOOKUP(C611,[1]Orders!$A$5:$W$1043,8,0)</f>
        <v>Connor Betts</v>
      </c>
      <c r="K611" t="str">
        <f>VLOOKUP(C611,[1]Orders!$A$5:$W$1043,9,0)</f>
        <v>Critical</v>
      </c>
    </row>
    <row r="612" spans="3:11" x14ac:dyDescent="0.25">
      <c r="C612" s="61" t="s">
        <v>704</v>
      </c>
      <c r="D612" t="str">
        <f>VLOOKUP(C612,[1]Orders!$A$5:$W$1043,3,0)</f>
        <v>Greg Tran</v>
      </c>
      <c r="E612">
        <f>VLOOKUP(C612,[1]Orders!$A$5:$W$1043,23,0)</f>
        <v>149.38</v>
      </c>
      <c r="F612" t="str">
        <f>VLOOKUP(C612,[1]Orders!$A$5:$W$1043,5,0)</f>
        <v>Melbourne</v>
      </c>
      <c r="G612" t="str">
        <f>VLOOKUP(C612,[1]Orders!$A$5:$W$1043,5,0)</f>
        <v>Melbourne</v>
      </c>
      <c r="H612" t="str">
        <f>VLOOKUP(C612,[1]Orders!$A$5:$W$1043,6,0)</f>
        <v>VIC</v>
      </c>
      <c r="I612" t="str">
        <f>VLOOKUP(C612,[1]Orders!$A$5:$W$1043,7,0)</f>
        <v>Home Office</v>
      </c>
      <c r="J612" t="str">
        <f>VLOOKUP(C612,[1]Orders!$A$5:$W$1043,8,0)</f>
        <v>Yvette Biti</v>
      </c>
      <c r="K612" t="str">
        <f>VLOOKUP(C612,[1]Orders!$A$5:$W$1043,9,0)</f>
        <v>Critical</v>
      </c>
    </row>
    <row r="613" spans="3:11" x14ac:dyDescent="0.25">
      <c r="C613" s="61" t="s">
        <v>705</v>
      </c>
      <c r="D613" t="str">
        <f>VLOOKUP(C613,[1]Orders!$A$5:$W$1043,3,0)</f>
        <v>Dianna Arnett</v>
      </c>
      <c r="E613">
        <f>VLOOKUP(C613,[1]Orders!$A$5:$W$1043,23,0)</f>
        <v>300.40000000000003</v>
      </c>
      <c r="F613" t="str">
        <f>VLOOKUP(C613,[1]Orders!$A$5:$W$1043,5,0)</f>
        <v>Melbourne</v>
      </c>
      <c r="G613" t="str">
        <f>VLOOKUP(C613,[1]Orders!$A$5:$W$1043,5,0)</f>
        <v>Melbourne</v>
      </c>
      <c r="H613" t="str">
        <f>VLOOKUP(C613,[1]Orders!$A$5:$W$1043,6,0)</f>
        <v>VIC</v>
      </c>
      <c r="I613" t="str">
        <f>VLOOKUP(C613,[1]Orders!$A$5:$W$1043,7,0)</f>
        <v>Home Office</v>
      </c>
      <c r="J613" t="str">
        <f>VLOOKUP(C613,[1]Orders!$A$5:$W$1043,8,0)</f>
        <v>Connor Betts</v>
      </c>
      <c r="K613" t="str">
        <f>VLOOKUP(C613,[1]Orders!$A$5:$W$1043,9,0)</f>
        <v>Low</v>
      </c>
    </row>
    <row r="614" spans="3:11" x14ac:dyDescent="0.25">
      <c r="C614" s="61" t="s">
        <v>706</v>
      </c>
      <c r="D614" t="str">
        <f>VLOOKUP(C614,[1]Orders!$A$5:$W$1043,3,0)</f>
        <v>Cindy Schnelling</v>
      </c>
      <c r="E614">
        <f>VLOOKUP(C614,[1]Orders!$A$5:$W$1043,23,0)</f>
        <v>22111.89</v>
      </c>
      <c r="F614" t="str">
        <f>VLOOKUP(C614,[1]Orders!$A$5:$W$1043,5,0)</f>
        <v>Melbourne</v>
      </c>
      <c r="G614" t="str">
        <f>VLOOKUP(C614,[1]Orders!$A$5:$W$1043,5,0)</f>
        <v>Melbourne</v>
      </c>
      <c r="H614" t="str">
        <f>VLOOKUP(C614,[1]Orders!$A$5:$W$1043,6,0)</f>
        <v>VIC</v>
      </c>
      <c r="I614" t="str">
        <f>VLOOKUP(C614,[1]Orders!$A$5:$W$1043,7,0)</f>
        <v>Corporate</v>
      </c>
      <c r="J614" t="str">
        <f>VLOOKUP(C614,[1]Orders!$A$5:$W$1043,8,0)</f>
        <v>Connor Betts</v>
      </c>
      <c r="K614" t="str">
        <f>VLOOKUP(C614,[1]Orders!$A$5:$W$1043,9,0)</f>
        <v>Not Specified</v>
      </c>
    </row>
    <row r="615" spans="3:11" x14ac:dyDescent="0.25">
      <c r="C615" s="61" t="s">
        <v>707</v>
      </c>
      <c r="D615" t="str">
        <f>VLOOKUP(C615,[1]Orders!$A$5:$W$1043,3,0)</f>
        <v>Chuck Clark</v>
      </c>
      <c r="E615">
        <f>VLOOKUP(C615,[1]Orders!$A$5:$W$1043,23,0)</f>
        <v>84.47999999999999</v>
      </c>
      <c r="F615" t="str">
        <f>VLOOKUP(C615,[1]Orders!$A$5:$W$1043,5,0)</f>
        <v>Sydney</v>
      </c>
      <c r="G615" t="str">
        <f>VLOOKUP(C615,[1]Orders!$A$5:$W$1043,5,0)</f>
        <v>Sydney</v>
      </c>
      <c r="H615" t="str">
        <f>VLOOKUP(C615,[1]Orders!$A$5:$W$1043,6,0)</f>
        <v>NSW</v>
      </c>
      <c r="I615" t="str">
        <f>VLOOKUP(C615,[1]Orders!$A$5:$W$1043,7,0)</f>
        <v>Corporate</v>
      </c>
      <c r="J615" t="str">
        <f>VLOOKUP(C615,[1]Orders!$A$5:$W$1043,8,0)</f>
        <v>Tina Carlton</v>
      </c>
      <c r="K615" t="str">
        <f>VLOOKUP(C615,[1]Orders!$A$5:$W$1043,9,0)</f>
        <v>Low</v>
      </c>
    </row>
    <row r="616" spans="3:11" x14ac:dyDescent="0.25">
      <c r="C616" s="61" t="s">
        <v>708</v>
      </c>
      <c r="D616" t="str">
        <f>VLOOKUP(C616,[1]Orders!$A$5:$W$1043,3,0)</f>
        <v>Pauline Webber</v>
      </c>
      <c r="E616">
        <f>VLOOKUP(C616,[1]Orders!$A$5:$W$1043,23,0)</f>
        <v>30.44</v>
      </c>
      <c r="F616" t="str">
        <f>VLOOKUP(C616,[1]Orders!$A$5:$W$1043,5,0)</f>
        <v>Melbourne</v>
      </c>
      <c r="G616" t="str">
        <f>VLOOKUP(C616,[1]Orders!$A$5:$W$1043,5,0)</f>
        <v>Melbourne</v>
      </c>
      <c r="H616" t="str">
        <f>VLOOKUP(C616,[1]Orders!$A$5:$W$1043,6,0)</f>
        <v>VIC</v>
      </c>
      <c r="I616" t="str">
        <f>VLOOKUP(C616,[1]Orders!$A$5:$W$1043,7,0)</f>
        <v>Consumer</v>
      </c>
      <c r="J616" t="str">
        <f>VLOOKUP(C616,[1]Orders!$A$5:$W$1043,8,0)</f>
        <v>Yvette Biti</v>
      </c>
      <c r="K616" t="str">
        <f>VLOOKUP(C616,[1]Orders!$A$5:$W$1043,9,0)</f>
        <v>High</v>
      </c>
    </row>
    <row r="617" spans="3:11" x14ac:dyDescent="0.25">
      <c r="C617" s="61" t="s">
        <v>709</v>
      </c>
      <c r="D617" t="str">
        <f>VLOOKUP(C617,[1]Orders!$A$5:$W$1043,3,0)</f>
        <v>Chad McGuire</v>
      </c>
      <c r="E617">
        <f>VLOOKUP(C617,[1]Orders!$A$5:$W$1043,23,0)</f>
        <v>297.98</v>
      </c>
      <c r="F617" t="str">
        <f>VLOOKUP(C617,[1]Orders!$A$5:$W$1043,5,0)</f>
        <v>Sydney</v>
      </c>
      <c r="G617" t="str">
        <f>VLOOKUP(C617,[1]Orders!$A$5:$W$1043,5,0)</f>
        <v>Sydney</v>
      </c>
      <c r="H617" t="str">
        <f>VLOOKUP(C617,[1]Orders!$A$5:$W$1043,6,0)</f>
        <v>NSW</v>
      </c>
      <c r="I617" t="str">
        <f>VLOOKUP(C617,[1]Orders!$A$5:$W$1043,7,0)</f>
        <v>Small Business</v>
      </c>
      <c r="J617" t="str">
        <f>VLOOKUP(C617,[1]Orders!$A$5:$W$1043,8,0)</f>
        <v>Natasha Song</v>
      </c>
      <c r="K617" t="str">
        <f>VLOOKUP(C617,[1]Orders!$A$5:$W$1043,9,0)</f>
        <v>Not Specified</v>
      </c>
    </row>
    <row r="618" spans="3:11" x14ac:dyDescent="0.25">
      <c r="C618" s="61" t="s">
        <v>710</v>
      </c>
      <c r="D618" t="str">
        <f>VLOOKUP(C618,[1]Orders!$A$5:$W$1043,3,0)</f>
        <v>Denny Blanton</v>
      </c>
      <c r="E618">
        <f>VLOOKUP(C618,[1]Orders!$A$5:$W$1043,23,0)</f>
        <v>177.74999999999997</v>
      </c>
      <c r="F618" t="str">
        <f>VLOOKUP(C618,[1]Orders!$A$5:$W$1043,5,0)</f>
        <v>Sydney</v>
      </c>
      <c r="G618" t="str">
        <f>VLOOKUP(C618,[1]Orders!$A$5:$W$1043,5,0)</f>
        <v>Sydney</v>
      </c>
      <c r="H618" t="str">
        <f>VLOOKUP(C618,[1]Orders!$A$5:$W$1043,6,0)</f>
        <v>NSW</v>
      </c>
      <c r="I618" t="str">
        <f>VLOOKUP(C618,[1]Orders!$A$5:$W$1043,7,0)</f>
        <v>Home Office</v>
      </c>
      <c r="J618" t="str">
        <f>VLOOKUP(C618,[1]Orders!$A$5:$W$1043,8,0)</f>
        <v>Charlie Bui</v>
      </c>
      <c r="K618" t="str">
        <f>VLOOKUP(C618,[1]Orders!$A$5:$W$1043,9,0)</f>
        <v>Critical</v>
      </c>
    </row>
    <row r="619" spans="3:11" x14ac:dyDescent="0.25">
      <c r="C619" s="61" t="s">
        <v>711</v>
      </c>
      <c r="D619" t="str">
        <f>VLOOKUP(C619,[1]Orders!$A$5:$W$1043,3,0)</f>
        <v>Suzanne McNair</v>
      </c>
      <c r="E619">
        <f>VLOOKUP(C619,[1]Orders!$A$5:$W$1043,23,0)</f>
        <v>419.45000000000005</v>
      </c>
      <c r="F619" t="str">
        <f>VLOOKUP(C619,[1]Orders!$A$5:$W$1043,5,0)</f>
        <v>Melbourne</v>
      </c>
      <c r="G619" t="str">
        <f>VLOOKUP(C619,[1]Orders!$A$5:$W$1043,5,0)</f>
        <v>Melbourne</v>
      </c>
      <c r="H619" t="str">
        <f>VLOOKUP(C619,[1]Orders!$A$5:$W$1043,6,0)</f>
        <v>VIC</v>
      </c>
      <c r="I619" t="str">
        <f>VLOOKUP(C619,[1]Orders!$A$5:$W$1043,7,0)</f>
        <v>Corporate</v>
      </c>
      <c r="J619" t="str">
        <f>VLOOKUP(C619,[1]Orders!$A$5:$W$1043,8,0)</f>
        <v>Connor Betts</v>
      </c>
      <c r="K619" t="str">
        <f>VLOOKUP(C619,[1]Orders!$A$5:$W$1043,9,0)</f>
        <v>Critical</v>
      </c>
    </row>
    <row r="620" spans="3:11" x14ac:dyDescent="0.25">
      <c r="C620" s="61" t="s">
        <v>712</v>
      </c>
      <c r="D620" t="str">
        <f>VLOOKUP(C620,[1]Orders!$A$5:$W$1043,3,0)</f>
        <v>Guy Armstrong</v>
      </c>
      <c r="E620">
        <f>VLOOKUP(C620,[1]Orders!$A$5:$W$1043,23,0)</f>
        <v>3799.8399999999997</v>
      </c>
      <c r="F620" t="str">
        <f>VLOOKUP(C620,[1]Orders!$A$5:$W$1043,5,0)</f>
        <v>Sydney</v>
      </c>
      <c r="G620" t="str">
        <f>VLOOKUP(C620,[1]Orders!$A$5:$W$1043,5,0)</f>
        <v>Sydney</v>
      </c>
      <c r="H620" t="str">
        <f>VLOOKUP(C620,[1]Orders!$A$5:$W$1043,6,0)</f>
        <v>NSW</v>
      </c>
      <c r="I620" t="str">
        <f>VLOOKUP(C620,[1]Orders!$A$5:$W$1043,7,0)</f>
        <v>Corporate</v>
      </c>
      <c r="J620" t="str">
        <f>VLOOKUP(C620,[1]Orders!$A$5:$W$1043,8,0)</f>
        <v>Samantha Chairs</v>
      </c>
      <c r="K620" t="str">
        <f>VLOOKUP(C620,[1]Orders!$A$5:$W$1043,9,0)</f>
        <v>High</v>
      </c>
    </row>
    <row r="621" spans="3:11" x14ac:dyDescent="0.25">
      <c r="C621" s="61" t="s">
        <v>713</v>
      </c>
      <c r="D621" t="str">
        <f>VLOOKUP(C621,[1]Orders!$A$5:$W$1043,3,0)</f>
        <v>Michelle Lonsdale</v>
      </c>
      <c r="E621">
        <f>VLOOKUP(C621,[1]Orders!$A$5:$W$1043,23,0)</f>
        <v>1022.15</v>
      </c>
      <c r="F621" t="str">
        <f>VLOOKUP(C621,[1]Orders!$A$5:$W$1043,5,0)</f>
        <v>Melbourne</v>
      </c>
      <c r="G621" t="str">
        <f>VLOOKUP(C621,[1]Orders!$A$5:$W$1043,5,0)</f>
        <v>Melbourne</v>
      </c>
      <c r="H621" t="str">
        <f>VLOOKUP(C621,[1]Orders!$A$5:$W$1043,6,0)</f>
        <v>VIC</v>
      </c>
      <c r="I621" t="str">
        <f>VLOOKUP(C621,[1]Orders!$A$5:$W$1043,7,0)</f>
        <v>Home Office</v>
      </c>
      <c r="J621" t="str">
        <f>VLOOKUP(C621,[1]Orders!$A$5:$W$1043,8,0)</f>
        <v>Connor Betts</v>
      </c>
      <c r="K621" t="str">
        <f>VLOOKUP(C621,[1]Orders!$A$5:$W$1043,9,0)</f>
        <v>Low</v>
      </c>
    </row>
    <row r="622" spans="3:11" x14ac:dyDescent="0.25">
      <c r="C622" s="61" t="s">
        <v>714</v>
      </c>
      <c r="D622" t="str">
        <f>VLOOKUP(C622,[1]Orders!$A$5:$W$1043,3,0)</f>
        <v>Sean ODonnell</v>
      </c>
      <c r="E622">
        <f>VLOOKUP(C622,[1]Orders!$A$5:$W$1043,23,0)</f>
        <v>158.13999999999999</v>
      </c>
      <c r="F622" t="str">
        <f>VLOOKUP(C622,[1]Orders!$A$5:$W$1043,5,0)</f>
        <v>Melbourne</v>
      </c>
      <c r="G622" t="str">
        <f>VLOOKUP(C622,[1]Orders!$A$5:$W$1043,5,0)</f>
        <v>Melbourne</v>
      </c>
      <c r="H622" t="str">
        <f>VLOOKUP(C622,[1]Orders!$A$5:$W$1043,6,0)</f>
        <v>VIC</v>
      </c>
      <c r="I622" t="str">
        <f>VLOOKUP(C622,[1]Orders!$A$5:$W$1043,7,0)</f>
        <v>Corporate</v>
      </c>
      <c r="J622" t="str">
        <f>VLOOKUP(C622,[1]Orders!$A$5:$W$1043,8,0)</f>
        <v>Yvette Biti</v>
      </c>
      <c r="K622" t="str">
        <f>VLOOKUP(C622,[1]Orders!$A$5:$W$1043,9,0)</f>
        <v>High</v>
      </c>
    </row>
    <row r="623" spans="3:11" x14ac:dyDescent="0.25">
      <c r="C623" s="61" t="s">
        <v>715</v>
      </c>
      <c r="D623" t="str">
        <f>VLOOKUP(C623,[1]Orders!$A$5:$W$1043,3,0)</f>
        <v>Ricardo Block</v>
      </c>
      <c r="E623">
        <f>VLOOKUP(C623,[1]Orders!$A$5:$W$1043,23,0)</f>
        <v>44.74</v>
      </c>
      <c r="F623" t="str">
        <f>VLOOKUP(C623,[1]Orders!$A$5:$W$1043,5,0)</f>
        <v>Sydney</v>
      </c>
      <c r="G623" t="str">
        <f>VLOOKUP(C623,[1]Orders!$A$5:$W$1043,5,0)</f>
        <v>Sydney</v>
      </c>
      <c r="H623" t="str">
        <f>VLOOKUP(C623,[1]Orders!$A$5:$W$1043,6,0)</f>
        <v>NSW</v>
      </c>
      <c r="I623" t="str">
        <f>VLOOKUP(C623,[1]Orders!$A$5:$W$1043,7,0)</f>
        <v>Corporate</v>
      </c>
      <c r="J623" t="str">
        <f>VLOOKUP(C623,[1]Orders!$A$5:$W$1043,8,0)</f>
        <v>Leighton Forrest</v>
      </c>
      <c r="K623" t="str">
        <f>VLOOKUP(C623,[1]Orders!$A$5:$W$1043,9,0)</f>
        <v>Medium</v>
      </c>
    </row>
    <row r="624" spans="3:11" x14ac:dyDescent="0.25">
      <c r="C624" s="61" t="s">
        <v>716</v>
      </c>
      <c r="D624" t="str">
        <f>VLOOKUP(C624,[1]Orders!$A$5:$W$1043,3,0)</f>
        <v>Shui Tom</v>
      </c>
      <c r="E624">
        <f>VLOOKUP(C624,[1]Orders!$A$5:$W$1043,23,0)</f>
        <v>4585.99</v>
      </c>
      <c r="F624" t="str">
        <f>VLOOKUP(C624,[1]Orders!$A$5:$W$1043,5,0)</f>
        <v>Sydney</v>
      </c>
      <c r="G624" t="str">
        <f>VLOOKUP(C624,[1]Orders!$A$5:$W$1043,5,0)</f>
        <v>Sydney</v>
      </c>
      <c r="H624" t="str">
        <f>VLOOKUP(C624,[1]Orders!$A$5:$W$1043,6,0)</f>
        <v>NSW</v>
      </c>
      <c r="I624" t="str">
        <f>VLOOKUP(C624,[1]Orders!$A$5:$W$1043,7,0)</f>
        <v>Home Office</v>
      </c>
      <c r="J624" t="str">
        <f>VLOOKUP(C624,[1]Orders!$A$5:$W$1043,8,0)</f>
        <v>Charlie Bui</v>
      </c>
      <c r="K624" t="str">
        <f>VLOOKUP(C624,[1]Orders!$A$5:$W$1043,9,0)</f>
        <v>High</v>
      </c>
    </row>
    <row r="625" spans="3:11" x14ac:dyDescent="0.25">
      <c r="C625" s="61" t="s">
        <v>717</v>
      </c>
      <c r="D625" t="str">
        <f>VLOOKUP(C625,[1]Orders!$A$5:$W$1043,3,0)</f>
        <v>Penelope Sewall</v>
      </c>
      <c r="E625">
        <f>VLOOKUP(C625,[1]Orders!$A$5:$W$1043,23,0)</f>
        <v>301.67</v>
      </c>
      <c r="F625" t="str">
        <f>VLOOKUP(C625,[1]Orders!$A$5:$W$1043,5,0)</f>
        <v>Sydney</v>
      </c>
      <c r="G625" t="str">
        <f>VLOOKUP(C625,[1]Orders!$A$5:$W$1043,5,0)</f>
        <v>Sydney</v>
      </c>
      <c r="H625" t="str">
        <f>VLOOKUP(C625,[1]Orders!$A$5:$W$1043,6,0)</f>
        <v>NSW</v>
      </c>
      <c r="I625" t="str">
        <f>VLOOKUP(C625,[1]Orders!$A$5:$W$1043,7,0)</f>
        <v>Home Office</v>
      </c>
      <c r="J625" t="str">
        <f>VLOOKUP(C625,[1]Orders!$A$5:$W$1043,8,0)</f>
        <v>Samantha Chairs</v>
      </c>
      <c r="K625" t="str">
        <f>VLOOKUP(C625,[1]Orders!$A$5:$W$1043,9,0)</f>
        <v>High</v>
      </c>
    </row>
    <row r="626" spans="3:11" x14ac:dyDescent="0.25">
      <c r="C626" s="61" t="s">
        <v>718</v>
      </c>
      <c r="D626" t="str">
        <f>VLOOKUP(C626,[1]Orders!$A$5:$W$1043,3,0)</f>
        <v>Muhammed MacIntyre</v>
      </c>
      <c r="E626">
        <f>VLOOKUP(C626,[1]Orders!$A$5:$W$1043,23,0)</f>
        <v>46.489999999999995</v>
      </c>
      <c r="F626" t="str">
        <f>VLOOKUP(C626,[1]Orders!$A$5:$W$1043,5,0)</f>
        <v>Sydney</v>
      </c>
      <c r="G626" t="str">
        <f>VLOOKUP(C626,[1]Orders!$A$5:$W$1043,5,0)</f>
        <v>Sydney</v>
      </c>
      <c r="H626" t="str">
        <f>VLOOKUP(C626,[1]Orders!$A$5:$W$1043,6,0)</f>
        <v>NSW</v>
      </c>
      <c r="I626" t="str">
        <f>VLOOKUP(C626,[1]Orders!$A$5:$W$1043,7,0)</f>
        <v>Small Business</v>
      </c>
      <c r="J626" t="str">
        <f>VLOOKUP(C626,[1]Orders!$A$5:$W$1043,8,0)</f>
        <v>Leighton Forrest</v>
      </c>
      <c r="K626" t="str">
        <f>VLOOKUP(C626,[1]Orders!$A$5:$W$1043,9,0)</f>
        <v>High</v>
      </c>
    </row>
    <row r="627" spans="3:11" x14ac:dyDescent="0.25">
      <c r="C627" s="61" t="s">
        <v>719</v>
      </c>
      <c r="D627" t="str">
        <f>VLOOKUP(C627,[1]Orders!$A$5:$W$1043,3,0)</f>
        <v>Frank Hawley</v>
      </c>
      <c r="E627">
        <f>VLOOKUP(C627,[1]Orders!$A$5:$W$1043,23,0)</f>
        <v>665.02</v>
      </c>
      <c r="F627" t="str">
        <f>VLOOKUP(C627,[1]Orders!$A$5:$W$1043,5,0)</f>
        <v>Sydney</v>
      </c>
      <c r="G627" t="str">
        <f>VLOOKUP(C627,[1]Orders!$A$5:$W$1043,5,0)</f>
        <v>Sydney</v>
      </c>
      <c r="H627" t="str">
        <f>VLOOKUP(C627,[1]Orders!$A$5:$W$1043,6,0)</f>
        <v>NSW</v>
      </c>
      <c r="I627" t="str">
        <f>VLOOKUP(C627,[1]Orders!$A$5:$W$1043,7,0)</f>
        <v>Home Office</v>
      </c>
      <c r="J627" t="str">
        <f>VLOOKUP(C627,[1]Orders!$A$5:$W$1043,8,0)</f>
        <v>Phoebe Gour</v>
      </c>
      <c r="K627" t="str">
        <f>VLOOKUP(C627,[1]Orders!$A$5:$W$1043,9,0)</f>
        <v>Not Specified</v>
      </c>
    </row>
    <row r="628" spans="3:11" x14ac:dyDescent="0.25">
      <c r="C628" s="61" t="s">
        <v>720</v>
      </c>
      <c r="D628" t="str">
        <f>VLOOKUP(C628,[1]Orders!$A$5:$W$1043,3,0)</f>
        <v>Sibella Parks</v>
      </c>
      <c r="E628">
        <f>VLOOKUP(C628,[1]Orders!$A$5:$W$1043,23,0)</f>
        <v>62.099999999999994</v>
      </c>
      <c r="F628" t="str">
        <f>VLOOKUP(C628,[1]Orders!$A$5:$W$1043,5,0)</f>
        <v>Melbourne</v>
      </c>
      <c r="G628" t="str">
        <f>VLOOKUP(C628,[1]Orders!$A$5:$W$1043,5,0)</f>
        <v>Melbourne</v>
      </c>
      <c r="H628" t="str">
        <f>VLOOKUP(C628,[1]Orders!$A$5:$W$1043,6,0)</f>
        <v>VIC</v>
      </c>
      <c r="I628" t="str">
        <f>VLOOKUP(C628,[1]Orders!$A$5:$W$1043,7,0)</f>
        <v>Small Business</v>
      </c>
      <c r="J628" t="str">
        <f>VLOOKUP(C628,[1]Orders!$A$5:$W$1043,8,0)</f>
        <v>Connor Betts</v>
      </c>
      <c r="K628" t="str">
        <f>VLOOKUP(C628,[1]Orders!$A$5:$W$1043,9,0)</f>
        <v>Not Specified</v>
      </c>
    </row>
    <row r="629" spans="3:11" x14ac:dyDescent="0.25">
      <c r="C629" s="61" t="s">
        <v>721</v>
      </c>
      <c r="D629" t="str">
        <f>VLOOKUP(C629,[1]Orders!$A$5:$W$1043,3,0)</f>
        <v>Brian DeCherney</v>
      </c>
      <c r="E629">
        <f>VLOOKUP(C629,[1]Orders!$A$5:$W$1043,23,0)</f>
        <v>37.299999999999997</v>
      </c>
      <c r="F629" t="str">
        <f>VLOOKUP(C629,[1]Orders!$A$5:$W$1043,5,0)</f>
        <v>Sydney</v>
      </c>
      <c r="G629" t="str">
        <f>VLOOKUP(C629,[1]Orders!$A$5:$W$1043,5,0)</f>
        <v>Sydney</v>
      </c>
      <c r="H629" t="str">
        <f>VLOOKUP(C629,[1]Orders!$A$5:$W$1043,6,0)</f>
        <v>NSW</v>
      </c>
      <c r="I629" t="str">
        <f>VLOOKUP(C629,[1]Orders!$A$5:$W$1043,7,0)</f>
        <v>Corporate</v>
      </c>
      <c r="J629" t="str">
        <f>VLOOKUP(C629,[1]Orders!$A$5:$W$1043,8,0)</f>
        <v>Aanya Zhang</v>
      </c>
      <c r="K629" t="str">
        <f>VLOOKUP(C629,[1]Orders!$A$5:$W$1043,9,0)</f>
        <v>Low</v>
      </c>
    </row>
    <row r="630" spans="3:11" x14ac:dyDescent="0.25">
      <c r="C630" s="61" t="s">
        <v>722</v>
      </c>
      <c r="D630" t="str">
        <f>VLOOKUP(C630,[1]Orders!$A$5:$W$1043,3,0)</f>
        <v>Carlos Meador</v>
      </c>
      <c r="E630">
        <f>VLOOKUP(C630,[1]Orders!$A$5:$W$1043,23,0)</f>
        <v>47.52</v>
      </c>
      <c r="F630" t="str">
        <f>VLOOKUP(C630,[1]Orders!$A$5:$W$1043,5,0)</f>
        <v>Sydney</v>
      </c>
      <c r="G630" t="str">
        <f>VLOOKUP(C630,[1]Orders!$A$5:$W$1043,5,0)</f>
        <v>Sydney</v>
      </c>
      <c r="H630" t="str">
        <f>VLOOKUP(C630,[1]Orders!$A$5:$W$1043,6,0)</f>
        <v>NSW</v>
      </c>
      <c r="I630" t="str">
        <f>VLOOKUP(C630,[1]Orders!$A$5:$W$1043,7,0)</f>
        <v>Corporate</v>
      </c>
      <c r="J630" t="str">
        <f>VLOOKUP(C630,[1]Orders!$A$5:$W$1043,8,0)</f>
        <v>Tina Carlton</v>
      </c>
      <c r="K630" t="str">
        <f>VLOOKUP(C630,[1]Orders!$A$5:$W$1043,9,0)</f>
        <v>Critical</v>
      </c>
    </row>
    <row r="631" spans="3:11" x14ac:dyDescent="0.25">
      <c r="C631" s="61" t="s">
        <v>723</v>
      </c>
      <c r="D631" t="str">
        <f>VLOOKUP(C631,[1]Orders!$A$5:$W$1043,3,0)</f>
        <v>Mike Kennedy</v>
      </c>
      <c r="E631">
        <f>VLOOKUP(C631,[1]Orders!$A$5:$W$1043,23,0)</f>
        <v>76.289999999999992</v>
      </c>
      <c r="F631" t="str">
        <f>VLOOKUP(C631,[1]Orders!$A$5:$W$1043,5,0)</f>
        <v>Melbourne</v>
      </c>
      <c r="G631" t="str">
        <f>VLOOKUP(C631,[1]Orders!$A$5:$W$1043,5,0)</f>
        <v>Melbourne</v>
      </c>
      <c r="H631" t="str">
        <f>VLOOKUP(C631,[1]Orders!$A$5:$W$1043,6,0)</f>
        <v>VIC</v>
      </c>
      <c r="I631" t="str">
        <f>VLOOKUP(C631,[1]Orders!$A$5:$W$1043,7,0)</f>
        <v>Corporate</v>
      </c>
      <c r="J631" t="str">
        <f>VLOOKUP(C631,[1]Orders!$A$5:$W$1043,8,0)</f>
        <v>Connor Betts</v>
      </c>
      <c r="K631" t="str">
        <f>VLOOKUP(C631,[1]Orders!$A$5:$W$1043,9,0)</f>
        <v>High</v>
      </c>
    </row>
    <row r="632" spans="3:11" x14ac:dyDescent="0.25">
      <c r="C632" s="61" t="s">
        <v>724</v>
      </c>
      <c r="D632" t="str">
        <f>VLOOKUP(C632,[1]Orders!$A$5:$W$1043,3,0)</f>
        <v>Allen Armold</v>
      </c>
      <c r="E632">
        <f>VLOOKUP(C632,[1]Orders!$A$5:$W$1043,23,0)</f>
        <v>1737.06</v>
      </c>
      <c r="F632" t="str">
        <f>VLOOKUP(C632,[1]Orders!$A$5:$W$1043,5,0)</f>
        <v>Melbourne</v>
      </c>
      <c r="G632" t="str">
        <f>VLOOKUP(C632,[1]Orders!$A$5:$W$1043,5,0)</f>
        <v>Melbourne</v>
      </c>
      <c r="H632" t="str">
        <f>VLOOKUP(C632,[1]Orders!$A$5:$W$1043,6,0)</f>
        <v>VIC</v>
      </c>
      <c r="I632" t="str">
        <f>VLOOKUP(C632,[1]Orders!$A$5:$W$1043,7,0)</f>
        <v>Home Office</v>
      </c>
      <c r="J632" t="str">
        <f>VLOOKUP(C632,[1]Orders!$A$5:$W$1043,8,0)</f>
        <v>Connor Betts</v>
      </c>
      <c r="K632" t="str">
        <f>VLOOKUP(C632,[1]Orders!$A$5:$W$1043,9,0)</f>
        <v>Critical</v>
      </c>
    </row>
    <row r="633" spans="3:11" x14ac:dyDescent="0.25">
      <c r="C633" s="61" t="s">
        <v>725</v>
      </c>
      <c r="D633" t="str">
        <f>VLOOKUP(C633,[1]Orders!$A$5:$W$1043,3,0)</f>
        <v>Alan Shonely</v>
      </c>
      <c r="E633">
        <f>VLOOKUP(C633,[1]Orders!$A$5:$W$1043,23,0)</f>
        <v>3045.2100000000005</v>
      </c>
      <c r="F633" t="str">
        <f>VLOOKUP(C633,[1]Orders!$A$5:$W$1043,5,0)</f>
        <v>Sydney</v>
      </c>
      <c r="G633" t="str">
        <f>VLOOKUP(C633,[1]Orders!$A$5:$W$1043,5,0)</f>
        <v>Sydney</v>
      </c>
      <c r="H633" t="str">
        <f>VLOOKUP(C633,[1]Orders!$A$5:$W$1043,6,0)</f>
        <v>NSW</v>
      </c>
      <c r="I633" t="str">
        <f>VLOOKUP(C633,[1]Orders!$A$5:$W$1043,7,0)</f>
        <v>Small Business</v>
      </c>
      <c r="J633" t="str">
        <f>VLOOKUP(C633,[1]Orders!$A$5:$W$1043,8,0)</f>
        <v>Nicholas Fernandes</v>
      </c>
      <c r="K633" t="str">
        <f>VLOOKUP(C633,[1]Orders!$A$5:$W$1043,9,0)</f>
        <v>Critical</v>
      </c>
    </row>
    <row r="634" spans="3:11" x14ac:dyDescent="0.25">
      <c r="C634" s="61" t="s">
        <v>726</v>
      </c>
      <c r="D634" t="str">
        <f>VLOOKUP(C634,[1]Orders!$A$5:$W$1043,3,0)</f>
        <v>Thomas Boland</v>
      </c>
      <c r="E634">
        <f>VLOOKUP(C634,[1]Orders!$A$5:$W$1043,23,0)</f>
        <v>72.499999999999986</v>
      </c>
      <c r="F634" t="str">
        <f>VLOOKUP(C634,[1]Orders!$A$5:$W$1043,5,0)</f>
        <v>Sydney</v>
      </c>
      <c r="G634" t="str">
        <f>VLOOKUP(C634,[1]Orders!$A$5:$W$1043,5,0)</f>
        <v>Sydney</v>
      </c>
      <c r="H634" t="str">
        <f>VLOOKUP(C634,[1]Orders!$A$5:$W$1043,6,0)</f>
        <v>NSW</v>
      </c>
      <c r="I634" t="str">
        <f>VLOOKUP(C634,[1]Orders!$A$5:$W$1043,7,0)</f>
        <v>Corporate</v>
      </c>
      <c r="J634" t="str">
        <f>VLOOKUP(C634,[1]Orders!$A$5:$W$1043,8,0)</f>
        <v>Mihael Khan</v>
      </c>
      <c r="K634" t="str">
        <f>VLOOKUP(C634,[1]Orders!$A$5:$W$1043,9,0)</f>
        <v>Critical</v>
      </c>
    </row>
    <row r="635" spans="3:11" x14ac:dyDescent="0.25">
      <c r="C635" s="61" t="s">
        <v>727</v>
      </c>
      <c r="D635" t="str">
        <f>VLOOKUP(C635,[1]Orders!$A$5:$W$1043,3,0)</f>
        <v>Maurice Satty</v>
      </c>
      <c r="E635">
        <f>VLOOKUP(C635,[1]Orders!$A$5:$W$1043,23,0)</f>
        <v>36.31</v>
      </c>
      <c r="F635" t="str">
        <f>VLOOKUP(C635,[1]Orders!$A$5:$W$1043,5,0)</f>
        <v>Sydney</v>
      </c>
      <c r="G635" t="str">
        <f>VLOOKUP(C635,[1]Orders!$A$5:$W$1043,5,0)</f>
        <v>Sydney</v>
      </c>
      <c r="H635" t="str">
        <f>VLOOKUP(C635,[1]Orders!$A$5:$W$1043,6,0)</f>
        <v>NSW</v>
      </c>
      <c r="I635" t="str">
        <f>VLOOKUP(C635,[1]Orders!$A$5:$W$1043,7,0)</f>
        <v>Corporate</v>
      </c>
      <c r="J635" t="str">
        <f>VLOOKUP(C635,[1]Orders!$A$5:$W$1043,8,0)</f>
        <v>Tina Carlton</v>
      </c>
      <c r="K635" t="str">
        <f>VLOOKUP(C635,[1]Orders!$A$5:$W$1043,9,0)</f>
        <v>Medium</v>
      </c>
    </row>
    <row r="636" spans="3:11" x14ac:dyDescent="0.25">
      <c r="C636" s="61" t="s">
        <v>728</v>
      </c>
      <c r="D636" t="str">
        <f>VLOOKUP(C636,[1]Orders!$A$5:$W$1043,3,0)</f>
        <v>Mike Gockenbach</v>
      </c>
      <c r="E636">
        <f>VLOOKUP(C636,[1]Orders!$A$5:$W$1043,23,0)</f>
        <v>349.27000000000004</v>
      </c>
      <c r="F636" t="str">
        <f>VLOOKUP(C636,[1]Orders!$A$5:$W$1043,5,0)</f>
        <v>Melbourne</v>
      </c>
      <c r="G636" t="str">
        <f>VLOOKUP(C636,[1]Orders!$A$5:$W$1043,5,0)</f>
        <v>Melbourne</v>
      </c>
      <c r="H636" t="str">
        <f>VLOOKUP(C636,[1]Orders!$A$5:$W$1043,6,0)</f>
        <v>VIC</v>
      </c>
      <c r="I636" t="str">
        <f>VLOOKUP(C636,[1]Orders!$A$5:$W$1043,7,0)</f>
        <v>Consumer</v>
      </c>
      <c r="J636" t="str">
        <f>VLOOKUP(C636,[1]Orders!$A$5:$W$1043,8,0)</f>
        <v>Connor Betts</v>
      </c>
      <c r="K636" t="str">
        <f>VLOOKUP(C636,[1]Orders!$A$5:$W$1043,9,0)</f>
        <v>Low</v>
      </c>
    </row>
    <row r="637" spans="3:11" x14ac:dyDescent="0.25">
      <c r="C637" s="61" t="s">
        <v>729</v>
      </c>
      <c r="D637" t="str">
        <f>VLOOKUP(C637,[1]Orders!$A$5:$W$1043,3,0)</f>
        <v>Patrick Ryan</v>
      </c>
      <c r="E637">
        <f>VLOOKUP(C637,[1]Orders!$A$5:$W$1043,23,0)</f>
        <v>23.16</v>
      </c>
      <c r="F637" t="str">
        <f>VLOOKUP(C637,[1]Orders!$A$5:$W$1043,5,0)</f>
        <v>Melbourne</v>
      </c>
      <c r="G637" t="str">
        <f>VLOOKUP(C637,[1]Orders!$A$5:$W$1043,5,0)</f>
        <v>Melbourne</v>
      </c>
      <c r="H637" t="str">
        <f>VLOOKUP(C637,[1]Orders!$A$5:$W$1043,6,0)</f>
        <v>VIC</v>
      </c>
      <c r="I637" t="str">
        <f>VLOOKUP(C637,[1]Orders!$A$5:$W$1043,7,0)</f>
        <v>Corporate</v>
      </c>
      <c r="J637" t="str">
        <f>VLOOKUP(C637,[1]Orders!$A$5:$W$1043,8,0)</f>
        <v>Yvette Biti</v>
      </c>
      <c r="K637" t="str">
        <f>VLOOKUP(C637,[1]Orders!$A$5:$W$1043,9,0)</f>
        <v>Critical</v>
      </c>
    </row>
    <row r="638" spans="3:11" x14ac:dyDescent="0.25">
      <c r="C638" s="61" t="s">
        <v>730</v>
      </c>
      <c r="D638" t="str">
        <f>VLOOKUP(C638,[1]Orders!$A$5:$W$1043,3,0)</f>
        <v>Jack OBriant</v>
      </c>
      <c r="E638">
        <f>VLOOKUP(C638,[1]Orders!$A$5:$W$1043,23,0)</f>
        <v>143.77000000000001</v>
      </c>
      <c r="F638" t="str">
        <f>VLOOKUP(C638,[1]Orders!$A$5:$W$1043,5,0)</f>
        <v>Sydney</v>
      </c>
      <c r="G638" t="str">
        <f>VLOOKUP(C638,[1]Orders!$A$5:$W$1043,5,0)</f>
        <v>Sydney</v>
      </c>
      <c r="H638" t="str">
        <f>VLOOKUP(C638,[1]Orders!$A$5:$W$1043,6,0)</f>
        <v>NSW</v>
      </c>
      <c r="I638" t="str">
        <f>VLOOKUP(C638,[1]Orders!$A$5:$W$1043,7,0)</f>
        <v>Small Business</v>
      </c>
      <c r="J638" t="str">
        <f>VLOOKUP(C638,[1]Orders!$A$5:$W$1043,8,0)</f>
        <v>Mihael Khan</v>
      </c>
      <c r="K638" t="str">
        <f>VLOOKUP(C638,[1]Orders!$A$5:$W$1043,9,0)</f>
        <v>Not Specified</v>
      </c>
    </row>
    <row r="639" spans="3:11" x14ac:dyDescent="0.25">
      <c r="C639" s="61" t="s">
        <v>731</v>
      </c>
      <c r="D639" t="str">
        <f>VLOOKUP(C639,[1]Orders!$A$5:$W$1043,3,0)</f>
        <v>Lynn Smith</v>
      </c>
      <c r="E639">
        <f>VLOOKUP(C639,[1]Orders!$A$5:$W$1043,23,0)</f>
        <v>111.55000000000001</v>
      </c>
      <c r="F639" t="str">
        <f>VLOOKUP(C639,[1]Orders!$A$5:$W$1043,5,0)</f>
        <v>Sydney</v>
      </c>
      <c r="G639" t="str">
        <f>VLOOKUP(C639,[1]Orders!$A$5:$W$1043,5,0)</f>
        <v>Sydney</v>
      </c>
      <c r="H639" t="str">
        <f>VLOOKUP(C639,[1]Orders!$A$5:$W$1043,6,0)</f>
        <v>NSW</v>
      </c>
      <c r="I639" t="str">
        <f>VLOOKUP(C639,[1]Orders!$A$5:$W$1043,7,0)</f>
        <v>Corporate</v>
      </c>
      <c r="J639" t="str">
        <f>VLOOKUP(C639,[1]Orders!$A$5:$W$1043,8,0)</f>
        <v>Samantha Chairs</v>
      </c>
      <c r="K639" t="str">
        <f>VLOOKUP(C639,[1]Orders!$A$5:$W$1043,9,0)</f>
        <v>Not Specified</v>
      </c>
    </row>
    <row r="640" spans="3:11" x14ac:dyDescent="0.25">
      <c r="C640" s="61" t="s">
        <v>732</v>
      </c>
      <c r="D640" t="str">
        <f>VLOOKUP(C640,[1]Orders!$A$5:$W$1043,3,0)</f>
        <v>Cindy Schnelling</v>
      </c>
      <c r="E640">
        <f>VLOOKUP(C640,[1]Orders!$A$5:$W$1043,23,0)</f>
        <v>70.040000000000006</v>
      </c>
      <c r="F640" t="str">
        <f>VLOOKUP(C640,[1]Orders!$A$5:$W$1043,5,0)</f>
        <v>Melbourne</v>
      </c>
      <c r="G640" t="str">
        <f>VLOOKUP(C640,[1]Orders!$A$5:$W$1043,5,0)</f>
        <v>Melbourne</v>
      </c>
      <c r="H640" t="str">
        <f>VLOOKUP(C640,[1]Orders!$A$5:$W$1043,6,0)</f>
        <v>VIC</v>
      </c>
      <c r="I640" t="str">
        <f>VLOOKUP(C640,[1]Orders!$A$5:$W$1043,7,0)</f>
        <v>Corporate</v>
      </c>
      <c r="J640" t="str">
        <f>VLOOKUP(C640,[1]Orders!$A$5:$W$1043,8,0)</f>
        <v>Connor Betts</v>
      </c>
      <c r="K640" t="str">
        <f>VLOOKUP(C640,[1]Orders!$A$5:$W$1043,9,0)</f>
        <v>High</v>
      </c>
    </row>
    <row r="641" spans="3:11" x14ac:dyDescent="0.25">
      <c r="C641" s="61" t="s">
        <v>733</v>
      </c>
      <c r="D641" t="str">
        <f>VLOOKUP(C641,[1]Orders!$A$5:$W$1043,3,0)</f>
        <v>George Bell</v>
      </c>
      <c r="E641">
        <f>VLOOKUP(C641,[1]Orders!$A$5:$W$1043,23,0)</f>
        <v>382.63</v>
      </c>
      <c r="F641" t="str">
        <f>VLOOKUP(C641,[1]Orders!$A$5:$W$1043,5,0)</f>
        <v>Melbourne</v>
      </c>
      <c r="G641" t="str">
        <f>VLOOKUP(C641,[1]Orders!$A$5:$W$1043,5,0)</f>
        <v>Melbourne</v>
      </c>
      <c r="H641" t="str">
        <f>VLOOKUP(C641,[1]Orders!$A$5:$W$1043,6,0)</f>
        <v>VIC</v>
      </c>
      <c r="I641" t="str">
        <f>VLOOKUP(C641,[1]Orders!$A$5:$W$1043,7,0)</f>
        <v>Corporate</v>
      </c>
      <c r="J641" t="str">
        <f>VLOOKUP(C641,[1]Orders!$A$5:$W$1043,8,0)</f>
        <v>Yvette Biti</v>
      </c>
      <c r="K641" t="str">
        <f>VLOOKUP(C641,[1]Orders!$A$5:$W$1043,9,0)</f>
        <v>Not Specified</v>
      </c>
    </row>
    <row r="642" spans="3:11" x14ac:dyDescent="0.25">
      <c r="C642" s="61" t="s">
        <v>734</v>
      </c>
      <c r="D642" t="str">
        <f>VLOOKUP(C642,[1]Orders!$A$5:$W$1043,3,0)</f>
        <v>Pete Armstrong</v>
      </c>
      <c r="E642">
        <f>VLOOKUP(C642,[1]Orders!$A$5:$W$1043,23,0)</f>
        <v>27.159999999999997</v>
      </c>
      <c r="F642" t="str">
        <f>VLOOKUP(C642,[1]Orders!$A$5:$W$1043,5,0)</f>
        <v>Melbourne</v>
      </c>
      <c r="G642" t="str">
        <f>VLOOKUP(C642,[1]Orders!$A$5:$W$1043,5,0)</f>
        <v>Melbourne</v>
      </c>
      <c r="H642" t="str">
        <f>VLOOKUP(C642,[1]Orders!$A$5:$W$1043,6,0)</f>
        <v>VIC</v>
      </c>
      <c r="I642" t="str">
        <f>VLOOKUP(C642,[1]Orders!$A$5:$W$1043,7,0)</f>
        <v>Consumer</v>
      </c>
      <c r="J642" t="str">
        <f>VLOOKUP(C642,[1]Orders!$A$5:$W$1043,8,0)</f>
        <v>Connor Betts</v>
      </c>
      <c r="K642" t="str">
        <f>VLOOKUP(C642,[1]Orders!$A$5:$W$1043,9,0)</f>
        <v>Medium</v>
      </c>
    </row>
    <row r="643" spans="3:11" x14ac:dyDescent="0.25">
      <c r="C643" s="61" t="s">
        <v>735</v>
      </c>
      <c r="D643" t="str">
        <f>VLOOKUP(C643,[1]Orders!$A$5:$W$1043,3,0)</f>
        <v>Lauren Leatherbury</v>
      </c>
      <c r="E643">
        <f>VLOOKUP(C643,[1]Orders!$A$5:$W$1043,23,0)</f>
        <v>1502.82</v>
      </c>
      <c r="F643" t="str">
        <f>VLOOKUP(C643,[1]Orders!$A$5:$W$1043,5,0)</f>
        <v>Sydney</v>
      </c>
      <c r="G643" t="str">
        <f>VLOOKUP(C643,[1]Orders!$A$5:$W$1043,5,0)</f>
        <v>Sydney</v>
      </c>
      <c r="H643" t="str">
        <f>VLOOKUP(C643,[1]Orders!$A$5:$W$1043,6,0)</f>
        <v>NSW</v>
      </c>
      <c r="I643" t="str">
        <f>VLOOKUP(C643,[1]Orders!$A$5:$W$1043,7,0)</f>
        <v>Home Office</v>
      </c>
      <c r="J643" t="str">
        <f>VLOOKUP(C643,[1]Orders!$A$5:$W$1043,8,0)</f>
        <v>Nicholas Fernandes</v>
      </c>
      <c r="K643" t="str">
        <f>VLOOKUP(C643,[1]Orders!$A$5:$W$1043,9,0)</f>
        <v>Low</v>
      </c>
    </row>
    <row r="644" spans="3:11" x14ac:dyDescent="0.25">
      <c r="C644" s="61" t="s">
        <v>736</v>
      </c>
      <c r="D644" t="str">
        <f>VLOOKUP(C644,[1]Orders!$A$5:$W$1043,3,0)</f>
        <v>Nathan Mautz</v>
      </c>
      <c r="E644">
        <f>VLOOKUP(C644,[1]Orders!$A$5:$W$1043,23,0)</f>
        <v>362.72</v>
      </c>
      <c r="F644" t="str">
        <f>VLOOKUP(C644,[1]Orders!$A$5:$W$1043,5,0)</f>
        <v>Melbourne</v>
      </c>
      <c r="G644" t="str">
        <f>VLOOKUP(C644,[1]Orders!$A$5:$W$1043,5,0)</f>
        <v>Melbourne</v>
      </c>
      <c r="H644" t="str">
        <f>VLOOKUP(C644,[1]Orders!$A$5:$W$1043,6,0)</f>
        <v>VIC</v>
      </c>
      <c r="I644" t="str">
        <f>VLOOKUP(C644,[1]Orders!$A$5:$W$1043,7,0)</f>
        <v>Corporate</v>
      </c>
      <c r="J644" t="str">
        <f>VLOOKUP(C644,[1]Orders!$A$5:$W$1043,8,0)</f>
        <v>Connor Betts</v>
      </c>
      <c r="K644" t="str">
        <f>VLOOKUP(C644,[1]Orders!$A$5:$W$1043,9,0)</f>
        <v>Low</v>
      </c>
    </row>
    <row r="645" spans="3:11" x14ac:dyDescent="0.25">
      <c r="C645" s="61" t="s">
        <v>737</v>
      </c>
      <c r="D645" t="str">
        <f>VLOOKUP(C645,[1]Orders!$A$5:$W$1043,3,0)</f>
        <v>Michael Chen</v>
      </c>
      <c r="E645">
        <f>VLOOKUP(C645,[1]Orders!$A$5:$W$1043,23,0)</f>
        <v>3283.79</v>
      </c>
      <c r="F645" t="str">
        <f>VLOOKUP(C645,[1]Orders!$A$5:$W$1043,5,0)</f>
        <v>Sydney</v>
      </c>
      <c r="G645" t="str">
        <f>VLOOKUP(C645,[1]Orders!$A$5:$W$1043,5,0)</f>
        <v>Sydney</v>
      </c>
      <c r="H645" t="str">
        <f>VLOOKUP(C645,[1]Orders!$A$5:$W$1043,6,0)</f>
        <v>NSW</v>
      </c>
      <c r="I645" t="str">
        <f>VLOOKUP(C645,[1]Orders!$A$5:$W$1043,7,0)</f>
        <v>Consumer</v>
      </c>
      <c r="J645" t="str">
        <f>VLOOKUP(C645,[1]Orders!$A$5:$W$1043,8,0)</f>
        <v>Samantha Chairs</v>
      </c>
      <c r="K645" t="str">
        <f>VLOOKUP(C645,[1]Orders!$A$5:$W$1043,9,0)</f>
        <v>Critical</v>
      </c>
    </row>
    <row r="646" spans="3:11" x14ac:dyDescent="0.25">
      <c r="C646" s="61" t="s">
        <v>738</v>
      </c>
      <c r="D646" t="str">
        <f>VLOOKUP(C646,[1]Orders!$A$5:$W$1043,3,0)</f>
        <v>Jack OBriant</v>
      </c>
      <c r="E646">
        <f>VLOOKUP(C646,[1]Orders!$A$5:$W$1043,23,0)</f>
        <v>24623.99</v>
      </c>
      <c r="F646" t="str">
        <f>VLOOKUP(C646,[1]Orders!$A$5:$W$1043,5,0)</f>
        <v>Sydney</v>
      </c>
      <c r="G646" t="str">
        <f>VLOOKUP(C646,[1]Orders!$A$5:$W$1043,5,0)</f>
        <v>Sydney</v>
      </c>
      <c r="H646" t="str">
        <f>VLOOKUP(C646,[1]Orders!$A$5:$W$1043,6,0)</f>
        <v>NSW</v>
      </c>
      <c r="I646" t="str">
        <f>VLOOKUP(C646,[1]Orders!$A$5:$W$1043,7,0)</f>
        <v>Home Office</v>
      </c>
      <c r="J646" t="str">
        <f>VLOOKUP(C646,[1]Orders!$A$5:$W$1043,8,0)</f>
        <v>Mihael Khan</v>
      </c>
      <c r="K646" t="str">
        <f>VLOOKUP(C646,[1]Orders!$A$5:$W$1043,9,0)</f>
        <v>Not Specified</v>
      </c>
    </row>
    <row r="647" spans="3:11" x14ac:dyDescent="0.25">
      <c r="C647" s="61" t="s">
        <v>739</v>
      </c>
      <c r="D647" t="str">
        <f>VLOOKUP(C647,[1]Orders!$A$5:$W$1043,3,0)</f>
        <v>Alan Schoenberger</v>
      </c>
      <c r="E647">
        <f>VLOOKUP(C647,[1]Orders!$A$5:$W$1043,23,0)</f>
        <v>5885.38</v>
      </c>
      <c r="F647" t="str">
        <f>VLOOKUP(C647,[1]Orders!$A$5:$W$1043,5,0)</f>
        <v>Sydney</v>
      </c>
      <c r="G647" t="str">
        <f>VLOOKUP(C647,[1]Orders!$A$5:$W$1043,5,0)</f>
        <v>Sydney</v>
      </c>
      <c r="H647" t="str">
        <f>VLOOKUP(C647,[1]Orders!$A$5:$W$1043,6,0)</f>
        <v>NSW</v>
      </c>
      <c r="I647" t="str">
        <f>VLOOKUP(C647,[1]Orders!$A$5:$W$1043,7,0)</f>
        <v>Corporate</v>
      </c>
      <c r="J647" t="str">
        <f>VLOOKUP(C647,[1]Orders!$A$5:$W$1043,8,0)</f>
        <v>Preston Senome</v>
      </c>
      <c r="K647" t="str">
        <f>VLOOKUP(C647,[1]Orders!$A$5:$W$1043,9,0)</f>
        <v>Critical</v>
      </c>
    </row>
    <row r="648" spans="3:11" x14ac:dyDescent="0.25">
      <c r="C648" s="61" t="s">
        <v>740</v>
      </c>
      <c r="D648" t="str">
        <f>VLOOKUP(C648,[1]Orders!$A$5:$W$1043,3,0)</f>
        <v>Liz MacKendrick</v>
      </c>
      <c r="E648">
        <f>VLOOKUP(C648,[1]Orders!$A$5:$W$1043,23,0)</f>
        <v>46.78</v>
      </c>
      <c r="F648" t="str">
        <f>VLOOKUP(C648,[1]Orders!$A$5:$W$1043,5,0)</f>
        <v>Melbourne</v>
      </c>
      <c r="G648" t="str">
        <f>VLOOKUP(C648,[1]Orders!$A$5:$W$1043,5,0)</f>
        <v>Melbourne</v>
      </c>
      <c r="H648" t="str">
        <f>VLOOKUP(C648,[1]Orders!$A$5:$W$1043,6,0)</f>
        <v>VIC</v>
      </c>
      <c r="I648" t="str">
        <f>VLOOKUP(C648,[1]Orders!$A$5:$W$1043,7,0)</f>
        <v>Corporate</v>
      </c>
      <c r="J648" t="str">
        <f>VLOOKUP(C648,[1]Orders!$A$5:$W$1043,8,0)</f>
        <v>Connor Betts</v>
      </c>
      <c r="K648" t="str">
        <f>VLOOKUP(C648,[1]Orders!$A$5:$W$1043,9,0)</f>
        <v>Low</v>
      </c>
    </row>
    <row r="649" spans="3:11" x14ac:dyDescent="0.25">
      <c r="C649" s="61" t="s">
        <v>741</v>
      </c>
      <c r="D649" t="str">
        <f>VLOOKUP(C649,[1]Orders!$A$5:$W$1043,3,0)</f>
        <v>Tamara Chand</v>
      </c>
      <c r="E649">
        <f>VLOOKUP(C649,[1]Orders!$A$5:$W$1043,23,0)</f>
        <v>194.58</v>
      </c>
      <c r="F649" t="str">
        <f>VLOOKUP(C649,[1]Orders!$A$5:$W$1043,5,0)</f>
        <v>Sydney</v>
      </c>
      <c r="G649" t="str">
        <f>VLOOKUP(C649,[1]Orders!$A$5:$W$1043,5,0)</f>
        <v>Sydney</v>
      </c>
      <c r="H649" t="str">
        <f>VLOOKUP(C649,[1]Orders!$A$5:$W$1043,6,0)</f>
        <v>NSW</v>
      </c>
      <c r="I649" t="str">
        <f>VLOOKUP(C649,[1]Orders!$A$5:$W$1043,7,0)</f>
        <v>Consumer</v>
      </c>
      <c r="J649" t="str">
        <f>VLOOKUP(C649,[1]Orders!$A$5:$W$1043,8,0)</f>
        <v>Samantha Chairs</v>
      </c>
      <c r="K649" t="str">
        <f>VLOOKUP(C649,[1]Orders!$A$5:$W$1043,9,0)</f>
        <v>Low</v>
      </c>
    </row>
    <row r="650" spans="3:11" x14ac:dyDescent="0.25">
      <c r="C650" s="61" t="s">
        <v>742</v>
      </c>
      <c r="D650" t="str">
        <f>VLOOKUP(C650,[1]Orders!$A$5:$W$1043,3,0)</f>
        <v>Charles Crestani</v>
      </c>
      <c r="E650">
        <f>VLOOKUP(C650,[1]Orders!$A$5:$W$1043,23,0)</f>
        <v>39.650000000000006</v>
      </c>
      <c r="F650" t="str">
        <f>VLOOKUP(C650,[1]Orders!$A$5:$W$1043,5,0)</f>
        <v>Sydney</v>
      </c>
      <c r="G650" t="str">
        <f>VLOOKUP(C650,[1]Orders!$A$5:$W$1043,5,0)</f>
        <v>Sydney</v>
      </c>
      <c r="H650" t="str">
        <f>VLOOKUP(C650,[1]Orders!$A$5:$W$1043,6,0)</f>
        <v>NSW</v>
      </c>
      <c r="I650" t="str">
        <f>VLOOKUP(C650,[1]Orders!$A$5:$W$1043,7,0)</f>
        <v>Consumer</v>
      </c>
      <c r="J650" t="str">
        <f>VLOOKUP(C650,[1]Orders!$A$5:$W$1043,8,0)</f>
        <v>Phoebe Gour</v>
      </c>
      <c r="K650" t="str">
        <f>VLOOKUP(C650,[1]Orders!$A$5:$W$1043,9,0)</f>
        <v>High</v>
      </c>
    </row>
    <row r="651" spans="3:11" x14ac:dyDescent="0.25">
      <c r="C651" s="61" t="s">
        <v>743</v>
      </c>
      <c r="D651" t="str">
        <f>VLOOKUP(C651,[1]Orders!$A$5:$W$1043,3,0)</f>
        <v>Rick Hansen</v>
      </c>
      <c r="E651">
        <f>VLOOKUP(C651,[1]Orders!$A$5:$W$1043,23,0)</f>
        <v>100.51</v>
      </c>
      <c r="F651" t="str">
        <f>VLOOKUP(C651,[1]Orders!$A$5:$W$1043,5,0)</f>
        <v>Sydney</v>
      </c>
      <c r="G651" t="str">
        <f>VLOOKUP(C651,[1]Orders!$A$5:$W$1043,5,0)</f>
        <v>Sydney</v>
      </c>
      <c r="H651" t="str">
        <f>VLOOKUP(C651,[1]Orders!$A$5:$W$1043,6,0)</f>
        <v>NSW</v>
      </c>
      <c r="I651" t="str">
        <f>VLOOKUP(C651,[1]Orders!$A$5:$W$1043,7,0)</f>
        <v>Corporate</v>
      </c>
      <c r="J651" t="str">
        <f>VLOOKUP(C651,[1]Orders!$A$5:$W$1043,8,0)</f>
        <v>Nicholas Fernandes</v>
      </c>
      <c r="K651" t="str">
        <f>VLOOKUP(C651,[1]Orders!$A$5:$W$1043,9,0)</f>
        <v>Not Specified</v>
      </c>
    </row>
    <row r="652" spans="3:11" x14ac:dyDescent="0.25">
      <c r="C652" s="61" t="s">
        <v>744</v>
      </c>
      <c r="D652" t="str">
        <f>VLOOKUP(C652,[1]Orders!$A$5:$W$1043,3,0)</f>
        <v>Annie Cyprus</v>
      </c>
      <c r="E652">
        <f>VLOOKUP(C652,[1]Orders!$A$5:$W$1043,23,0)</f>
        <v>66.19</v>
      </c>
      <c r="F652" t="str">
        <f>VLOOKUP(C652,[1]Orders!$A$5:$W$1043,5,0)</f>
        <v>Melbourne</v>
      </c>
      <c r="G652" t="str">
        <f>VLOOKUP(C652,[1]Orders!$A$5:$W$1043,5,0)</f>
        <v>Melbourne</v>
      </c>
      <c r="H652" t="str">
        <f>VLOOKUP(C652,[1]Orders!$A$5:$W$1043,6,0)</f>
        <v>VIC</v>
      </c>
      <c r="I652" t="str">
        <f>VLOOKUP(C652,[1]Orders!$A$5:$W$1043,7,0)</f>
        <v>Home Office</v>
      </c>
      <c r="J652" t="str">
        <f>VLOOKUP(C652,[1]Orders!$A$5:$W$1043,8,0)</f>
        <v>Connor Betts</v>
      </c>
      <c r="K652" t="str">
        <f>VLOOKUP(C652,[1]Orders!$A$5:$W$1043,9,0)</f>
        <v>High</v>
      </c>
    </row>
    <row r="653" spans="3:11" x14ac:dyDescent="0.25">
      <c r="C653" s="61" t="s">
        <v>745</v>
      </c>
      <c r="D653" t="str">
        <f>VLOOKUP(C653,[1]Orders!$A$5:$W$1043,3,0)</f>
        <v>Richard Bierner</v>
      </c>
      <c r="E653">
        <f>VLOOKUP(C653,[1]Orders!$A$5:$W$1043,23,0)</f>
        <v>127.56000000000002</v>
      </c>
      <c r="F653" t="str">
        <f>VLOOKUP(C653,[1]Orders!$A$5:$W$1043,5,0)</f>
        <v>Melbourne</v>
      </c>
      <c r="G653" t="str">
        <f>VLOOKUP(C653,[1]Orders!$A$5:$W$1043,5,0)</f>
        <v>Melbourne</v>
      </c>
      <c r="H653" t="str">
        <f>VLOOKUP(C653,[1]Orders!$A$5:$W$1043,6,0)</f>
        <v>VIC</v>
      </c>
      <c r="I653" t="str">
        <f>VLOOKUP(C653,[1]Orders!$A$5:$W$1043,7,0)</f>
        <v>Small Business</v>
      </c>
      <c r="J653" t="str">
        <f>VLOOKUP(C653,[1]Orders!$A$5:$W$1043,8,0)</f>
        <v>Connor Betts</v>
      </c>
      <c r="K653" t="str">
        <f>VLOOKUP(C653,[1]Orders!$A$5:$W$1043,9,0)</f>
        <v>Not Specified</v>
      </c>
    </row>
    <row r="654" spans="3:11" x14ac:dyDescent="0.25">
      <c r="C654" s="61" t="s">
        <v>746</v>
      </c>
      <c r="D654" t="str">
        <f>VLOOKUP(C654,[1]Orders!$A$5:$W$1043,3,0)</f>
        <v>Erica Bern</v>
      </c>
      <c r="E654">
        <f>VLOOKUP(C654,[1]Orders!$A$5:$W$1043,23,0)</f>
        <v>157.41999999999999</v>
      </c>
      <c r="F654" t="str">
        <f>VLOOKUP(C654,[1]Orders!$A$5:$W$1043,5,0)</f>
        <v>Sydney</v>
      </c>
      <c r="G654" t="str">
        <f>VLOOKUP(C654,[1]Orders!$A$5:$W$1043,5,0)</f>
        <v>Sydney</v>
      </c>
      <c r="H654" t="str">
        <f>VLOOKUP(C654,[1]Orders!$A$5:$W$1043,6,0)</f>
        <v>NSW</v>
      </c>
      <c r="I654" t="str">
        <f>VLOOKUP(C654,[1]Orders!$A$5:$W$1043,7,0)</f>
        <v>Corporate</v>
      </c>
      <c r="J654" t="str">
        <f>VLOOKUP(C654,[1]Orders!$A$5:$W$1043,8,0)</f>
        <v>Aanya Zhang</v>
      </c>
      <c r="K654" t="str">
        <f>VLOOKUP(C654,[1]Orders!$A$5:$W$1043,9,0)</f>
        <v>Medium</v>
      </c>
    </row>
    <row r="655" spans="3:11" x14ac:dyDescent="0.25">
      <c r="C655" s="61" t="s">
        <v>747</v>
      </c>
      <c r="D655" t="str">
        <f>VLOOKUP(C655,[1]Orders!$A$5:$W$1043,3,0)</f>
        <v>Beth Paige</v>
      </c>
      <c r="E655">
        <f>VLOOKUP(C655,[1]Orders!$A$5:$W$1043,23,0)</f>
        <v>10.809999999999999</v>
      </c>
      <c r="F655" t="str">
        <f>VLOOKUP(C655,[1]Orders!$A$5:$W$1043,5,0)</f>
        <v>Sydney</v>
      </c>
      <c r="G655" t="str">
        <f>VLOOKUP(C655,[1]Orders!$A$5:$W$1043,5,0)</f>
        <v>Sydney</v>
      </c>
      <c r="H655" t="str">
        <f>VLOOKUP(C655,[1]Orders!$A$5:$W$1043,6,0)</f>
        <v>NSW</v>
      </c>
      <c r="I655" t="str">
        <f>VLOOKUP(C655,[1]Orders!$A$5:$W$1043,7,0)</f>
        <v>Consumer</v>
      </c>
      <c r="J655" t="str">
        <f>VLOOKUP(C655,[1]Orders!$A$5:$W$1043,8,0)</f>
        <v>Tina Carlton</v>
      </c>
      <c r="K655" t="str">
        <f>VLOOKUP(C655,[1]Orders!$A$5:$W$1043,9,0)</f>
        <v>High</v>
      </c>
    </row>
    <row r="656" spans="3:11" x14ac:dyDescent="0.25">
      <c r="C656" s="61" t="s">
        <v>748</v>
      </c>
      <c r="D656" t="str">
        <f>VLOOKUP(C656,[1]Orders!$A$5:$W$1043,3,0)</f>
        <v>Stefania Perrino</v>
      </c>
      <c r="E656">
        <f>VLOOKUP(C656,[1]Orders!$A$5:$W$1043,23,0)</f>
        <v>300.47000000000003</v>
      </c>
      <c r="F656" t="str">
        <f>VLOOKUP(C656,[1]Orders!$A$5:$W$1043,5,0)</f>
        <v>Melbourne</v>
      </c>
      <c r="G656" t="str">
        <f>VLOOKUP(C656,[1]Orders!$A$5:$W$1043,5,0)</f>
        <v>Melbourne</v>
      </c>
      <c r="H656" t="str">
        <f>VLOOKUP(C656,[1]Orders!$A$5:$W$1043,6,0)</f>
        <v>VIC</v>
      </c>
      <c r="I656" t="str">
        <f>VLOOKUP(C656,[1]Orders!$A$5:$W$1043,7,0)</f>
        <v>Corporate</v>
      </c>
      <c r="J656" t="str">
        <f>VLOOKUP(C656,[1]Orders!$A$5:$W$1043,8,0)</f>
        <v>Connor Betts</v>
      </c>
      <c r="K656" t="str">
        <f>VLOOKUP(C656,[1]Orders!$A$5:$W$1043,9,0)</f>
        <v>Medium</v>
      </c>
    </row>
    <row r="657" spans="3:11" x14ac:dyDescent="0.25">
      <c r="C657" s="61" t="s">
        <v>749</v>
      </c>
      <c r="D657" t="str">
        <f>VLOOKUP(C657,[1]Orders!$A$5:$W$1043,3,0)</f>
        <v>Arianne Irving</v>
      </c>
      <c r="E657">
        <f>VLOOKUP(C657,[1]Orders!$A$5:$W$1043,23,0)</f>
        <v>123.59</v>
      </c>
      <c r="F657" t="str">
        <f>VLOOKUP(C657,[1]Orders!$A$5:$W$1043,5,0)</f>
        <v>Melbourne</v>
      </c>
      <c r="G657" t="str">
        <f>VLOOKUP(C657,[1]Orders!$A$5:$W$1043,5,0)</f>
        <v>Melbourne</v>
      </c>
      <c r="H657" t="str">
        <f>VLOOKUP(C657,[1]Orders!$A$5:$W$1043,6,0)</f>
        <v>VIC</v>
      </c>
      <c r="I657" t="str">
        <f>VLOOKUP(C657,[1]Orders!$A$5:$W$1043,7,0)</f>
        <v>Corporate</v>
      </c>
      <c r="J657" t="str">
        <f>VLOOKUP(C657,[1]Orders!$A$5:$W$1043,8,0)</f>
        <v>Connor Betts</v>
      </c>
      <c r="K657" t="str">
        <f>VLOOKUP(C657,[1]Orders!$A$5:$W$1043,9,0)</f>
        <v>High</v>
      </c>
    </row>
    <row r="658" spans="3:11" x14ac:dyDescent="0.25">
      <c r="C658" s="61" t="s">
        <v>750</v>
      </c>
      <c r="D658" t="str">
        <f>VLOOKUP(C658,[1]Orders!$A$5:$W$1043,3,0)</f>
        <v>Lauren Leatherbury</v>
      </c>
      <c r="E658">
        <f>VLOOKUP(C658,[1]Orders!$A$5:$W$1043,23,0)</f>
        <v>10.31</v>
      </c>
      <c r="F658" t="str">
        <f>VLOOKUP(C658,[1]Orders!$A$5:$W$1043,5,0)</f>
        <v>Sydney</v>
      </c>
      <c r="G658" t="str">
        <f>VLOOKUP(C658,[1]Orders!$A$5:$W$1043,5,0)</f>
        <v>Sydney</v>
      </c>
      <c r="H658" t="str">
        <f>VLOOKUP(C658,[1]Orders!$A$5:$W$1043,6,0)</f>
        <v>NSW</v>
      </c>
      <c r="I658" t="str">
        <f>VLOOKUP(C658,[1]Orders!$A$5:$W$1043,7,0)</f>
        <v>Corporate</v>
      </c>
      <c r="J658" t="str">
        <f>VLOOKUP(C658,[1]Orders!$A$5:$W$1043,8,0)</f>
        <v>Nicholas Fernandes</v>
      </c>
      <c r="K658" t="str">
        <f>VLOOKUP(C658,[1]Orders!$A$5:$W$1043,9,0)</f>
        <v>Not Specified</v>
      </c>
    </row>
    <row r="659" spans="3:11" x14ac:dyDescent="0.25">
      <c r="C659" s="61" t="s">
        <v>751</v>
      </c>
      <c r="D659" t="str">
        <f>VLOOKUP(C659,[1]Orders!$A$5:$W$1043,3,0)</f>
        <v>Brian Dahlen</v>
      </c>
      <c r="E659">
        <f>VLOOKUP(C659,[1]Orders!$A$5:$W$1043,23,0)</f>
        <v>131.39000000000001</v>
      </c>
      <c r="F659" t="str">
        <f>VLOOKUP(C659,[1]Orders!$A$5:$W$1043,5,0)</f>
        <v>Sydney</v>
      </c>
      <c r="G659" t="str">
        <f>VLOOKUP(C659,[1]Orders!$A$5:$W$1043,5,0)</f>
        <v>Sydney</v>
      </c>
      <c r="H659" t="str">
        <f>VLOOKUP(C659,[1]Orders!$A$5:$W$1043,6,0)</f>
        <v>NSW</v>
      </c>
      <c r="I659" t="str">
        <f>VLOOKUP(C659,[1]Orders!$A$5:$W$1043,7,0)</f>
        <v>Small Business</v>
      </c>
      <c r="J659" t="str">
        <f>VLOOKUP(C659,[1]Orders!$A$5:$W$1043,8,0)</f>
        <v>Aanya Zhang</v>
      </c>
      <c r="K659" t="str">
        <f>VLOOKUP(C659,[1]Orders!$A$5:$W$1043,9,0)</f>
        <v>Medium</v>
      </c>
    </row>
    <row r="660" spans="3:11" x14ac:dyDescent="0.25">
      <c r="C660" s="61" t="s">
        <v>752</v>
      </c>
      <c r="D660" t="str">
        <f>VLOOKUP(C660,[1]Orders!$A$5:$W$1043,3,0)</f>
        <v>Joseph Airdo</v>
      </c>
      <c r="E660">
        <f>VLOOKUP(C660,[1]Orders!$A$5:$W$1043,23,0)</f>
        <v>73.449999999999989</v>
      </c>
      <c r="F660" t="str">
        <f>VLOOKUP(C660,[1]Orders!$A$5:$W$1043,5,0)</f>
        <v>Sydney</v>
      </c>
      <c r="G660" t="str">
        <f>VLOOKUP(C660,[1]Orders!$A$5:$W$1043,5,0)</f>
        <v>Sydney</v>
      </c>
      <c r="H660" t="str">
        <f>VLOOKUP(C660,[1]Orders!$A$5:$W$1043,6,0)</f>
        <v>NSW</v>
      </c>
      <c r="I660" t="str">
        <f>VLOOKUP(C660,[1]Orders!$A$5:$W$1043,7,0)</f>
        <v>Corporate</v>
      </c>
      <c r="J660" t="str">
        <f>VLOOKUP(C660,[1]Orders!$A$5:$W$1043,8,0)</f>
        <v>Natasha Song</v>
      </c>
      <c r="K660" t="str">
        <f>VLOOKUP(C660,[1]Orders!$A$5:$W$1043,9,0)</f>
        <v>Medium</v>
      </c>
    </row>
    <row r="661" spans="3:11" x14ac:dyDescent="0.25">
      <c r="C661" s="61" t="s">
        <v>753</v>
      </c>
      <c r="D661" t="str">
        <f>VLOOKUP(C661,[1]Orders!$A$5:$W$1043,3,0)</f>
        <v>Max Engle</v>
      </c>
      <c r="E661">
        <f>VLOOKUP(C661,[1]Orders!$A$5:$W$1043,23,0)</f>
        <v>192.37</v>
      </c>
      <c r="F661" t="str">
        <f>VLOOKUP(C661,[1]Orders!$A$5:$W$1043,5,0)</f>
        <v>Sydney</v>
      </c>
      <c r="G661" t="str">
        <f>VLOOKUP(C661,[1]Orders!$A$5:$W$1043,5,0)</f>
        <v>Sydney</v>
      </c>
      <c r="H661" t="str">
        <f>VLOOKUP(C661,[1]Orders!$A$5:$W$1043,6,0)</f>
        <v>NSW</v>
      </c>
      <c r="I661" t="str">
        <f>VLOOKUP(C661,[1]Orders!$A$5:$W$1043,7,0)</f>
        <v>Corporate</v>
      </c>
      <c r="J661" t="str">
        <f>VLOOKUP(C661,[1]Orders!$A$5:$W$1043,8,0)</f>
        <v>Samantha Chairs</v>
      </c>
      <c r="K661" t="str">
        <f>VLOOKUP(C661,[1]Orders!$A$5:$W$1043,9,0)</f>
        <v>Not Specified</v>
      </c>
    </row>
    <row r="662" spans="3:11" x14ac:dyDescent="0.25">
      <c r="C662" s="61" t="s">
        <v>754</v>
      </c>
      <c r="D662" t="str">
        <f>VLOOKUP(C662,[1]Orders!$A$5:$W$1043,3,0)</f>
        <v>Michelle Huthwaite</v>
      </c>
      <c r="E662">
        <f>VLOOKUP(C662,[1]Orders!$A$5:$W$1043,23,0)</f>
        <v>142.10000000000002</v>
      </c>
      <c r="F662" t="str">
        <f>VLOOKUP(C662,[1]Orders!$A$5:$W$1043,5,0)</f>
        <v>Sydney</v>
      </c>
      <c r="G662" t="str">
        <f>VLOOKUP(C662,[1]Orders!$A$5:$W$1043,5,0)</f>
        <v>Sydney</v>
      </c>
      <c r="H662" t="str">
        <f>VLOOKUP(C662,[1]Orders!$A$5:$W$1043,6,0)</f>
        <v>NSW</v>
      </c>
      <c r="I662" t="str">
        <f>VLOOKUP(C662,[1]Orders!$A$5:$W$1043,7,0)</f>
        <v>Home Office</v>
      </c>
      <c r="J662" t="str">
        <f>VLOOKUP(C662,[1]Orders!$A$5:$W$1043,8,0)</f>
        <v>Samantha Chairs</v>
      </c>
      <c r="K662" t="str">
        <f>VLOOKUP(C662,[1]Orders!$A$5:$W$1043,9,0)</f>
        <v>Low</v>
      </c>
    </row>
    <row r="663" spans="3:11" x14ac:dyDescent="0.25">
      <c r="C663" s="61" t="s">
        <v>755</v>
      </c>
      <c r="D663" t="str">
        <f>VLOOKUP(C663,[1]Orders!$A$5:$W$1043,3,0)</f>
        <v>Randy Ferguson</v>
      </c>
      <c r="E663">
        <f>VLOOKUP(C663,[1]Orders!$A$5:$W$1043,23,0)</f>
        <v>564.94000000000005</v>
      </c>
      <c r="F663" t="str">
        <f>VLOOKUP(C663,[1]Orders!$A$5:$W$1043,5,0)</f>
        <v>Sydney</v>
      </c>
      <c r="G663" t="str">
        <f>VLOOKUP(C663,[1]Orders!$A$5:$W$1043,5,0)</f>
        <v>Sydney</v>
      </c>
      <c r="H663" t="str">
        <f>VLOOKUP(C663,[1]Orders!$A$5:$W$1043,6,0)</f>
        <v>NSW</v>
      </c>
      <c r="I663" t="str">
        <f>VLOOKUP(C663,[1]Orders!$A$5:$W$1043,7,0)</f>
        <v>Home Office</v>
      </c>
      <c r="J663" t="str">
        <f>VLOOKUP(C663,[1]Orders!$A$5:$W$1043,8,0)</f>
        <v>Natasha Song</v>
      </c>
      <c r="K663" t="str">
        <f>VLOOKUP(C663,[1]Orders!$A$5:$W$1043,9,0)</f>
        <v>Low</v>
      </c>
    </row>
    <row r="664" spans="3:11" x14ac:dyDescent="0.25">
      <c r="C664" s="61" t="s">
        <v>756</v>
      </c>
      <c r="D664" t="str">
        <f>VLOOKUP(C664,[1]Orders!$A$5:$W$1043,3,0)</f>
        <v>Karen Ferguson</v>
      </c>
      <c r="E664">
        <f>VLOOKUP(C664,[1]Orders!$A$5:$W$1043,23,0)</f>
        <v>23.89</v>
      </c>
      <c r="F664" t="str">
        <f>VLOOKUP(C664,[1]Orders!$A$5:$W$1043,5,0)</f>
        <v>Sydney</v>
      </c>
      <c r="G664" t="str">
        <f>VLOOKUP(C664,[1]Orders!$A$5:$W$1043,5,0)</f>
        <v>Sydney</v>
      </c>
      <c r="H664" t="str">
        <f>VLOOKUP(C664,[1]Orders!$A$5:$W$1043,6,0)</f>
        <v>NSW</v>
      </c>
      <c r="I664" t="str">
        <f>VLOOKUP(C664,[1]Orders!$A$5:$W$1043,7,0)</f>
        <v>Home Office</v>
      </c>
      <c r="J664" t="str">
        <f>VLOOKUP(C664,[1]Orders!$A$5:$W$1043,8,0)</f>
        <v>Aanya Zhang</v>
      </c>
      <c r="K664" t="str">
        <f>VLOOKUP(C664,[1]Orders!$A$5:$W$1043,9,0)</f>
        <v>Critical</v>
      </c>
    </row>
    <row r="665" spans="3:11" x14ac:dyDescent="0.25">
      <c r="C665" s="61" t="s">
        <v>757</v>
      </c>
      <c r="D665" t="str">
        <f>VLOOKUP(C665,[1]Orders!$A$5:$W$1043,3,0)</f>
        <v>Ralph Kennedy</v>
      </c>
      <c r="E665">
        <f>VLOOKUP(C665,[1]Orders!$A$5:$W$1043,23,0)</f>
        <v>824.33999999999992</v>
      </c>
      <c r="F665" t="str">
        <f>VLOOKUP(C665,[1]Orders!$A$5:$W$1043,5,0)</f>
        <v>Sydney</v>
      </c>
      <c r="G665" t="str">
        <f>VLOOKUP(C665,[1]Orders!$A$5:$W$1043,5,0)</f>
        <v>Sydney</v>
      </c>
      <c r="H665" t="str">
        <f>VLOOKUP(C665,[1]Orders!$A$5:$W$1043,6,0)</f>
        <v>NSW</v>
      </c>
      <c r="I665" t="str">
        <f>VLOOKUP(C665,[1]Orders!$A$5:$W$1043,7,0)</f>
        <v>Corporate</v>
      </c>
      <c r="J665" t="str">
        <f>VLOOKUP(C665,[1]Orders!$A$5:$W$1043,8,0)</f>
        <v>Tina Carlton</v>
      </c>
      <c r="K665" t="str">
        <f>VLOOKUP(C665,[1]Orders!$A$5:$W$1043,9,0)</f>
        <v>Not Specified</v>
      </c>
    </row>
    <row r="666" spans="3:11" x14ac:dyDescent="0.25">
      <c r="C666" s="61" t="s">
        <v>758</v>
      </c>
      <c r="D666" t="str">
        <f>VLOOKUP(C666,[1]Orders!$A$5:$W$1043,3,0)</f>
        <v>Patrick Ryan</v>
      </c>
      <c r="E666">
        <f>VLOOKUP(C666,[1]Orders!$A$5:$W$1043,23,0)</f>
        <v>68.790000000000006</v>
      </c>
      <c r="F666" t="str">
        <f>VLOOKUP(C666,[1]Orders!$A$5:$W$1043,5,0)</f>
        <v>Melbourne</v>
      </c>
      <c r="G666" t="str">
        <f>VLOOKUP(C666,[1]Orders!$A$5:$W$1043,5,0)</f>
        <v>Melbourne</v>
      </c>
      <c r="H666" t="str">
        <f>VLOOKUP(C666,[1]Orders!$A$5:$W$1043,6,0)</f>
        <v>VIC</v>
      </c>
      <c r="I666" t="str">
        <f>VLOOKUP(C666,[1]Orders!$A$5:$W$1043,7,0)</f>
        <v>Corporate</v>
      </c>
      <c r="J666" t="str">
        <f>VLOOKUP(C666,[1]Orders!$A$5:$W$1043,8,0)</f>
        <v>Yvette Biti</v>
      </c>
      <c r="K666" t="str">
        <f>VLOOKUP(C666,[1]Orders!$A$5:$W$1043,9,0)</f>
        <v>High</v>
      </c>
    </row>
    <row r="667" spans="3:11" x14ac:dyDescent="0.25">
      <c r="C667" s="61" t="s">
        <v>759</v>
      </c>
      <c r="D667" t="str">
        <f>VLOOKUP(C667,[1]Orders!$A$5:$W$1043,3,0)</f>
        <v>Larry Tron</v>
      </c>
      <c r="E667">
        <f>VLOOKUP(C667,[1]Orders!$A$5:$W$1043,23,0)</f>
        <v>1033.26</v>
      </c>
      <c r="F667" t="str">
        <f>VLOOKUP(C667,[1]Orders!$A$5:$W$1043,5,0)</f>
        <v>Sydney</v>
      </c>
      <c r="G667" t="str">
        <f>VLOOKUP(C667,[1]Orders!$A$5:$W$1043,5,0)</f>
        <v>Sydney</v>
      </c>
      <c r="H667" t="str">
        <f>VLOOKUP(C667,[1]Orders!$A$5:$W$1043,6,0)</f>
        <v>NSW</v>
      </c>
      <c r="I667" t="str">
        <f>VLOOKUP(C667,[1]Orders!$A$5:$W$1043,7,0)</f>
        <v>Home Office</v>
      </c>
      <c r="J667" t="str">
        <f>VLOOKUP(C667,[1]Orders!$A$5:$W$1043,8,0)</f>
        <v>Tina Carlton</v>
      </c>
      <c r="K667" t="str">
        <f>VLOOKUP(C667,[1]Orders!$A$5:$W$1043,9,0)</f>
        <v>Critical</v>
      </c>
    </row>
    <row r="668" spans="3:11" x14ac:dyDescent="0.25">
      <c r="C668" s="61" t="s">
        <v>760</v>
      </c>
      <c r="D668" t="str">
        <f>VLOOKUP(C668,[1]Orders!$A$5:$W$1043,3,0)</f>
        <v>Keith Dawkins</v>
      </c>
      <c r="E668">
        <f>VLOOKUP(C668,[1]Orders!$A$5:$W$1043,23,0)</f>
        <v>983.32999999999993</v>
      </c>
      <c r="F668" t="str">
        <f>VLOOKUP(C668,[1]Orders!$A$5:$W$1043,5,0)</f>
        <v>Sydney</v>
      </c>
      <c r="G668" t="str">
        <f>VLOOKUP(C668,[1]Orders!$A$5:$W$1043,5,0)</f>
        <v>Sydney</v>
      </c>
      <c r="H668" t="str">
        <f>VLOOKUP(C668,[1]Orders!$A$5:$W$1043,6,0)</f>
        <v>NSW</v>
      </c>
      <c r="I668" t="str">
        <f>VLOOKUP(C668,[1]Orders!$A$5:$W$1043,7,0)</f>
        <v>Home Office</v>
      </c>
      <c r="J668" t="str">
        <f>VLOOKUP(C668,[1]Orders!$A$5:$W$1043,8,0)</f>
        <v>Natasha Song</v>
      </c>
      <c r="K668" t="str">
        <f>VLOOKUP(C668,[1]Orders!$A$5:$W$1043,9,0)</f>
        <v>Not Specified</v>
      </c>
    </row>
    <row r="669" spans="3:11" x14ac:dyDescent="0.25">
      <c r="C669" s="61" t="s">
        <v>761</v>
      </c>
      <c r="D669" t="str">
        <f>VLOOKUP(C669,[1]Orders!$A$5:$W$1043,3,0)</f>
        <v>Matthew Grinstein</v>
      </c>
      <c r="E669">
        <f>VLOOKUP(C669,[1]Orders!$A$5:$W$1043,23,0)</f>
        <v>42.08</v>
      </c>
      <c r="F669" t="str">
        <f>VLOOKUP(C669,[1]Orders!$A$5:$W$1043,5,0)</f>
        <v>Sydney</v>
      </c>
      <c r="G669" t="str">
        <f>VLOOKUP(C669,[1]Orders!$A$5:$W$1043,5,0)</f>
        <v>Sydney</v>
      </c>
      <c r="H669" t="str">
        <f>VLOOKUP(C669,[1]Orders!$A$5:$W$1043,6,0)</f>
        <v>NSW</v>
      </c>
      <c r="I669" t="str">
        <f>VLOOKUP(C669,[1]Orders!$A$5:$W$1043,7,0)</f>
        <v>Small Business</v>
      </c>
      <c r="J669" t="str">
        <f>VLOOKUP(C669,[1]Orders!$A$5:$W$1043,8,0)</f>
        <v>Charlie Bui</v>
      </c>
      <c r="K669" t="str">
        <f>VLOOKUP(C669,[1]Orders!$A$5:$W$1043,9,0)</f>
        <v>Medium</v>
      </c>
    </row>
    <row r="670" spans="3:11" x14ac:dyDescent="0.25">
      <c r="C670" s="61" t="s">
        <v>762</v>
      </c>
      <c r="D670" t="str">
        <f>VLOOKUP(C670,[1]Orders!$A$5:$W$1043,3,0)</f>
        <v>Bryan Spruell</v>
      </c>
      <c r="E670">
        <f>VLOOKUP(C670,[1]Orders!$A$5:$W$1043,23,0)</f>
        <v>29.34</v>
      </c>
      <c r="F670" t="str">
        <f>VLOOKUP(C670,[1]Orders!$A$5:$W$1043,5,0)</f>
        <v>Sydney</v>
      </c>
      <c r="G670" t="str">
        <f>VLOOKUP(C670,[1]Orders!$A$5:$W$1043,5,0)</f>
        <v>Sydney</v>
      </c>
      <c r="H670" t="str">
        <f>VLOOKUP(C670,[1]Orders!$A$5:$W$1043,6,0)</f>
        <v>NSW</v>
      </c>
      <c r="I670" t="str">
        <f>VLOOKUP(C670,[1]Orders!$A$5:$W$1043,7,0)</f>
        <v>Home Office</v>
      </c>
      <c r="J670" t="str">
        <f>VLOOKUP(C670,[1]Orders!$A$5:$W$1043,8,0)</f>
        <v>Charlie Bui</v>
      </c>
      <c r="K670" t="str">
        <f>VLOOKUP(C670,[1]Orders!$A$5:$W$1043,9,0)</f>
        <v>Low</v>
      </c>
    </row>
    <row r="671" spans="3:11" x14ac:dyDescent="0.25">
      <c r="C671" s="61" t="s">
        <v>763</v>
      </c>
      <c r="D671" t="str">
        <f>VLOOKUP(C671,[1]Orders!$A$5:$W$1043,3,0)</f>
        <v>Raymond Fair</v>
      </c>
      <c r="E671">
        <f>VLOOKUP(C671,[1]Orders!$A$5:$W$1043,23,0)</f>
        <v>261.53999999999996</v>
      </c>
      <c r="F671" t="str">
        <f>VLOOKUP(C671,[1]Orders!$A$5:$W$1043,5,0)</f>
        <v>Sydney</v>
      </c>
      <c r="G671" t="str">
        <f>VLOOKUP(C671,[1]Orders!$A$5:$W$1043,5,0)</f>
        <v>Sydney</v>
      </c>
      <c r="H671" t="str">
        <f>VLOOKUP(C671,[1]Orders!$A$5:$W$1043,6,0)</f>
        <v>NSW</v>
      </c>
      <c r="I671" t="str">
        <f>VLOOKUP(C671,[1]Orders!$A$5:$W$1043,7,0)</f>
        <v>Small Business</v>
      </c>
      <c r="J671" t="str">
        <f>VLOOKUP(C671,[1]Orders!$A$5:$W$1043,8,0)</f>
        <v>Tina Carlton</v>
      </c>
      <c r="K671" t="str">
        <f>VLOOKUP(C671,[1]Orders!$A$5:$W$1043,9,0)</f>
        <v>Low</v>
      </c>
    </row>
    <row r="672" spans="3:11" x14ac:dyDescent="0.25">
      <c r="C672" s="61" t="s">
        <v>764</v>
      </c>
      <c r="D672" t="str">
        <f>VLOOKUP(C672,[1]Orders!$A$5:$W$1043,3,0)</f>
        <v>Barry Gonzalez</v>
      </c>
      <c r="E672">
        <f>VLOOKUP(C672,[1]Orders!$A$5:$W$1043,23,0)</f>
        <v>211.57</v>
      </c>
      <c r="F672" t="str">
        <f>VLOOKUP(C672,[1]Orders!$A$5:$W$1043,5,0)</f>
        <v>Sydney</v>
      </c>
      <c r="G672" t="str">
        <f>VLOOKUP(C672,[1]Orders!$A$5:$W$1043,5,0)</f>
        <v>Sydney</v>
      </c>
      <c r="H672" t="str">
        <f>VLOOKUP(C672,[1]Orders!$A$5:$W$1043,6,0)</f>
        <v>NSW</v>
      </c>
      <c r="I672" t="str">
        <f>VLOOKUP(C672,[1]Orders!$A$5:$W$1043,7,0)</f>
        <v>Consumer</v>
      </c>
      <c r="J672" t="str">
        <f>VLOOKUP(C672,[1]Orders!$A$5:$W$1043,8,0)</f>
        <v>Phoebe Gour</v>
      </c>
      <c r="K672" t="str">
        <f>VLOOKUP(C672,[1]Orders!$A$5:$W$1043,9,0)</f>
        <v>Low</v>
      </c>
    </row>
    <row r="673" spans="3:11" x14ac:dyDescent="0.25">
      <c r="C673" s="61" t="s">
        <v>765</v>
      </c>
      <c r="D673" t="str">
        <f>VLOOKUP(C673,[1]Orders!$A$5:$W$1043,3,0)</f>
        <v>Mike Kennedy</v>
      </c>
      <c r="E673">
        <f>VLOOKUP(C673,[1]Orders!$A$5:$W$1043,23,0)</f>
        <v>88.42</v>
      </c>
      <c r="F673" t="str">
        <f>VLOOKUP(C673,[1]Orders!$A$5:$W$1043,5,0)</f>
        <v>Melbourne</v>
      </c>
      <c r="G673" t="str">
        <f>VLOOKUP(C673,[1]Orders!$A$5:$W$1043,5,0)</f>
        <v>Melbourne</v>
      </c>
      <c r="H673" t="str">
        <f>VLOOKUP(C673,[1]Orders!$A$5:$W$1043,6,0)</f>
        <v>VIC</v>
      </c>
      <c r="I673" t="str">
        <f>VLOOKUP(C673,[1]Orders!$A$5:$W$1043,7,0)</f>
        <v>Corporate</v>
      </c>
      <c r="J673" t="str">
        <f>VLOOKUP(C673,[1]Orders!$A$5:$W$1043,8,0)</f>
        <v>Connor Betts</v>
      </c>
      <c r="K673" t="str">
        <f>VLOOKUP(C673,[1]Orders!$A$5:$W$1043,9,0)</f>
        <v>Low</v>
      </c>
    </row>
    <row r="674" spans="3:11" x14ac:dyDescent="0.25">
      <c r="C674" s="61" t="s">
        <v>766</v>
      </c>
      <c r="D674" t="str">
        <f>VLOOKUP(C674,[1]Orders!$A$5:$W$1043,3,0)</f>
        <v>Barry Blumstein</v>
      </c>
      <c r="E674">
        <f>VLOOKUP(C674,[1]Orders!$A$5:$W$1043,23,0)</f>
        <v>50.099999999999994</v>
      </c>
      <c r="F674" t="str">
        <f>VLOOKUP(C674,[1]Orders!$A$5:$W$1043,5,0)</f>
        <v>Sydney</v>
      </c>
      <c r="G674" t="str">
        <f>VLOOKUP(C674,[1]Orders!$A$5:$W$1043,5,0)</f>
        <v>Sydney</v>
      </c>
      <c r="H674" t="str">
        <f>VLOOKUP(C674,[1]Orders!$A$5:$W$1043,6,0)</f>
        <v>NSW</v>
      </c>
      <c r="I674" t="str">
        <f>VLOOKUP(C674,[1]Orders!$A$5:$W$1043,7,0)</f>
        <v>Small Business</v>
      </c>
      <c r="J674" t="str">
        <f>VLOOKUP(C674,[1]Orders!$A$5:$W$1043,8,0)</f>
        <v>Samantha Chairs</v>
      </c>
      <c r="K674" t="str">
        <f>VLOOKUP(C674,[1]Orders!$A$5:$W$1043,9,0)</f>
        <v>High</v>
      </c>
    </row>
    <row r="675" spans="3:11" x14ac:dyDescent="0.25">
      <c r="C675" s="61" t="s">
        <v>767</v>
      </c>
      <c r="D675" t="str">
        <f>VLOOKUP(C675,[1]Orders!$A$5:$W$1043,3,0)</f>
        <v>Cynthia Delaney</v>
      </c>
      <c r="E675">
        <f>VLOOKUP(C675,[1]Orders!$A$5:$W$1043,23,0)</f>
        <v>122.81</v>
      </c>
      <c r="F675" t="str">
        <f>VLOOKUP(C675,[1]Orders!$A$5:$W$1043,5,0)</f>
        <v>Sydney</v>
      </c>
      <c r="G675" t="str">
        <f>VLOOKUP(C675,[1]Orders!$A$5:$W$1043,5,0)</f>
        <v>Sydney</v>
      </c>
      <c r="H675" t="str">
        <f>VLOOKUP(C675,[1]Orders!$A$5:$W$1043,6,0)</f>
        <v>NSW</v>
      </c>
      <c r="I675" t="str">
        <f>VLOOKUP(C675,[1]Orders!$A$5:$W$1043,7,0)</f>
        <v>Corporate</v>
      </c>
      <c r="J675" t="str">
        <f>VLOOKUP(C675,[1]Orders!$A$5:$W$1043,8,0)</f>
        <v>Natasha Song</v>
      </c>
      <c r="K675" t="str">
        <f>VLOOKUP(C675,[1]Orders!$A$5:$W$1043,9,0)</f>
        <v>High</v>
      </c>
    </row>
    <row r="676" spans="3:11" x14ac:dyDescent="0.25">
      <c r="C676" s="61" t="s">
        <v>768</v>
      </c>
      <c r="D676" t="str">
        <f>VLOOKUP(C676,[1]Orders!$A$5:$W$1043,3,0)</f>
        <v>Susan Vittorini</v>
      </c>
      <c r="E676">
        <f>VLOOKUP(C676,[1]Orders!$A$5:$W$1043,23,0)</f>
        <v>159.32999999999998</v>
      </c>
      <c r="F676" t="str">
        <f>VLOOKUP(C676,[1]Orders!$A$5:$W$1043,5,0)</f>
        <v>Melbourne</v>
      </c>
      <c r="G676" t="str">
        <f>VLOOKUP(C676,[1]Orders!$A$5:$W$1043,5,0)</f>
        <v>Melbourne</v>
      </c>
      <c r="H676" t="str">
        <f>VLOOKUP(C676,[1]Orders!$A$5:$W$1043,6,0)</f>
        <v>VIC</v>
      </c>
      <c r="I676" t="str">
        <f>VLOOKUP(C676,[1]Orders!$A$5:$W$1043,7,0)</f>
        <v>Corporate</v>
      </c>
      <c r="J676" t="str">
        <f>VLOOKUP(C676,[1]Orders!$A$5:$W$1043,8,0)</f>
        <v>Yvette Biti</v>
      </c>
      <c r="K676" t="str">
        <f>VLOOKUP(C676,[1]Orders!$A$5:$W$1043,9,0)</f>
        <v>High</v>
      </c>
    </row>
    <row r="677" spans="3:11" x14ac:dyDescent="0.25">
      <c r="C677" s="61" t="s">
        <v>769</v>
      </c>
      <c r="D677" t="str">
        <f>VLOOKUP(C677,[1]Orders!$A$5:$W$1043,3,0)</f>
        <v>Laura Armstrong</v>
      </c>
      <c r="E677">
        <f>VLOOKUP(C677,[1]Orders!$A$5:$W$1043,23,0)</f>
        <v>240.26999999999998</v>
      </c>
      <c r="F677" t="str">
        <f>VLOOKUP(C677,[1]Orders!$A$5:$W$1043,5,0)</f>
        <v>Melbourne</v>
      </c>
      <c r="G677" t="str">
        <f>VLOOKUP(C677,[1]Orders!$A$5:$W$1043,5,0)</f>
        <v>Melbourne</v>
      </c>
      <c r="H677" t="str">
        <f>VLOOKUP(C677,[1]Orders!$A$5:$W$1043,6,0)</f>
        <v>VIC</v>
      </c>
      <c r="I677" t="str">
        <f>VLOOKUP(C677,[1]Orders!$A$5:$W$1043,7,0)</f>
        <v>Small Business</v>
      </c>
      <c r="J677" t="str">
        <f>VLOOKUP(C677,[1]Orders!$A$5:$W$1043,8,0)</f>
        <v>Connor Betts</v>
      </c>
      <c r="K677" t="str">
        <f>VLOOKUP(C677,[1]Orders!$A$5:$W$1043,9,0)</f>
        <v>Medium</v>
      </c>
    </row>
    <row r="678" spans="3:11" x14ac:dyDescent="0.25">
      <c r="C678" s="61" t="s">
        <v>770</v>
      </c>
      <c r="D678" t="str">
        <f>VLOOKUP(C678,[1]Orders!$A$5:$W$1043,3,0)</f>
        <v>Neil French</v>
      </c>
      <c r="E678">
        <f>VLOOKUP(C678,[1]Orders!$A$5:$W$1043,23,0)</f>
        <v>245.98</v>
      </c>
      <c r="F678" t="str">
        <f>VLOOKUP(C678,[1]Orders!$A$5:$W$1043,5,0)</f>
        <v>Sydney</v>
      </c>
      <c r="G678" t="str">
        <f>VLOOKUP(C678,[1]Orders!$A$5:$W$1043,5,0)</f>
        <v>Sydney</v>
      </c>
      <c r="H678" t="str">
        <f>VLOOKUP(C678,[1]Orders!$A$5:$W$1043,6,0)</f>
        <v>NSW</v>
      </c>
      <c r="I678" t="str">
        <f>VLOOKUP(C678,[1]Orders!$A$5:$W$1043,7,0)</f>
        <v>Consumer</v>
      </c>
      <c r="J678" t="str">
        <f>VLOOKUP(C678,[1]Orders!$A$5:$W$1043,8,0)</f>
        <v>Aanya Zhang</v>
      </c>
      <c r="K678" t="str">
        <f>VLOOKUP(C678,[1]Orders!$A$5:$W$1043,9,0)</f>
        <v>Critical</v>
      </c>
    </row>
    <row r="679" spans="3:11" x14ac:dyDescent="0.25">
      <c r="C679" s="61" t="s">
        <v>771</v>
      </c>
      <c r="D679" t="str">
        <f>VLOOKUP(C679,[1]Orders!$A$5:$W$1043,3,0)</f>
        <v>Magdelene Morse</v>
      </c>
      <c r="E679">
        <f>VLOOKUP(C679,[1]Orders!$A$5:$W$1043,23,0)</f>
        <v>2138.6899999999996</v>
      </c>
      <c r="F679" t="str">
        <f>VLOOKUP(C679,[1]Orders!$A$5:$W$1043,5,0)</f>
        <v>Sydney</v>
      </c>
      <c r="G679" t="str">
        <f>VLOOKUP(C679,[1]Orders!$A$5:$W$1043,5,0)</f>
        <v>Sydney</v>
      </c>
      <c r="H679" t="str">
        <f>VLOOKUP(C679,[1]Orders!$A$5:$W$1043,6,0)</f>
        <v>NSW</v>
      </c>
      <c r="I679" t="str">
        <f>VLOOKUP(C679,[1]Orders!$A$5:$W$1043,7,0)</f>
        <v>Home Office</v>
      </c>
      <c r="J679" t="str">
        <f>VLOOKUP(C679,[1]Orders!$A$5:$W$1043,8,0)</f>
        <v>Tina Carlton</v>
      </c>
      <c r="K679" t="str">
        <f>VLOOKUP(C679,[1]Orders!$A$5:$W$1043,9,0)</f>
        <v>Low</v>
      </c>
    </row>
    <row r="680" spans="3:11" x14ac:dyDescent="0.25">
      <c r="C680" s="61" t="s">
        <v>772</v>
      </c>
      <c r="D680" t="str">
        <f>VLOOKUP(C680,[1]Orders!$A$5:$W$1043,3,0)</f>
        <v>Frank Atkinson</v>
      </c>
      <c r="E680">
        <f>VLOOKUP(C680,[1]Orders!$A$5:$W$1043,23,0)</f>
        <v>7.22</v>
      </c>
      <c r="F680" t="str">
        <f>VLOOKUP(C680,[1]Orders!$A$5:$W$1043,5,0)</f>
        <v>Sydney</v>
      </c>
      <c r="G680" t="str">
        <f>VLOOKUP(C680,[1]Orders!$A$5:$W$1043,5,0)</f>
        <v>Sydney</v>
      </c>
      <c r="H680" t="str">
        <f>VLOOKUP(C680,[1]Orders!$A$5:$W$1043,6,0)</f>
        <v>NSW</v>
      </c>
      <c r="I680" t="str">
        <f>VLOOKUP(C680,[1]Orders!$A$5:$W$1043,7,0)</f>
        <v>Corporate</v>
      </c>
      <c r="J680" t="str">
        <f>VLOOKUP(C680,[1]Orders!$A$5:$W$1043,8,0)</f>
        <v>Tina Carlton</v>
      </c>
      <c r="K680" t="str">
        <f>VLOOKUP(C680,[1]Orders!$A$5:$W$1043,9,0)</f>
        <v>Not Specified</v>
      </c>
    </row>
    <row r="681" spans="3:11" x14ac:dyDescent="0.25">
      <c r="C681" s="61" t="s">
        <v>773</v>
      </c>
      <c r="D681" t="str">
        <f>VLOOKUP(C681,[1]Orders!$A$5:$W$1043,3,0)</f>
        <v>Scott Cohen</v>
      </c>
      <c r="E681">
        <f>VLOOKUP(C681,[1]Orders!$A$5:$W$1043,23,0)</f>
        <v>16.479999999999997</v>
      </c>
      <c r="F681" t="str">
        <f>VLOOKUP(C681,[1]Orders!$A$5:$W$1043,5,0)</f>
        <v>Melbourne</v>
      </c>
      <c r="G681" t="str">
        <f>VLOOKUP(C681,[1]Orders!$A$5:$W$1043,5,0)</f>
        <v>Melbourne</v>
      </c>
      <c r="H681" t="str">
        <f>VLOOKUP(C681,[1]Orders!$A$5:$W$1043,6,0)</f>
        <v>VIC</v>
      </c>
      <c r="I681" t="str">
        <f>VLOOKUP(C681,[1]Orders!$A$5:$W$1043,7,0)</f>
        <v>Consumer</v>
      </c>
      <c r="J681" t="str">
        <f>VLOOKUP(C681,[1]Orders!$A$5:$W$1043,8,0)</f>
        <v>Connor Betts</v>
      </c>
      <c r="K681" t="str">
        <f>VLOOKUP(C681,[1]Orders!$A$5:$W$1043,9,0)</f>
        <v>Critical</v>
      </c>
    </row>
    <row r="682" spans="3:11" x14ac:dyDescent="0.25">
      <c r="C682" s="61" t="s">
        <v>774</v>
      </c>
      <c r="D682" t="str">
        <f>VLOOKUP(C682,[1]Orders!$A$5:$W$1043,3,0)</f>
        <v>Christopher Conant</v>
      </c>
      <c r="E682">
        <f>VLOOKUP(C682,[1]Orders!$A$5:$W$1043,23,0)</f>
        <v>46.34</v>
      </c>
      <c r="F682" t="str">
        <f>VLOOKUP(C682,[1]Orders!$A$5:$W$1043,5,0)</f>
        <v>Melbourne</v>
      </c>
      <c r="G682" t="str">
        <f>VLOOKUP(C682,[1]Orders!$A$5:$W$1043,5,0)</f>
        <v>Melbourne</v>
      </c>
      <c r="H682" t="str">
        <f>VLOOKUP(C682,[1]Orders!$A$5:$W$1043,6,0)</f>
        <v>VIC</v>
      </c>
      <c r="I682" t="str">
        <f>VLOOKUP(C682,[1]Orders!$A$5:$W$1043,7,0)</f>
        <v>Home Office</v>
      </c>
      <c r="J682" t="str">
        <f>VLOOKUP(C682,[1]Orders!$A$5:$W$1043,8,0)</f>
        <v>Connor Betts</v>
      </c>
      <c r="K682" t="str">
        <f>VLOOKUP(C682,[1]Orders!$A$5:$W$1043,9,0)</f>
        <v>High</v>
      </c>
    </row>
    <row r="683" spans="3:11" x14ac:dyDescent="0.25">
      <c r="C683" s="61" t="s">
        <v>775</v>
      </c>
      <c r="D683" t="str">
        <f>VLOOKUP(C683,[1]Orders!$A$5:$W$1043,3,0)</f>
        <v>Fred Chung</v>
      </c>
      <c r="E683">
        <f>VLOOKUP(C683,[1]Orders!$A$5:$W$1043,23,0)</f>
        <v>103.61999999999999</v>
      </c>
      <c r="F683" t="str">
        <f>VLOOKUP(C683,[1]Orders!$A$5:$W$1043,5,0)</f>
        <v>Sydney</v>
      </c>
      <c r="G683" t="str">
        <f>VLOOKUP(C683,[1]Orders!$A$5:$W$1043,5,0)</f>
        <v>Sydney</v>
      </c>
      <c r="H683" t="str">
        <f>VLOOKUP(C683,[1]Orders!$A$5:$W$1043,6,0)</f>
        <v>NSW</v>
      </c>
      <c r="I683" t="str">
        <f>VLOOKUP(C683,[1]Orders!$A$5:$W$1043,7,0)</f>
        <v>Corporate</v>
      </c>
      <c r="J683" t="str">
        <f>VLOOKUP(C683,[1]Orders!$A$5:$W$1043,8,0)</f>
        <v>Samantha Chairs</v>
      </c>
      <c r="K683" t="str">
        <f>VLOOKUP(C683,[1]Orders!$A$5:$W$1043,9,0)</f>
        <v>High</v>
      </c>
    </row>
    <row r="684" spans="3:11" x14ac:dyDescent="0.25">
      <c r="C684" s="61" t="s">
        <v>776</v>
      </c>
      <c r="D684" t="str">
        <f>VLOOKUP(C684,[1]Orders!$A$5:$W$1043,3,0)</f>
        <v>Greg Tran</v>
      </c>
      <c r="E684">
        <f>VLOOKUP(C684,[1]Orders!$A$5:$W$1043,23,0)</f>
        <v>53.99</v>
      </c>
      <c r="F684" t="str">
        <f>VLOOKUP(C684,[1]Orders!$A$5:$W$1043,5,0)</f>
        <v>Melbourne</v>
      </c>
      <c r="G684" t="str">
        <f>VLOOKUP(C684,[1]Orders!$A$5:$W$1043,5,0)</f>
        <v>Melbourne</v>
      </c>
      <c r="H684" t="str">
        <f>VLOOKUP(C684,[1]Orders!$A$5:$W$1043,6,0)</f>
        <v>VIC</v>
      </c>
      <c r="I684" t="str">
        <f>VLOOKUP(C684,[1]Orders!$A$5:$W$1043,7,0)</f>
        <v>Home Office</v>
      </c>
      <c r="J684" t="str">
        <f>VLOOKUP(C684,[1]Orders!$A$5:$W$1043,8,0)</f>
        <v>Yvette Biti</v>
      </c>
      <c r="K684" t="str">
        <f>VLOOKUP(C684,[1]Orders!$A$5:$W$1043,9,0)</f>
        <v>Critical</v>
      </c>
    </row>
    <row r="685" spans="3:11" x14ac:dyDescent="0.25">
      <c r="C685" s="61" t="s">
        <v>777</v>
      </c>
      <c r="D685" t="str">
        <f>VLOOKUP(C685,[1]Orders!$A$5:$W$1043,3,0)</f>
        <v>Jack OBriant</v>
      </c>
      <c r="E685">
        <f>VLOOKUP(C685,[1]Orders!$A$5:$W$1043,23,0)</f>
        <v>156.65</v>
      </c>
      <c r="F685" t="str">
        <f>VLOOKUP(C685,[1]Orders!$A$5:$W$1043,5,0)</f>
        <v>Sydney</v>
      </c>
      <c r="G685" t="str">
        <f>VLOOKUP(C685,[1]Orders!$A$5:$W$1043,5,0)</f>
        <v>Sydney</v>
      </c>
      <c r="H685" t="str">
        <f>VLOOKUP(C685,[1]Orders!$A$5:$W$1043,6,0)</f>
        <v>NSW</v>
      </c>
      <c r="I685" t="str">
        <f>VLOOKUP(C685,[1]Orders!$A$5:$W$1043,7,0)</f>
        <v>Consumer</v>
      </c>
      <c r="J685" t="str">
        <f>VLOOKUP(C685,[1]Orders!$A$5:$W$1043,8,0)</f>
        <v>Mihael Khan</v>
      </c>
      <c r="K685" t="str">
        <f>VLOOKUP(C685,[1]Orders!$A$5:$W$1043,9,0)</f>
        <v>Medium</v>
      </c>
    </row>
    <row r="686" spans="3:11" x14ac:dyDescent="0.25">
      <c r="C686" s="61" t="s">
        <v>778</v>
      </c>
      <c r="D686" t="str">
        <f>VLOOKUP(C686,[1]Orders!$A$5:$W$1043,3,0)</f>
        <v>Carl Jackson</v>
      </c>
      <c r="E686">
        <f>VLOOKUP(C686,[1]Orders!$A$5:$W$1043,23,0)</f>
        <v>95.289999999999992</v>
      </c>
      <c r="F686" t="str">
        <f>VLOOKUP(C686,[1]Orders!$A$5:$W$1043,5,0)</f>
        <v>Sydney</v>
      </c>
      <c r="G686" t="str">
        <f>VLOOKUP(C686,[1]Orders!$A$5:$W$1043,5,0)</f>
        <v>Sydney</v>
      </c>
      <c r="H686" t="str">
        <f>VLOOKUP(C686,[1]Orders!$A$5:$W$1043,6,0)</f>
        <v>NSW</v>
      </c>
      <c r="I686" t="str">
        <f>VLOOKUP(C686,[1]Orders!$A$5:$W$1043,7,0)</f>
        <v>Corporate</v>
      </c>
      <c r="J686" t="str">
        <f>VLOOKUP(C686,[1]Orders!$A$5:$W$1043,8,0)</f>
        <v>Samantha Chairs</v>
      </c>
      <c r="K686" t="str">
        <f>VLOOKUP(C686,[1]Orders!$A$5:$W$1043,9,0)</f>
        <v>High</v>
      </c>
    </row>
    <row r="687" spans="3:11" x14ac:dyDescent="0.25">
      <c r="C687" s="61" t="s">
        <v>779</v>
      </c>
      <c r="D687" t="str">
        <f>VLOOKUP(C687,[1]Orders!$A$5:$W$1043,3,0)</f>
        <v>Jack Lebron</v>
      </c>
      <c r="E687">
        <f>VLOOKUP(C687,[1]Orders!$A$5:$W$1043,23,0)</f>
        <v>106.88</v>
      </c>
      <c r="F687" t="str">
        <f>VLOOKUP(C687,[1]Orders!$A$5:$W$1043,5,0)</f>
        <v>Melbourne</v>
      </c>
      <c r="G687" t="str">
        <f>VLOOKUP(C687,[1]Orders!$A$5:$W$1043,5,0)</f>
        <v>Melbourne</v>
      </c>
      <c r="H687" t="str">
        <f>VLOOKUP(C687,[1]Orders!$A$5:$W$1043,6,0)</f>
        <v>VIC</v>
      </c>
      <c r="I687" t="str">
        <f>VLOOKUP(C687,[1]Orders!$A$5:$W$1043,7,0)</f>
        <v>Corporate</v>
      </c>
      <c r="J687" t="str">
        <f>VLOOKUP(C687,[1]Orders!$A$5:$W$1043,8,0)</f>
        <v>Connor Betts</v>
      </c>
      <c r="K687" t="str">
        <f>VLOOKUP(C687,[1]Orders!$A$5:$W$1043,9,0)</f>
        <v>High</v>
      </c>
    </row>
    <row r="688" spans="3:11" x14ac:dyDescent="0.25">
      <c r="C688" s="61" t="s">
        <v>780</v>
      </c>
      <c r="D688" t="str">
        <f>VLOOKUP(C688,[1]Orders!$A$5:$W$1043,3,0)</f>
        <v>Toby Grace</v>
      </c>
      <c r="E688">
        <f>VLOOKUP(C688,[1]Orders!$A$5:$W$1043,23,0)</f>
        <v>1377.18</v>
      </c>
      <c r="F688" t="str">
        <f>VLOOKUP(C688,[1]Orders!$A$5:$W$1043,5,0)</f>
        <v>Sydney</v>
      </c>
      <c r="G688" t="str">
        <f>VLOOKUP(C688,[1]Orders!$A$5:$W$1043,5,0)</f>
        <v>Sydney</v>
      </c>
      <c r="H688" t="str">
        <f>VLOOKUP(C688,[1]Orders!$A$5:$W$1043,6,0)</f>
        <v>NSW</v>
      </c>
      <c r="I688" t="str">
        <f>VLOOKUP(C688,[1]Orders!$A$5:$W$1043,7,0)</f>
        <v>Home Office</v>
      </c>
      <c r="J688" t="str">
        <f>VLOOKUP(C688,[1]Orders!$A$5:$W$1043,8,0)</f>
        <v>Mihael Khan</v>
      </c>
      <c r="K688" t="str">
        <f>VLOOKUP(C688,[1]Orders!$A$5:$W$1043,9,0)</f>
        <v>Not Specified</v>
      </c>
    </row>
    <row r="689" spans="3:11" x14ac:dyDescent="0.25">
      <c r="C689" s="61" t="s">
        <v>781</v>
      </c>
      <c r="D689" t="str">
        <f>VLOOKUP(C689,[1]Orders!$A$5:$W$1043,3,0)</f>
        <v>Lycoris Saunders</v>
      </c>
      <c r="E689">
        <f>VLOOKUP(C689,[1]Orders!$A$5:$W$1043,23,0)</f>
        <v>177.52</v>
      </c>
      <c r="F689" t="str">
        <f>VLOOKUP(C689,[1]Orders!$A$5:$W$1043,5,0)</f>
        <v>Sydney</v>
      </c>
      <c r="G689" t="str">
        <f>VLOOKUP(C689,[1]Orders!$A$5:$W$1043,5,0)</f>
        <v>Sydney</v>
      </c>
      <c r="H689" t="str">
        <f>VLOOKUP(C689,[1]Orders!$A$5:$W$1043,6,0)</f>
        <v>NSW</v>
      </c>
      <c r="I689" t="str">
        <f>VLOOKUP(C689,[1]Orders!$A$5:$W$1043,7,0)</f>
        <v>Home Office</v>
      </c>
      <c r="J689" t="str">
        <f>VLOOKUP(C689,[1]Orders!$A$5:$W$1043,8,0)</f>
        <v>Samantha Chairs</v>
      </c>
      <c r="K689" t="str">
        <f>VLOOKUP(C689,[1]Orders!$A$5:$W$1043,9,0)</f>
        <v>High</v>
      </c>
    </row>
    <row r="690" spans="3:11" x14ac:dyDescent="0.25">
      <c r="C690" s="61" t="s">
        <v>782</v>
      </c>
      <c r="D690" t="str">
        <f>VLOOKUP(C690,[1]Orders!$A$5:$W$1043,3,0)</f>
        <v>Julie Prescott</v>
      </c>
      <c r="E690">
        <f>VLOOKUP(C690,[1]Orders!$A$5:$W$1043,23,0)</f>
        <v>815.18</v>
      </c>
      <c r="F690" t="str">
        <f>VLOOKUP(C690,[1]Orders!$A$5:$W$1043,5,0)</f>
        <v>Sydney</v>
      </c>
      <c r="G690" t="str">
        <f>VLOOKUP(C690,[1]Orders!$A$5:$W$1043,5,0)</f>
        <v>Sydney</v>
      </c>
      <c r="H690" t="str">
        <f>VLOOKUP(C690,[1]Orders!$A$5:$W$1043,6,0)</f>
        <v>NSW</v>
      </c>
      <c r="I690" t="str">
        <f>VLOOKUP(C690,[1]Orders!$A$5:$W$1043,7,0)</f>
        <v>Home Office</v>
      </c>
      <c r="J690" t="str">
        <f>VLOOKUP(C690,[1]Orders!$A$5:$W$1043,8,0)</f>
        <v>Natasha Song</v>
      </c>
      <c r="K690" t="str">
        <f>VLOOKUP(C690,[1]Orders!$A$5:$W$1043,9,0)</f>
        <v>Medium</v>
      </c>
    </row>
    <row r="691" spans="3:11" x14ac:dyDescent="0.25">
      <c r="C691" s="61" t="s">
        <v>783</v>
      </c>
      <c r="D691" t="str">
        <f>VLOOKUP(C691,[1]Orders!$A$5:$W$1043,3,0)</f>
        <v>Karl Brown</v>
      </c>
      <c r="E691">
        <f>VLOOKUP(C691,[1]Orders!$A$5:$W$1043,23,0)</f>
        <v>1788.6400000000003</v>
      </c>
      <c r="F691" t="str">
        <f>VLOOKUP(C691,[1]Orders!$A$5:$W$1043,5,0)</f>
        <v>Sydney</v>
      </c>
      <c r="G691" t="str">
        <f>VLOOKUP(C691,[1]Orders!$A$5:$W$1043,5,0)</f>
        <v>Sydney</v>
      </c>
      <c r="H691" t="str">
        <f>VLOOKUP(C691,[1]Orders!$A$5:$W$1043,6,0)</f>
        <v>NSW</v>
      </c>
      <c r="I691" t="str">
        <f>VLOOKUP(C691,[1]Orders!$A$5:$W$1043,7,0)</f>
        <v>Home Office</v>
      </c>
      <c r="J691" t="str">
        <f>VLOOKUP(C691,[1]Orders!$A$5:$W$1043,8,0)</f>
        <v>Tina Carlton</v>
      </c>
      <c r="K691" t="str">
        <f>VLOOKUP(C691,[1]Orders!$A$5:$W$1043,9,0)</f>
        <v>Critical</v>
      </c>
    </row>
    <row r="692" spans="3:11" x14ac:dyDescent="0.25">
      <c r="C692" s="61" t="s">
        <v>784</v>
      </c>
      <c r="D692" t="str">
        <f>VLOOKUP(C692,[1]Orders!$A$5:$W$1043,3,0)</f>
        <v>Nora Pelletier</v>
      </c>
      <c r="E692">
        <f>VLOOKUP(C692,[1]Orders!$A$5:$W$1043,23,0)</f>
        <v>13074.2</v>
      </c>
      <c r="F692" t="str">
        <f>VLOOKUP(C692,[1]Orders!$A$5:$W$1043,5,0)</f>
        <v>Sydney</v>
      </c>
      <c r="G692" t="str">
        <f>VLOOKUP(C692,[1]Orders!$A$5:$W$1043,5,0)</f>
        <v>Sydney</v>
      </c>
      <c r="H692" t="str">
        <f>VLOOKUP(C692,[1]Orders!$A$5:$W$1043,6,0)</f>
        <v>NSW</v>
      </c>
      <c r="I692" t="str">
        <f>VLOOKUP(C692,[1]Orders!$A$5:$W$1043,7,0)</f>
        <v>Home Office</v>
      </c>
      <c r="J692" t="str">
        <f>VLOOKUP(C692,[1]Orders!$A$5:$W$1043,8,0)</f>
        <v>Nicholas Fernandes</v>
      </c>
      <c r="K692" t="str">
        <f>VLOOKUP(C692,[1]Orders!$A$5:$W$1043,9,0)</f>
        <v>Not Specified</v>
      </c>
    </row>
    <row r="693" spans="3:11" x14ac:dyDescent="0.25">
      <c r="C693" s="61" t="s">
        <v>785</v>
      </c>
      <c r="D693" t="str">
        <f>VLOOKUP(C693,[1]Orders!$A$5:$W$1043,3,0)</f>
        <v>Tracy Collins</v>
      </c>
      <c r="E693">
        <f>VLOOKUP(C693,[1]Orders!$A$5:$W$1043,23,0)</f>
        <v>884.81999999999994</v>
      </c>
      <c r="F693" t="str">
        <f>VLOOKUP(C693,[1]Orders!$A$5:$W$1043,5,0)</f>
        <v>Melbourne</v>
      </c>
      <c r="G693" t="str">
        <f>VLOOKUP(C693,[1]Orders!$A$5:$W$1043,5,0)</f>
        <v>Melbourne</v>
      </c>
      <c r="H693" t="str">
        <f>VLOOKUP(C693,[1]Orders!$A$5:$W$1043,6,0)</f>
        <v>VIC</v>
      </c>
      <c r="I693" t="str">
        <f>VLOOKUP(C693,[1]Orders!$A$5:$W$1043,7,0)</f>
        <v>Consumer</v>
      </c>
      <c r="J693" t="str">
        <f>VLOOKUP(C693,[1]Orders!$A$5:$W$1043,8,0)</f>
        <v>Connor Betts</v>
      </c>
      <c r="K693" t="str">
        <f>VLOOKUP(C693,[1]Orders!$A$5:$W$1043,9,0)</f>
        <v>Not Specified</v>
      </c>
    </row>
    <row r="694" spans="3:11" x14ac:dyDescent="0.25">
      <c r="C694" s="61" t="s">
        <v>786</v>
      </c>
      <c r="D694" t="str">
        <f>VLOOKUP(C694,[1]Orders!$A$5:$W$1043,3,0)</f>
        <v>Dave Hallsten</v>
      </c>
      <c r="E694">
        <f>VLOOKUP(C694,[1]Orders!$A$5:$W$1043,23,0)</f>
        <v>42.99</v>
      </c>
      <c r="F694" t="str">
        <f>VLOOKUP(C694,[1]Orders!$A$5:$W$1043,5,0)</f>
        <v>Sydney</v>
      </c>
      <c r="G694" t="str">
        <f>VLOOKUP(C694,[1]Orders!$A$5:$W$1043,5,0)</f>
        <v>Sydney</v>
      </c>
      <c r="H694" t="str">
        <f>VLOOKUP(C694,[1]Orders!$A$5:$W$1043,6,0)</f>
        <v>NSW</v>
      </c>
      <c r="I694" t="str">
        <f>VLOOKUP(C694,[1]Orders!$A$5:$W$1043,7,0)</f>
        <v>Corporate</v>
      </c>
      <c r="J694" t="str">
        <f>VLOOKUP(C694,[1]Orders!$A$5:$W$1043,8,0)</f>
        <v>Charlie Bui</v>
      </c>
      <c r="K694" t="str">
        <f>VLOOKUP(C694,[1]Orders!$A$5:$W$1043,9,0)</f>
        <v>Low</v>
      </c>
    </row>
    <row r="695" spans="3:11" x14ac:dyDescent="0.25">
      <c r="C695" s="61" t="s">
        <v>787</v>
      </c>
      <c r="D695" t="str">
        <f>VLOOKUP(C695,[1]Orders!$A$5:$W$1043,3,0)</f>
        <v>Astrea Jones</v>
      </c>
      <c r="E695">
        <f>VLOOKUP(C695,[1]Orders!$A$5:$W$1043,23,0)</f>
        <v>66.56</v>
      </c>
      <c r="F695" t="str">
        <f>VLOOKUP(C695,[1]Orders!$A$5:$W$1043,5,0)</f>
        <v>Sydney</v>
      </c>
      <c r="G695" t="str">
        <f>VLOOKUP(C695,[1]Orders!$A$5:$W$1043,5,0)</f>
        <v>Sydney</v>
      </c>
      <c r="H695" t="str">
        <f>VLOOKUP(C695,[1]Orders!$A$5:$W$1043,6,0)</f>
        <v>NSW</v>
      </c>
      <c r="I695" t="str">
        <f>VLOOKUP(C695,[1]Orders!$A$5:$W$1043,7,0)</f>
        <v>Corporate</v>
      </c>
      <c r="J695" t="str">
        <f>VLOOKUP(C695,[1]Orders!$A$5:$W$1043,8,0)</f>
        <v>Leighton Forrest</v>
      </c>
      <c r="K695" t="str">
        <f>VLOOKUP(C695,[1]Orders!$A$5:$W$1043,9,0)</f>
        <v>Critical</v>
      </c>
    </row>
    <row r="696" spans="3:11" x14ac:dyDescent="0.25">
      <c r="C696" s="61" t="s">
        <v>788</v>
      </c>
      <c r="D696" t="str">
        <f>VLOOKUP(C696,[1]Orders!$A$5:$W$1043,3,0)</f>
        <v>Tanja Norvell</v>
      </c>
      <c r="E696">
        <f>VLOOKUP(C696,[1]Orders!$A$5:$W$1043,23,0)</f>
        <v>135.15</v>
      </c>
      <c r="F696" t="str">
        <f>VLOOKUP(C696,[1]Orders!$A$5:$W$1043,5,0)</f>
        <v>Melbourne</v>
      </c>
      <c r="G696" t="str">
        <f>VLOOKUP(C696,[1]Orders!$A$5:$W$1043,5,0)</f>
        <v>Melbourne</v>
      </c>
      <c r="H696" t="str">
        <f>VLOOKUP(C696,[1]Orders!$A$5:$W$1043,6,0)</f>
        <v>VIC</v>
      </c>
      <c r="I696" t="str">
        <f>VLOOKUP(C696,[1]Orders!$A$5:$W$1043,7,0)</f>
        <v>Corporate</v>
      </c>
      <c r="J696" t="str">
        <f>VLOOKUP(C696,[1]Orders!$A$5:$W$1043,8,0)</f>
        <v>Yvette Biti</v>
      </c>
      <c r="K696" t="str">
        <f>VLOOKUP(C696,[1]Orders!$A$5:$W$1043,9,0)</f>
        <v>High</v>
      </c>
    </row>
    <row r="697" spans="3:11" x14ac:dyDescent="0.25">
      <c r="C697" s="61" t="s">
        <v>789</v>
      </c>
      <c r="D697" t="str">
        <f>VLOOKUP(C697,[1]Orders!$A$5:$W$1043,3,0)</f>
        <v>Raymond Book</v>
      </c>
      <c r="E697">
        <f>VLOOKUP(C697,[1]Orders!$A$5:$W$1043,23,0)</f>
        <v>27623.960000000003</v>
      </c>
      <c r="F697" t="str">
        <f>VLOOKUP(C697,[1]Orders!$A$5:$W$1043,5,0)</f>
        <v>Sydney</v>
      </c>
      <c r="G697" t="str">
        <f>VLOOKUP(C697,[1]Orders!$A$5:$W$1043,5,0)</f>
        <v>Sydney</v>
      </c>
      <c r="H697" t="str">
        <f>VLOOKUP(C697,[1]Orders!$A$5:$W$1043,6,0)</f>
        <v>NSW</v>
      </c>
      <c r="I697" t="str">
        <f>VLOOKUP(C697,[1]Orders!$A$5:$W$1043,7,0)</f>
        <v>Consumer</v>
      </c>
      <c r="J697" t="str">
        <f>VLOOKUP(C697,[1]Orders!$A$5:$W$1043,8,0)</f>
        <v>Mihael Khan</v>
      </c>
      <c r="K697" t="str">
        <f>VLOOKUP(C697,[1]Orders!$A$5:$W$1043,9,0)</f>
        <v>High</v>
      </c>
    </row>
    <row r="698" spans="3:11" x14ac:dyDescent="0.25">
      <c r="C698" s="61" t="s">
        <v>790</v>
      </c>
      <c r="D698" t="str">
        <f>VLOOKUP(C698,[1]Orders!$A$5:$W$1043,3,0)</f>
        <v>Christine Sundaresam</v>
      </c>
      <c r="E698">
        <f>VLOOKUP(C698,[1]Orders!$A$5:$W$1043,23,0)</f>
        <v>115.42999999999999</v>
      </c>
      <c r="F698" t="str">
        <f>VLOOKUP(C698,[1]Orders!$A$5:$W$1043,5,0)</f>
        <v>Sydney</v>
      </c>
      <c r="G698" t="str">
        <f>VLOOKUP(C698,[1]Orders!$A$5:$W$1043,5,0)</f>
        <v>Sydney</v>
      </c>
      <c r="H698" t="str">
        <f>VLOOKUP(C698,[1]Orders!$A$5:$W$1043,6,0)</f>
        <v>NSW</v>
      </c>
      <c r="I698" t="str">
        <f>VLOOKUP(C698,[1]Orders!$A$5:$W$1043,7,0)</f>
        <v>Small Business</v>
      </c>
      <c r="J698" t="str">
        <f>VLOOKUP(C698,[1]Orders!$A$5:$W$1043,8,0)</f>
        <v>Preston Senome</v>
      </c>
      <c r="K698" t="str">
        <f>VLOOKUP(C698,[1]Orders!$A$5:$W$1043,9,0)</f>
        <v>High</v>
      </c>
    </row>
    <row r="699" spans="3:11" x14ac:dyDescent="0.25">
      <c r="C699" s="61" t="s">
        <v>791</v>
      </c>
      <c r="D699" t="str">
        <f>VLOOKUP(C699,[1]Orders!$A$5:$W$1043,3,0)</f>
        <v>Steve Carroll</v>
      </c>
      <c r="E699">
        <f>VLOOKUP(C699,[1]Orders!$A$5:$W$1043,23,0)</f>
        <v>115.82</v>
      </c>
      <c r="F699" t="str">
        <f>VLOOKUP(C699,[1]Orders!$A$5:$W$1043,5,0)</f>
        <v>Sydney</v>
      </c>
      <c r="G699" t="str">
        <f>VLOOKUP(C699,[1]Orders!$A$5:$W$1043,5,0)</f>
        <v>Sydney</v>
      </c>
      <c r="H699" t="str">
        <f>VLOOKUP(C699,[1]Orders!$A$5:$W$1043,6,0)</f>
        <v>NSW</v>
      </c>
      <c r="I699" t="str">
        <f>VLOOKUP(C699,[1]Orders!$A$5:$W$1043,7,0)</f>
        <v>Consumer</v>
      </c>
      <c r="J699" t="str">
        <f>VLOOKUP(C699,[1]Orders!$A$5:$W$1043,8,0)</f>
        <v>Nicholas Fernandes</v>
      </c>
      <c r="K699" t="str">
        <f>VLOOKUP(C699,[1]Orders!$A$5:$W$1043,9,0)</f>
        <v>High</v>
      </c>
    </row>
    <row r="700" spans="3:11" x14ac:dyDescent="0.25">
      <c r="C700" s="61" t="s">
        <v>792</v>
      </c>
      <c r="D700" t="str">
        <f>VLOOKUP(C700,[1]Orders!$A$5:$W$1043,3,0)</f>
        <v>Grant Carroll</v>
      </c>
      <c r="E700">
        <f>VLOOKUP(C700,[1]Orders!$A$5:$W$1043,23,0)</f>
        <v>254.28</v>
      </c>
      <c r="F700" t="str">
        <f>VLOOKUP(C700,[1]Orders!$A$5:$W$1043,5,0)</f>
        <v>Sydney</v>
      </c>
      <c r="G700" t="str">
        <f>VLOOKUP(C700,[1]Orders!$A$5:$W$1043,5,0)</f>
        <v>Sydney</v>
      </c>
      <c r="H700" t="str">
        <f>VLOOKUP(C700,[1]Orders!$A$5:$W$1043,6,0)</f>
        <v>NSW</v>
      </c>
      <c r="I700" t="str">
        <f>VLOOKUP(C700,[1]Orders!$A$5:$W$1043,7,0)</f>
        <v>Corporate</v>
      </c>
      <c r="J700" t="str">
        <f>VLOOKUP(C700,[1]Orders!$A$5:$W$1043,8,0)</f>
        <v>Aanya Zhang</v>
      </c>
      <c r="K700" t="str">
        <f>VLOOKUP(C700,[1]Orders!$A$5:$W$1043,9,0)</f>
        <v>Not Specified</v>
      </c>
    </row>
    <row r="701" spans="3:11" x14ac:dyDescent="0.25">
      <c r="C701" s="61" t="s">
        <v>793</v>
      </c>
      <c r="D701" t="str">
        <f>VLOOKUP(C701,[1]Orders!$A$5:$W$1043,3,0)</f>
        <v>Nona Balk</v>
      </c>
      <c r="E701">
        <f>VLOOKUP(C701,[1]Orders!$A$5:$W$1043,23,0)</f>
        <v>342.16000000000008</v>
      </c>
      <c r="F701" t="str">
        <f>VLOOKUP(C701,[1]Orders!$A$5:$W$1043,5,0)</f>
        <v>Melbourne</v>
      </c>
      <c r="G701" t="str">
        <f>VLOOKUP(C701,[1]Orders!$A$5:$W$1043,5,0)</f>
        <v>Melbourne</v>
      </c>
      <c r="H701" t="str">
        <f>VLOOKUP(C701,[1]Orders!$A$5:$W$1043,6,0)</f>
        <v>VIC</v>
      </c>
      <c r="I701" t="str">
        <f>VLOOKUP(C701,[1]Orders!$A$5:$W$1043,7,0)</f>
        <v>Corporate</v>
      </c>
      <c r="J701" t="str">
        <f>VLOOKUP(C701,[1]Orders!$A$5:$W$1043,8,0)</f>
        <v>Connor Betts</v>
      </c>
      <c r="K701" t="str">
        <f>VLOOKUP(C701,[1]Orders!$A$5:$W$1043,9,0)</f>
        <v>Medium</v>
      </c>
    </row>
    <row r="702" spans="3:11" x14ac:dyDescent="0.25">
      <c r="C702" s="61" t="s">
        <v>794</v>
      </c>
      <c r="D702" t="str">
        <f>VLOOKUP(C702,[1]Orders!$A$5:$W$1043,3,0)</f>
        <v>Jim Kriz</v>
      </c>
      <c r="E702">
        <f>VLOOKUP(C702,[1]Orders!$A$5:$W$1043,23,0)</f>
        <v>188.60999999999999</v>
      </c>
      <c r="F702" t="str">
        <f>VLOOKUP(C702,[1]Orders!$A$5:$W$1043,5,0)</f>
        <v>Sydney</v>
      </c>
      <c r="G702" t="str">
        <f>VLOOKUP(C702,[1]Orders!$A$5:$W$1043,5,0)</f>
        <v>Sydney</v>
      </c>
      <c r="H702" t="str">
        <f>VLOOKUP(C702,[1]Orders!$A$5:$W$1043,6,0)</f>
        <v>NSW</v>
      </c>
      <c r="I702" t="str">
        <f>VLOOKUP(C702,[1]Orders!$A$5:$W$1043,7,0)</f>
        <v>Consumer</v>
      </c>
      <c r="J702" t="str">
        <f>VLOOKUP(C702,[1]Orders!$A$5:$W$1043,8,0)</f>
        <v>Mihael Khan</v>
      </c>
      <c r="K702" t="str">
        <f>VLOOKUP(C702,[1]Orders!$A$5:$W$1043,9,0)</f>
        <v>High</v>
      </c>
    </row>
    <row r="703" spans="3:11" x14ac:dyDescent="0.25">
      <c r="C703" s="61" t="s">
        <v>795</v>
      </c>
      <c r="D703" t="str">
        <f>VLOOKUP(C703,[1]Orders!$A$5:$W$1043,3,0)</f>
        <v>Nora Pelletier</v>
      </c>
      <c r="E703">
        <f>VLOOKUP(C703,[1]Orders!$A$5:$W$1043,23,0)</f>
        <v>140.5</v>
      </c>
      <c r="F703" t="str">
        <f>VLOOKUP(C703,[1]Orders!$A$5:$W$1043,5,0)</f>
        <v>Sydney</v>
      </c>
      <c r="G703" t="str">
        <f>VLOOKUP(C703,[1]Orders!$A$5:$W$1043,5,0)</f>
        <v>Sydney</v>
      </c>
      <c r="H703" t="str">
        <f>VLOOKUP(C703,[1]Orders!$A$5:$W$1043,6,0)</f>
        <v>NSW</v>
      </c>
      <c r="I703" t="str">
        <f>VLOOKUP(C703,[1]Orders!$A$5:$W$1043,7,0)</f>
        <v>Home Office</v>
      </c>
      <c r="J703" t="str">
        <f>VLOOKUP(C703,[1]Orders!$A$5:$W$1043,8,0)</f>
        <v>Nicholas Fernandes</v>
      </c>
      <c r="K703" t="str">
        <f>VLOOKUP(C703,[1]Orders!$A$5:$W$1043,9,0)</f>
        <v>Not Specified</v>
      </c>
    </row>
    <row r="704" spans="3:11" x14ac:dyDescent="0.25">
      <c r="C704" s="61" t="s">
        <v>796</v>
      </c>
      <c r="D704" t="str">
        <f>VLOOKUP(C704,[1]Orders!$A$5:$W$1043,3,0)</f>
        <v>Bryan Spruell</v>
      </c>
      <c r="E704">
        <f>VLOOKUP(C704,[1]Orders!$A$5:$W$1043,23,0)</f>
        <v>99.78</v>
      </c>
      <c r="F704" t="str">
        <f>VLOOKUP(C704,[1]Orders!$A$5:$W$1043,5,0)</f>
        <v>Sydney</v>
      </c>
      <c r="G704" t="str">
        <f>VLOOKUP(C704,[1]Orders!$A$5:$W$1043,5,0)</f>
        <v>Sydney</v>
      </c>
      <c r="H704" t="str">
        <f>VLOOKUP(C704,[1]Orders!$A$5:$W$1043,6,0)</f>
        <v>NSW</v>
      </c>
      <c r="I704" t="str">
        <f>VLOOKUP(C704,[1]Orders!$A$5:$W$1043,7,0)</f>
        <v>Home Office</v>
      </c>
      <c r="J704" t="str">
        <f>VLOOKUP(C704,[1]Orders!$A$5:$W$1043,8,0)</f>
        <v>Charlie Bui</v>
      </c>
      <c r="K704" t="str">
        <f>VLOOKUP(C704,[1]Orders!$A$5:$W$1043,9,0)</f>
        <v>Low</v>
      </c>
    </row>
    <row r="705" spans="3:11" x14ac:dyDescent="0.25">
      <c r="C705" s="61" t="s">
        <v>797</v>
      </c>
      <c r="D705" t="str">
        <f>VLOOKUP(C705,[1]Orders!$A$5:$W$1043,3,0)</f>
        <v>Fred McMath</v>
      </c>
      <c r="E705">
        <f>VLOOKUP(C705,[1]Orders!$A$5:$W$1043,23,0)</f>
        <v>73.459999999999994</v>
      </c>
      <c r="F705" t="str">
        <f>VLOOKUP(C705,[1]Orders!$A$5:$W$1043,5,0)</f>
        <v>Melbourne</v>
      </c>
      <c r="G705" t="str">
        <f>VLOOKUP(C705,[1]Orders!$A$5:$W$1043,5,0)</f>
        <v>Melbourne</v>
      </c>
      <c r="H705" t="str">
        <f>VLOOKUP(C705,[1]Orders!$A$5:$W$1043,6,0)</f>
        <v>VIC</v>
      </c>
      <c r="I705" t="str">
        <f>VLOOKUP(C705,[1]Orders!$A$5:$W$1043,7,0)</f>
        <v>Small Business</v>
      </c>
      <c r="J705" t="str">
        <f>VLOOKUP(C705,[1]Orders!$A$5:$W$1043,8,0)</f>
        <v>Yvette Biti</v>
      </c>
      <c r="K705" t="str">
        <f>VLOOKUP(C705,[1]Orders!$A$5:$W$1043,9,0)</f>
        <v>Low</v>
      </c>
    </row>
    <row r="706" spans="3:11" x14ac:dyDescent="0.25">
      <c r="C706" s="61" t="s">
        <v>798</v>
      </c>
      <c r="D706" t="str">
        <f>VLOOKUP(C706,[1]Orders!$A$5:$W$1043,3,0)</f>
        <v>Alejandro Ballentine</v>
      </c>
      <c r="E706">
        <f>VLOOKUP(C706,[1]Orders!$A$5:$W$1043,23,0)</f>
        <v>431.04</v>
      </c>
      <c r="F706" t="str">
        <f>VLOOKUP(C706,[1]Orders!$A$5:$W$1043,5,0)</f>
        <v>Melbourne</v>
      </c>
      <c r="G706" t="str">
        <f>VLOOKUP(C706,[1]Orders!$A$5:$W$1043,5,0)</f>
        <v>Melbourne</v>
      </c>
      <c r="H706" t="str">
        <f>VLOOKUP(C706,[1]Orders!$A$5:$W$1043,6,0)</f>
        <v>VIC</v>
      </c>
      <c r="I706" t="str">
        <f>VLOOKUP(C706,[1]Orders!$A$5:$W$1043,7,0)</f>
        <v>Small Business</v>
      </c>
      <c r="J706" t="str">
        <f>VLOOKUP(C706,[1]Orders!$A$5:$W$1043,8,0)</f>
        <v>Connor Betts</v>
      </c>
      <c r="K706" t="str">
        <f>VLOOKUP(C706,[1]Orders!$A$5:$W$1043,9,0)</f>
        <v>High</v>
      </c>
    </row>
    <row r="707" spans="3:11" x14ac:dyDescent="0.25">
      <c r="C707" s="61" t="s">
        <v>799</v>
      </c>
      <c r="D707" t="str">
        <f>VLOOKUP(C707,[1]Orders!$A$5:$W$1043,3,0)</f>
        <v>Eleni McCrary</v>
      </c>
      <c r="E707">
        <f>VLOOKUP(C707,[1]Orders!$A$5:$W$1043,23,0)</f>
        <v>77.36</v>
      </c>
      <c r="F707" t="str">
        <f>VLOOKUP(C707,[1]Orders!$A$5:$W$1043,5,0)</f>
        <v>Sydney</v>
      </c>
      <c r="G707" t="str">
        <f>VLOOKUP(C707,[1]Orders!$A$5:$W$1043,5,0)</f>
        <v>Sydney</v>
      </c>
      <c r="H707" t="str">
        <f>VLOOKUP(C707,[1]Orders!$A$5:$W$1043,6,0)</f>
        <v>NSW</v>
      </c>
      <c r="I707" t="str">
        <f>VLOOKUP(C707,[1]Orders!$A$5:$W$1043,7,0)</f>
        <v>Corporate</v>
      </c>
      <c r="J707" t="str">
        <f>VLOOKUP(C707,[1]Orders!$A$5:$W$1043,8,0)</f>
        <v>Aanya Zhang</v>
      </c>
      <c r="K707" t="str">
        <f>VLOOKUP(C707,[1]Orders!$A$5:$W$1043,9,0)</f>
        <v>Low</v>
      </c>
    </row>
    <row r="708" spans="3:11" x14ac:dyDescent="0.25">
      <c r="C708" s="61" t="s">
        <v>800</v>
      </c>
      <c r="D708" t="str">
        <f>VLOOKUP(C708,[1]Orders!$A$5:$W$1043,3,0)</f>
        <v>Dan Campbell</v>
      </c>
      <c r="E708">
        <f>VLOOKUP(C708,[1]Orders!$A$5:$W$1043,23,0)</f>
        <v>1156.1099999999999</v>
      </c>
      <c r="F708" t="str">
        <f>VLOOKUP(C708,[1]Orders!$A$5:$W$1043,5,0)</f>
        <v>Sydney</v>
      </c>
      <c r="G708" t="str">
        <f>VLOOKUP(C708,[1]Orders!$A$5:$W$1043,5,0)</f>
        <v>Sydney</v>
      </c>
      <c r="H708" t="str">
        <f>VLOOKUP(C708,[1]Orders!$A$5:$W$1043,6,0)</f>
        <v>NSW</v>
      </c>
      <c r="I708" t="str">
        <f>VLOOKUP(C708,[1]Orders!$A$5:$W$1043,7,0)</f>
        <v>Small Business</v>
      </c>
      <c r="J708" t="str">
        <f>VLOOKUP(C708,[1]Orders!$A$5:$W$1043,8,0)</f>
        <v>Leighton Forrest</v>
      </c>
      <c r="K708" t="str">
        <f>VLOOKUP(C708,[1]Orders!$A$5:$W$1043,9,0)</f>
        <v>Critical</v>
      </c>
    </row>
    <row r="709" spans="3:11" x14ac:dyDescent="0.25">
      <c r="C709" s="61" t="s">
        <v>801</v>
      </c>
      <c r="D709" t="str">
        <f>VLOOKUP(C709,[1]Orders!$A$5:$W$1043,3,0)</f>
        <v>Kelly Williams</v>
      </c>
      <c r="E709">
        <f>VLOOKUP(C709,[1]Orders!$A$5:$W$1043,23,0)</f>
        <v>271.78000000000003</v>
      </c>
      <c r="F709" t="str">
        <f>VLOOKUP(C709,[1]Orders!$A$5:$W$1043,5,0)</f>
        <v>Melbourne</v>
      </c>
      <c r="G709" t="str">
        <f>VLOOKUP(C709,[1]Orders!$A$5:$W$1043,5,0)</f>
        <v>Melbourne</v>
      </c>
      <c r="H709" t="str">
        <f>VLOOKUP(C709,[1]Orders!$A$5:$W$1043,6,0)</f>
        <v>VIC</v>
      </c>
      <c r="I709" t="str">
        <f>VLOOKUP(C709,[1]Orders!$A$5:$W$1043,7,0)</f>
        <v>Corporate</v>
      </c>
      <c r="J709" t="str">
        <f>VLOOKUP(C709,[1]Orders!$A$5:$W$1043,8,0)</f>
        <v>Yvette Biti</v>
      </c>
      <c r="K709" t="str">
        <f>VLOOKUP(C709,[1]Orders!$A$5:$W$1043,9,0)</f>
        <v>Medium</v>
      </c>
    </row>
    <row r="710" spans="3:11" x14ac:dyDescent="0.25">
      <c r="C710" s="61" t="s">
        <v>802</v>
      </c>
      <c r="D710" t="str">
        <f>VLOOKUP(C710,[1]Orders!$A$5:$W$1043,3,0)</f>
        <v>Edward Becker</v>
      </c>
      <c r="E710">
        <f>VLOOKUP(C710,[1]Orders!$A$5:$W$1043,23,0)</f>
        <v>144.38</v>
      </c>
      <c r="F710" t="str">
        <f>VLOOKUP(C710,[1]Orders!$A$5:$W$1043,5,0)</f>
        <v>Sydney</v>
      </c>
      <c r="G710" t="str">
        <f>VLOOKUP(C710,[1]Orders!$A$5:$W$1043,5,0)</f>
        <v>Sydney</v>
      </c>
      <c r="H710" t="str">
        <f>VLOOKUP(C710,[1]Orders!$A$5:$W$1043,6,0)</f>
        <v>NSW</v>
      </c>
      <c r="I710" t="str">
        <f>VLOOKUP(C710,[1]Orders!$A$5:$W$1043,7,0)</f>
        <v>Corporate</v>
      </c>
      <c r="J710" t="str">
        <f>VLOOKUP(C710,[1]Orders!$A$5:$W$1043,8,0)</f>
        <v>Samantha Chairs</v>
      </c>
      <c r="K710" t="str">
        <f>VLOOKUP(C710,[1]Orders!$A$5:$W$1043,9,0)</f>
        <v>Not Specified</v>
      </c>
    </row>
    <row r="711" spans="3:11" x14ac:dyDescent="0.25">
      <c r="C711" s="61" t="s">
        <v>803</v>
      </c>
      <c r="D711" t="str">
        <f>VLOOKUP(C711,[1]Orders!$A$5:$W$1043,3,0)</f>
        <v>Lycoris Saunders</v>
      </c>
      <c r="E711">
        <f>VLOOKUP(C711,[1]Orders!$A$5:$W$1043,23,0)</f>
        <v>548.25</v>
      </c>
      <c r="F711" t="str">
        <f>VLOOKUP(C711,[1]Orders!$A$5:$W$1043,5,0)</f>
        <v>Sydney</v>
      </c>
      <c r="G711" t="str">
        <f>VLOOKUP(C711,[1]Orders!$A$5:$W$1043,5,0)</f>
        <v>Sydney</v>
      </c>
      <c r="H711" t="str">
        <f>VLOOKUP(C711,[1]Orders!$A$5:$W$1043,6,0)</f>
        <v>NSW</v>
      </c>
      <c r="I711" t="str">
        <f>VLOOKUP(C711,[1]Orders!$A$5:$W$1043,7,0)</f>
        <v>Corporate</v>
      </c>
      <c r="J711" t="str">
        <f>VLOOKUP(C711,[1]Orders!$A$5:$W$1043,8,0)</f>
        <v>Samantha Chairs</v>
      </c>
      <c r="K711" t="str">
        <f>VLOOKUP(C711,[1]Orders!$A$5:$W$1043,9,0)</f>
        <v>High</v>
      </c>
    </row>
    <row r="712" spans="3:11" x14ac:dyDescent="0.25">
      <c r="C712" s="61" t="s">
        <v>804</v>
      </c>
      <c r="D712" t="str">
        <f>VLOOKUP(C712,[1]Orders!$A$5:$W$1043,3,0)</f>
        <v>Phillip Flathmann</v>
      </c>
      <c r="E712">
        <f>VLOOKUP(C712,[1]Orders!$A$5:$W$1043,23,0)</f>
        <v>19.45</v>
      </c>
      <c r="F712" t="str">
        <f>VLOOKUP(C712,[1]Orders!$A$5:$W$1043,5,0)</f>
        <v>Sydney</v>
      </c>
      <c r="G712" t="str">
        <f>VLOOKUP(C712,[1]Orders!$A$5:$W$1043,5,0)</f>
        <v>Sydney</v>
      </c>
      <c r="H712" t="str">
        <f>VLOOKUP(C712,[1]Orders!$A$5:$W$1043,6,0)</f>
        <v>NSW</v>
      </c>
      <c r="I712" t="str">
        <f>VLOOKUP(C712,[1]Orders!$A$5:$W$1043,7,0)</f>
        <v>Small Business</v>
      </c>
      <c r="J712" t="str">
        <f>VLOOKUP(C712,[1]Orders!$A$5:$W$1043,8,0)</f>
        <v>Nicholas Fernandes</v>
      </c>
      <c r="K712" t="str">
        <f>VLOOKUP(C712,[1]Orders!$A$5:$W$1043,9,0)</f>
        <v>Critical</v>
      </c>
    </row>
    <row r="713" spans="3:11" x14ac:dyDescent="0.25">
      <c r="C713" s="61" t="s">
        <v>805</v>
      </c>
      <c r="D713" t="str">
        <f>VLOOKUP(C713,[1]Orders!$A$5:$W$1043,3,0)</f>
        <v>Maxwell Schwartz</v>
      </c>
      <c r="E713">
        <f>VLOOKUP(C713,[1]Orders!$A$5:$W$1043,23,0)</f>
        <v>2504.7099999999996</v>
      </c>
      <c r="F713" t="str">
        <f>VLOOKUP(C713,[1]Orders!$A$5:$W$1043,5,0)</f>
        <v>Sydney</v>
      </c>
      <c r="G713" t="str">
        <f>VLOOKUP(C713,[1]Orders!$A$5:$W$1043,5,0)</f>
        <v>Sydney</v>
      </c>
      <c r="H713" t="str">
        <f>VLOOKUP(C713,[1]Orders!$A$5:$W$1043,6,0)</f>
        <v>NSW</v>
      </c>
      <c r="I713" t="str">
        <f>VLOOKUP(C713,[1]Orders!$A$5:$W$1043,7,0)</f>
        <v>Corporate</v>
      </c>
      <c r="J713" t="str">
        <f>VLOOKUP(C713,[1]Orders!$A$5:$W$1043,8,0)</f>
        <v>Leighton Forrest</v>
      </c>
      <c r="K713" t="str">
        <f>VLOOKUP(C713,[1]Orders!$A$5:$W$1043,9,0)</f>
        <v>Medium</v>
      </c>
    </row>
    <row r="714" spans="3:11" x14ac:dyDescent="0.25">
      <c r="C714" s="61" t="s">
        <v>806</v>
      </c>
      <c r="D714" t="str">
        <f>VLOOKUP(C714,[1]Orders!$A$5:$W$1043,3,0)</f>
        <v>Sally Knutson</v>
      </c>
      <c r="E714">
        <f>VLOOKUP(C714,[1]Orders!$A$5:$W$1043,23,0)</f>
        <v>83.360000000000014</v>
      </c>
      <c r="F714" t="str">
        <f>VLOOKUP(C714,[1]Orders!$A$5:$W$1043,5,0)</f>
        <v>Sydney</v>
      </c>
      <c r="G714" t="str">
        <f>VLOOKUP(C714,[1]Orders!$A$5:$W$1043,5,0)</f>
        <v>Sydney</v>
      </c>
      <c r="H714" t="str">
        <f>VLOOKUP(C714,[1]Orders!$A$5:$W$1043,6,0)</f>
        <v>NSW</v>
      </c>
      <c r="I714" t="str">
        <f>VLOOKUP(C714,[1]Orders!$A$5:$W$1043,7,0)</f>
        <v>Consumer</v>
      </c>
      <c r="J714" t="str">
        <f>VLOOKUP(C714,[1]Orders!$A$5:$W$1043,8,0)</f>
        <v>Mihael Khan</v>
      </c>
      <c r="K714" t="str">
        <f>VLOOKUP(C714,[1]Orders!$A$5:$W$1043,9,0)</f>
        <v>Low</v>
      </c>
    </row>
    <row r="715" spans="3:11" x14ac:dyDescent="0.25">
      <c r="C715" s="61" t="s">
        <v>807</v>
      </c>
      <c r="D715" t="str">
        <f>VLOOKUP(C715,[1]Orders!$A$5:$W$1043,3,0)</f>
        <v>Larry Hughes</v>
      </c>
      <c r="E715">
        <f>VLOOKUP(C715,[1]Orders!$A$5:$W$1043,23,0)</f>
        <v>548.91</v>
      </c>
      <c r="F715" t="str">
        <f>VLOOKUP(C715,[1]Orders!$A$5:$W$1043,5,0)</f>
        <v>Melbourne</v>
      </c>
      <c r="G715" t="str">
        <f>VLOOKUP(C715,[1]Orders!$A$5:$W$1043,5,0)</f>
        <v>Melbourne</v>
      </c>
      <c r="H715" t="str">
        <f>VLOOKUP(C715,[1]Orders!$A$5:$W$1043,6,0)</f>
        <v>VIC</v>
      </c>
      <c r="I715" t="str">
        <f>VLOOKUP(C715,[1]Orders!$A$5:$W$1043,7,0)</f>
        <v>Home Office</v>
      </c>
      <c r="J715" t="str">
        <f>VLOOKUP(C715,[1]Orders!$A$5:$W$1043,8,0)</f>
        <v>Yvette Biti</v>
      </c>
      <c r="K715" t="str">
        <f>VLOOKUP(C715,[1]Orders!$A$5:$W$1043,9,0)</f>
        <v>Critical</v>
      </c>
    </row>
    <row r="716" spans="3:11" x14ac:dyDescent="0.25">
      <c r="C716" s="61" t="s">
        <v>808</v>
      </c>
      <c r="D716" t="str">
        <f>VLOOKUP(C716,[1]Orders!$A$5:$W$1043,3,0)</f>
        <v>Giulietta Baptist</v>
      </c>
      <c r="E716">
        <f>VLOOKUP(C716,[1]Orders!$A$5:$W$1043,23,0)</f>
        <v>915.9</v>
      </c>
      <c r="F716" t="str">
        <f>VLOOKUP(C716,[1]Orders!$A$5:$W$1043,5,0)</f>
        <v>Sydney</v>
      </c>
      <c r="G716" t="str">
        <f>VLOOKUP(C716,[1]Orders!$A$5:$W$1043,5,0)</f>
        <v>Sydney</v>
      </c>
      <c r="H716" t="str">
        <f>VLOOKUP(C716,[1]Orders!$A$5:$W$1043,6,0)</f>
        <v>NSW</v>
      </c>
      <c r="I716" t="str">
        <f>VLOOKUP(C716,[1]Orders!$A$5:$W$1043,7,0)</f>
        <v>Home Office</v>
      </c>
      <c r="J716" t="str">
        <f>VLOOKUP(C716,[1]Orders!$A$5:$W$1043,8,0)</f>
        <v>Tina Carlton</v>
      </c>
      <c r="K716" t="str">
        <f>VLOOKUP(C716,[1]Orders!$A$5:$W$1043,9,0)</f>
        <v>Medium</v>
      </c>
    </row>
    <row r="717" spans="3:11" x14ac:dyDescent="0.25">
      <c r="C717" s="61" t="s">
        <v>809</v>
      </c>
      <c r="D717" t="str">
        <f>VLOOKUP(C717,[1]Orders!$A$5:$W$1043,3,0)</f>
        <v>Cindy Stewart</v>
      </c>
      <c r="E717">
        <f>VLOOKUP(C717,[1]Orders!$A$5:$W$1043,23,0)</f>
        <v>6026.5300000000007</v>
      </c>
      <c r="F717" t="str">
        <f>VLOOKUP(C717,[1]Orders!$A$5:$W$1043,5,0)</f>
        <v>Sydney</v>
      </c>
      <c r="G717" t="str">
        <f>VLOOKUP(C717,[1]Orders!$A$5:$W$1043,5,0)</f>
        <v>Sydney</v>
      </c>
      <c r="H717" t="str">
        <f>VLOOKUP(C717,[1]Orders!$A$5:$W$1043,6,0)</f>
        <v>NSW</v>
      </c>
      <c r="I717" t="str">
        <f>VLOOKUP(C717,[1]Orders!$A$5:$W$1043,7,0)</f>
        <v>Corporate</v>
      </c>
      <c r="J717" t="str">
        <f>VLOOKUP(C717,[1]Orders!$A$5:$W$1043,8,0)</f>
        <v>Leighton Forrest</v>
      </c>
      <c r="K717" t="str">
        <f>VLOOKUP(C717,[1]Orders!$A$5:$W$1043,9,0)</f>
        <v>Medium</v>
      </c>
    </row>
    <row r="718" spans="3:11" x14ac:dyDescent="0.25">
      <c r="C718" s="61" t="s">
        <v>810</v>
      </c>
      <c r="D718" t="str">
        <f>VLOOKUP(C718,[1]Orders!$A$5:$W$1043,3,0)</f>
        <v>Grant Thornton</v>
      </c>
      <c r="E718">
        <f>VLOOKUP(C718,[1]Orders!$A$5:$W$1043,23,0)</f>
        <v>37.090000000000003</v>
      </c>
      <c r="F718" t="str">
        <f>VLOOKUP(C718,[1]Orders!$A$5:$W$1043,5,0)</f>
        <v>Sydney</v>
      </c>
      <c r="G718" t="str">
        <f>VLOOKUP(C718,[1]Orders!$A$5:$W$1043,5,0)</f>
        <v>Sydney</v>
      </c>
      <c r="H718" t="str">
        <f>VLOOKUP(C718,[1]Orders!$A$5:$W$1043,6,0)</f>
        <v>NSW</v>
      </c>
      <c r="I718" t="str">
        <f>VLOOKUP(C718,[1]Orders!$A$5:$W$1043,7,0)</f>
        <v>Corporate</v>
      </c>
      <c r="J718" t="str">
        <f>VLOOKUP(C718,[1]Orders!$A$5:$W$1043,8,0)</f>
        <v>Natasha Song</v>
      </c>
      <c r="K718" t="str">
        <f>VLOOKUP(C718,[1]Orders!$A$5:$W$1043,9,0)</f>
        <v>Low</v>
      </c>
    </row>
    <row r="719" spans="3:11" x14ac:dyDescent="0.25">
      <c r="C719" s="61" t="s">
        <v>811</v>
      </c>
      <c r="D719" t="str">
        <f>VLOOKUP(C719,[1]Orders!$A$5:$W$1043,3,0)</f>
        <v>Meg Tillman</v>
      </c>
      <c r="E719">
        <f>VLOOKUP(C719,[1]Orders!$A$5:$W$1043,23,0)</f>
        <v>252.46</v>
      </c>
      <c r="F719" t="str">
        <f>VLOOKUP(C719,[1]Orders!$A$5:$W$1043,5,0)</f>
        <v>Sydney</v>
      </c>
      <c r="G719" t="str">
        <f>VLOOKUP(C719,[1]Orders!$A$5:$W$1043,5,0)</f>
        <v>Sydney</v>
      </c>
      <c r="H719" t="str">
        <f>VLOOKUP(C719,[1]Orders!$A$5:$W$1043,6,0)</f>
        <v>NSW</v>
      </c>
      <c r="I719" t="str">
        <f>VLOOKUP(C719,[1]Orders!$A$5:$W$1043,7,0)</f>
        <v>Small Business</v>
      </c>
      <c r="J719" t="str">
        <f>VLOOKUP(C719,[1]Orders!$A$5:$W$1043,8,0)</f>
        <v>Mihael Khan</v>
      </c>
      <c r="K719" t="str">
        <f>VLOOKUP(C719,[1]Orders!$A$5:$W$1043,9,0)</f>
        <v>Medium</v>
      </c>
    </row>
    <row r="720" spans="3:11" x14ac:dyDescent="0.25">
      <c r="C720" s="61" t="s">
        <v>812</v>
      </c>
      <c r="D720" t="str">
        <f>VLOOKUP(C720,[1]Orders!$A$5:$W$1043,3,0)</f>
        <v>Victor Price</v>
      </c>
      <c r="E720">
        <f>VLOOKUP(C720,[1]Orders!$A$5:$W$1043,23,0)</f>
        <v>5590.85</v>
      </c>
      <c r="F720" t="str">
        <f>VLOOKUP(C720,[1]Orders!$A$5:$W$1043,5,0)</f>
        <v>Melbourne</v>
      </c>
      <c r="G720" t="str">
        <f>VLOOKUP(C720,[1]Orders!$A$5:$W$1043,5,0)</f>
        <v>Melbourne</v>
      </c>
      <c r="H720" t="str">
        <f>VLOOKUP(C720,[1]Orders!$A$5:$W$1043,6,0)</f>
        <v>VIC</v>
      </c>
      <c r="I720" t="str">
        <f>VLOOKUP(C720,[1]Orders!$A$5:$W$1043,7,0)</f>
        <v>Consumer</v>
      </c>
      <c r="J720" t="str">
        <f>VLOOKUP(C720,[1]Orders!$A$5:$W$1043,8,0)</f>
        <v>Connor Betts</v>
      </c>
      <c r="K720" t="str">
        <f>VLOOKUP(C720,[1]Orders!$A$5:$W$1043,9,0)</f>
        <v>Medium</v>
      </c>
    </row>
    <row r="721" spans="3:11" x14ac:dyDescent="0.25">
      <c r="C721" s="61" t="s">
        <v>813</v>
      </c>
      <c r="D721" t="str">
        <f>VLOOKUP(C721,[1]Orders!$A$5:$W$1043,3,0)</f>
        <v>Roy Collins</v>
      </c>
      <c r="E721">
        <f>VLOOKUP(C721,[1]Orders!$A$5:$W$1043,23,0)</f>
        <v>4450.21</v>
      </c>
      <c r="F721" t="str">
        <f>VLOOKUP(C721,[1]Orders!$A$5:$W$1043,5,0)</f>
        <v>Sydney</v>
      </c>
      <c r="G721" t="str">
        <f>VLOOKUP(C721,[1]Orders!$A$5:$W$1043,5,0)</f>
        <v>Sydney</v>
      </c>
      <c r="H721" t="str">
        <f>VLOOKUP(C721,[1]Orders!$A$5:$W$1043,6,0)</f>
        <v>NSW</v>
      </c>
      <c r="I721" t="str">
        <f>VLOOKUP(C721,[1]Orders!$A$5:$W$1043,7,0)</f>
        <v>Corporate</v>
      </c>
      <c r="J721" t="str">
        <f>VLOOKUP(C721,[1]Orders!$A$5:$W$1043,8,0)</f>
        <v>Natasha Song</v>
      </c>
      <c r="K721" t="str">
        <f>VLOOKUP(C721,[1]Orders!$A$5:$W$1043,9,0)</f>
        <v>Critical</v>
      </c>
    </row>
    <row r="722" spans="3:11" x14ac:dyDescent="0.25">
      <c r="C722" s="61" t="s">
        <v>814</v>
      </c>
      <c r="D722" t="str">
        <f>VLOOKUP(C722,[1]Orders!$A$5:$W$1043,3,0)</f>
        <v>Naresj Patel</v>
      </c>
      <c r="E722">
        <f>VLOOKUP(C722,[1]Orders!$A$5:$W$1043,23,0)</f>
        <v>580.35</v>
      </c>
      <c r="F722" t="str">
        <f>VLOOKUP(C722,[1]Orders!$A$5:$W$1043,5,0)</f>
        <v>Sydney</v>
      </c>
      <c r="G722" t="str">
        <f>VLOOKUP(C722,[1]Orders!$A$5:$W$1043,5,0)</f>
        <v>Sydney</v>
      </c>
      <c r="H722" t="str">
        <f>VLOOKUP(C722,[1]Orders!$A$5:$W$1043,6,0)</f>
        <v>NSW</v>
      </c>
      <c r="I722" t="str">
        <f>VLOOKUP(C722,[1]Orders!$A$5:$W$1043,7,0)</f>
        <v>Small Business</v>
      </c>
      <c r="J722" t="str">
        <f>VLOOKUP(C722,[1]Orders!$A$5:$W$1043,8,0)</f>
        <v>Leighton Forrest</v>
      </c>
      <c r="K722" t="str">
        <f>VLOOKUP(C722,[1]Orders!$A$5:$W$1043,9,0)</f>
        <v>High</v>
      </c>
    </row>
    <row r="723" spans="3:11" x14ac:dyDescent="0.25">
      <c r="C723" s="61" t="s">
        <v>815</v>
      </c>
      <c r="D723" t="str">
        <f>VLOOKUP(C723,[1]Orders!$A$5:$W$1043,3,0)</f>
        <v>Beth Thompson</v>
      </c>
      <c r="E723">
        <f>VLOOKUP(C723,[1]Orders!$A$5:$W$1043,23,0)</f>
        <v>105.58</v>
      </c>
      <c r="F723" t="str">
        <f>VLOOKUP(C723,[1]Orders!$A$5:$W$1043,5,0)</f>
        <v>Sydney</v>
      </c>
      <c r="G723" t="str">
        <f>VLOOKUP(C723,[1]Orders!$A$5:$W$1043,5,0)</f>
        <v>Sydney</v>
      </c>
      <c r="H723" t="str">
        <f>VLOOKUP(C723,[1]Orders!$A$5:$W$1043,6,0)</f>
        <v>NSW</v>
      </c>
      <c r="I723" t="str">
        <f>VLOOKUP(C723,[1]Orders!$A$5:$W$1043,7,0)</f>
        <v>Corporate</v>
      </c>
      <c r="J723" t="str">
        <f>VLOOKUP(C723,[1]Orders!$A$5:$W$1043,8,0)</f>
        <v>Mihael Khan</v>
      </c>
      <c r="K723" t="str">
        <f>VLOOKUP(C723,[1]Orders!$A$5:$W$1043,9,0)</f>
        <v>High</v>
      </c>
    </row>
    <row r="724" spans="3:11" x14ac:dyDescent="0.25">
      <c r="C724" s="61" t="s">
        <v>816</v>
      </c>
      <c r="D724" t="str">
        <f>VLOOKUP(C724,[1]Orders!$A$5:$W$1043,3,0)</f>
        <v>Laura Armstrong</v>
      </c>
      <c r="E724">
        <f>VLOOKUP(C724,[1]Orders!$A$5:$W$1043,23,0)</f>
        <v>39.700000000000003</v>
      </c>
      <c r="F724" t="str">
        <f>VLOOKUP(C724,[1]Orders!$A$5:$W$1043,5,0)</f>
        <v>Melbourne</v>
      </c>
      <c r="G724" t="str">
        <f>VLOOKUP(C724,[1]Orders!$A$5:$W$1043,5,0)</f>
        <v>Melbourne</v>
      </c>
      <c r="H724" t="str">
        <f>VLOOKUP(C724,[1]Orders!$A$5:$W$1043,6,0)</f>
        <v>VIC</v>
      </c>
      <c r="I724" t="str">
        <f>VLOOKUP(C724,[1]Orders!$A$5:$W$1043,7,0)</f>
        <v>Small Business</v>
      </c>
      <c r="J724" t="str">
        <f>VLOOKUP(C724,[1]Orders!$A$5:$W$1043,8,0)</f>
        <v>Connor Betts</v>
      </c>
      <c r="K724" t="str">
        <f>VLOOKUP(C724,[1]Orders!$A$5:$W$1043,9,0)</f>
        <v>High</v>
      </c>
    </row>
    <row r="725" spans="3:11" x14ac:dyDescent="0.25">
      <c r="C725" s="61" t="s">
        <v>817</v>
      </c>
      <c r="D725" t="str">
        <f>VLOOKUP(C725,[1]Orders!$A$5:$W$1043,3,0)</f>
        <v>Luke Weiss</v>
      </c>
      <c r="E725">
        <f>VLOOKUP(C725,[1]Orders!$A$5:$W$1043,23,0)</f>
        <v>87.350000000000009</v>
      </c>
      <c r="F725" t="str">
        <f>VLOOKUP(C725,[1]Orders!$A$5:$W$1043,5,0)</f>
        <v>Sydney</v>
      </c>
      <c r="G725" t="str">
        <f>VLOOKUP(C725,[1]Orders!$A$5:$W$1043,5,0)</f>
        <v>Sydney</v>
      </c>
      <c r="H725" t="str">
        <f>VLOOKUP(C725,[1]Orders!$A$5:$W$1043,6,0)</f>
        <v>NSW</v>
      </c>
      <c r="I725" t="str">
        <f>VLOOKUP(C725,[1]Orders!$A$5:$W$1043,7,0)</f>
        <v>Corporate</v>
      </c>
      <c r="J725" t="str">
        <f>VLOOKUP(C725,[1]Orders!$A$5:$W$1043,8,0)</f>
        <v>Charlie Bui</v>
      </c>
      <c r="K725" t="str">
        <f>VLOOKUP(C725,[1]Orders!$A$5:$W$1043,9,0)</f>
        <v>Critical</v>
      </c>
    </row>
    <row r="726" spans="3:11" x14ac:dyDescent="0.25">
      <c r="C726" s="61" t="s">
        <v>818</v>
      </c>
      <c r="D726" t="str">
        <f>VLOOKUP(C726,[1]Orders!$A$5:$W$1043,3,0)</f>
        <v>Cyra Reiten</v>
      </c>
      <c r="E726">
        <f>VLOOKUP(C726,[1]Orders!$A$5:$W$1043,23,0)</f>
        <v>138.95000000000002</v>
      </c>
      <c r="F726" t="str">
        <f>VLOOKUP(C726,[1]Orders!$A$5:$W$1043,5,0)</f>
        <v>Sydney</v>
      </c>
      <c r="G726" t="str">
        <f>VLOOKUP(C726,[1]Orders!$A$5:$W$1043,5,0)</f>
        <v>Sydney</v>
      </c>
      <c r="H726" t="str">
        <f>VLOOKUP(C726,[1]Orders!$A$5:$W$1043,6,0)</f>
        <v>NSW</v>
      </c>
      <c r="I726" t="str">
        <f>VLOOKUP(C726,[1]Orders!$A$5:$W$1043,7,0)</f>
        <v>Consumer</v>
      </c>
      <c r="J726" t="str">
        <f>VLOOKUP(C726,[1]Orders!$A$5:$W$1043,8,0)</f>
        <v>Nicholas Fernandes</v>
      </c>
      <c r="K726" t="str">
        <f>VLOOKUP(C726,[1]Orders!$A$5:$W$1043,9,0)</f>
        <v>Not Specified</v>
      </c>
    </row>
    <row r="727" spans="3:11" x14ac:dyDescent="0.25">
      <c r="C727" s="61" t="s">
        <v>819</v>
      </c>
      <c r="D727" t="str">
        <f>VLOOKUP(C727,[1]Orders!$A$5:$W$1043,3,0)</f>
        <v>Bobby Elias</v>
      </c>
      <c r="E727">
        <f>VLOOKUP(C727,[1]Orders!$A$5:$W$1043,23,0)</f>
        <v>11.54</v>
      </c>
      <c r="F727" t="str">
        <f>VLOOKUP(C727,[1]Orders!$A$5:$W$1043,5,0)</f>
        <v>Melbourne</v>
      </c>
      <c r="G727" t="str">
        <f>VLOOKUP(C727,[1]Orders!$A$5:$W$1043,5,0)</f>
        <v>Melbourne</v>
      </c>
      <c r="H727" t="str">
        <f>VLOOKUP(C727,[1]Orders!$A$5:$W$1043,6,0)</f>
        <v>VIC</v>
      </c>
      <c r="I727" t="str">
        <f>VLOOKUP(C727,[1]Orders!$A$5:$W$1043,7,0)</f>
        <v>Small Business</v>
      </c>
      <c r="J727" t="str">
        <f>VLOOKUP(C727,[1]Orders!$A$5:$W$1043,8,0)</f>
        <v>Connor Betts</v>
      </c>
      <c r="K727" t="str">
        <f>VLOOKUP(C727,[1]Orders!$A$5:$W$1043,9,0)</f>
        <v>Not Specified</v>
      </c>
    </row>
    <row r="728" spans="3:11" x14ac:dyDescent="0.25">
      <c r="C728" s="61" t="s">
        <v>820</v>
      </c>
      <c r="D728" t="str">
        <f>VLOOKUP(C728,[1]Orders!$A$5:$W$1043,3,0)</f>
        <v>Ricardo Emerson</v>
      </c>
      <c r="E728">
        <f>VLOOKUP(C728,[1]Orders!$A$5:$W$1043,23,0)</f>
        <v>2.17</v>
      </c>
      <c r="F728" t="str">
        <f>VLOOKUP(C728,[1]Orders!$A$5:$W$1043,5,0)</f>
        <v>Sydney</v>
      </c>
      <c r="G728" t="str">
        <f>VLOOKUP(C728,[1]Orders!$A$5:$W$1043,5,0)</f>
        <v>Sydney</v>
      </c>
      <c r="H728" t="str">
        <f>VLOOKUP(C728,[1]Orders!$A$5:$W$1043,6,0)</f>
        <v>NSW</v>
      </c>
      <c r="I728" t="str">
        <f>VLOOKUP(C728,[1]Orders!$A$5:$W$1043,7,0)</f>
        <v>Corporate</v>
      </c>
      <c r="J728" t="str">
        <f>VLOOKUP(C728,[1]Orders!$A$5:$W$1043,8,0)</f>
        <v>Natasha Song</v>
      </c>
      <c r="K728" t="str">
        <f>VLOOKUP(C728,[1]Orders!$A$5:$W$1043,9,0)</f>
        <v>Critical</v>
      </c>
    </row>
    <row r="729" spans="3:11" x14ac:dyDescent="0.25">
      <c r="C729" s="61" t="s">
        <v>821</v>
      </c>
      <c r="D729" t="str">
        <f>VLOOKUP(C729,[1]Orders!$A$5:$W$1043,3,0)</f>
        <v>Mitch Webber</v>
      </c>
      <c r="E729">
        <f>VLOOKUP(C729,[1]Orders!$A$5:$W$1043,23,0)</f>
        <v>426.06</v>
      </c>
      <c r="F729" t="str">
        <f>VLOOKUP(C729,[1]Orders!$A$5:$W$1043,5,0)</f>
        <v>Sydney</v>
      </c>
      <c r="G729" t="str">
        <f>VLOOKUP(C729,[1]Orders!$A$5:$W$1043,5,0)</f>
        <v>Sydney</v>
      </c>
      <c r="H729" t="str">
        <f>VLOOKUP(C729,[1]Orders!$A$5:$W$1043,6,0)</f>
        <v>NSW</v>
      </c>
      <c r="I729" t="str">
        <f>VLOOKUP(C729,[1]Orders!$A$5:$W$1043,7,0)</f>
        <v>Corporate</v>
      </c>
      <c r="J729" t="str">
        <f>VLOOKUP(C729,[1]Orders!$A$5:$W$1043,8,0)</f>
        <v>Tina Carlton</v>
      </c>
      <c r="K729" t="str">
        <f>VLOOKUP(C729,[1]Orders!$A$5:$W$1043,9,0)</f>
        <v>Low</v>
      </c>
    </row>
    <row r="730" spans="3:11" x14ac:dyDescent="0.25">
      <c r="C730" s="61" t="s">
        <v>822</v>
      </c>
      <c r="D730" t="str">
        <f>VLOOKUP(C730,[1]Orders!$A$5:$W$1043,3,0)</f>
        <v>Naresj Patel</v>
      </c>
      <c r="E730">
        <f>VLOOKUP(C730,[1]Orders!$A$5:$W$1043,23,0)</f>
        <v>10.48</v>
      </c>
      <c r="F730" t="str">
        <f>VLOOKUP(C730,[1]Orders!$A$5:$W$1043,5,0)</f>
        <v>Sydney</v>
      </c>
      <c r="G730" t="str">
        <f>VLOOKUP(C730,[1]Orders!$A$5:$W$1043,5,0)</f>
        <v>Sydney</v>
      </c>
      <c r="H730" t="str">
        <f>VLOOKUP(C730,[1]Orders!$A$5:$W$1043,6,0)</f>
        <v>NSW</v>
      </c>
      <c r="I730" t="str">
        <f>VLOOKUP(C730,[1]Orders!$A$5:$W$1043,7,0)</f>
        <v>Small Business</v>
      </c>
      <c r="J730" t="str">
        <f>VLOOKUP(C730,[1]Orders!$A$5:$W$1043,8,0)</f>
        <v>Leighton Forrest</v>
      </c>
      <c r="K730" t="str">
        <f>VLOOKUP(C730,[1]Orders!$A$5:$W$1043,9,0)</f>
        <v>Not Specified</v>
      </c>
    </row>
    <row r="731" spans="3:11" x14ac:dyDescent="0.25">
      <c r="C731" s="61" t="s">
        <v>823</v>
      </c>
      <c r="D731" t="str">
        <f>VLOOKUP(C731,[1]Orders!$A$5:$W$1043,3,0)</f>
        <v>Denise Leinenbach</v>
      </c>
      <c r="E731">
        <f>VLOOKUP(C731,[1]Orders!$A$5:$W$1043,23,0)</f>
        <v>211.23000000000002</v>
      </c>
      <c r="F731" t="str">
        <f>VLOOKUP(C731,[1]Orders!$A$5:$W$1043,5,0)</f>
        <v>Melbourne</v>
      </c>
      <c r="G731" t="str">
        <f>VLOOKUP(C731,[1]Orders!$A$5:$W$1043,5,0)</f>
        <v>Melbourne</v>
      </c>
      <c r="H731" t="str">
        <f>VLOOKUP(C731,[1]Orders!$A$5:$W$1043,6,0)</f>
        <v>VIC</v>
      </c>
      <c r="I731" t="str">
        <f>VLOOKUP(C731,[1]Orders!$A$5:$W$1043,7,0)</f>
        <v>Home Office</v>
      </c>
      <c r="J731" t="str">
        <f>VLOOKUP(C731,[1]Orders!$A$5:$W$1043,8,0)</f>
        <v>Connor Betts</v>
      </c>
      <c r="K731" t="str">
        <f>VLOOKUP(C731,[1]Orders!$A$5:$W$1043,9,0)</f>
        <v>Not Specified</v>
      </c>
    </row>
    <row r="732" spans="3:11" x14ac:dyDescent="0.25">
      <c r="C732" s="61" t="s">
        <v>824</v>
      </c>
      <c r="D732" t="str">
        <f>VLOOKUP(C732,[1]Orders!$A$5:$W$1043,3,0)</f>
        <v>Roy Phan</v>
      </c>
      <c r="E732">
        <f>VLOOKUP(C732,[1]Orders!$A$5:$W$1043,23,0)</f>
        <v>52.51</v>
      </c>
      <c r="F732" t="str">
        <f>VLOOKUP(C732,[1]Orders!$A$5:$W$1043,5,0)</f>
        <v>Melbourne</v>
      </c>
      <c r="G732" t="str">
        <f>VLOOKUP(C732,[1]Orders!$A$5:$W$1043,5,0)</f>
        <v>Melbourne</v>
      </c>
      <c r="H732" t="str">
        <f>VLOOKUP(C732,[1]Orders!$A$5:$W$1043,6,0)</f>
        <v>VIC</v>
      </c>
      <c r="I732" t="str">
        <f>VLOOKUP(C732,[1]Orders!$A$5:$W$1043,7,0)</f>
        <v>Corporate</v>
      </c>
      <c r="J732" t="str">
        <f>VLOOKUP(C732,[1]Orders!$A$5:$W$1043,8,0)</f>
        <v>Connor Betts</v>
      </c>
      <c r="K732" t="str">
        <f>VLOOKUP(C732,[1]Orders!$A$5:$W$1043,9,0)</f>
        <v>Critical</v>
      </c>
    </row>
    <row r="733" spans="3:11" x14ac:dyDescent="0.25">
      <c r="C733" s="61" t="s">
        <v>825</v>
      </c>
      <c r="D733" t="str">
        <f>VLOOKUP(C733,[1]Orders!$A$5:$W$1043,3,0)</f>
        <v>Yana Sorensen</v>
      </c>
      <c r="E733">
        <f>VLOOKUP(C733,[1]Orders!$A$5:$W$1043,23,0)</f>
        <v>61.74</v>
      </c>
      <c r="F733" t="str">
        <f>VLOOKUP(C733,[1]Orders!$A$5:$W$1043,5,0)</f>
        <v>Sydney</v>
      </c>
      <c r="G733" t="str">
        <f>VLOOKUP(C733,[1]Orders!$A$5:$W$1043,5,0)</f>
        <v>Sydney</v>
      </c>
      <c r="H733" t="str">
        <f>VLOOKUP(C733,[1]Orders!$A$5:$W$1043,6,0)</f>
        <v>NSW</v>
      </c>
      <c r="I733" t="str">
        <f>VLOOKUP(C733,[1]Orders!$A$5:$W$1043,7,0)</f>
        <v>Corporate</v>
      </c>
      <c r="J733" t="str">
        <f>VLOOKUP(C733,[1]Orders!$A$5:$W$1043,8,0)</f>
        <v>Tina Carlton</v>
      </c>
      <c r="K733" t="str">
        <f>VLOOKUP(C733,[1]Orders!$A$5:$W$1043,9,0)</f>
        <v>High</v>
      </c>
    </row>
    <row r="734" spans="3:11" x14ac:dyDescent="0.25">
      <c r="C734" s="61" t="s">
        <v>826</v>
      </c>
      <c r="D734" t="str">
        <f>VLOOKUP(C734,[1]Orders!$A$5:$W$1043,3,0)</f>
        <v>Anthony Johnson</v>
      </c>
      <c r="E734">
        <f>VLOOKUP(C734,[1]Orders!$A$5:$W$1043,23,0)</f>
        <v>405.32</v>
      </c>
      <c r="F734" t="str">
        <f>VLOOKUP(C734,[1]Orders!$A$5:$W$1043,5,0)</f>
        <v>Sydney</v>
      </c>
      <c r="G734" t="str">
        <f>VLOOKUP(C734,[1]Orders!$A$5:$W$1043,5,0)</f>
        <v>Sydney</v>
      </c>
      <c r="H734" t="str">
        <f>VLOOKUP(C734,[1]Orders!$A$5:$W$1043,6,0)</f>
        <v>NSW</v>
      </c>
      <c r="I734" t="str">
        <f>VLOOKUP(C734,[1]Orders!$A$5:$W$1043,7,0)</f>
        <v>Small Business</v>
      </c>
      <c r="J734" t="str">
        <f>VLOOKUP(C734,[1]Orders!$A$5:$W$1043,8,0)</f>
        <v>Tina Carlton</v>
      </c>
      <c r="K734" t="str">
        <f>VLOOKUP(C734,[1]Orders!$A$5:$W$1043,9,0)</f>
        <v>Not Specified</v>
      </c>
    </row>
    <row r="735" spans="3:11" x14ac:dyDescent="0.25">
      <c r="C735" s="61" t="s">
        <v>827</v>
      </c>
      <c r="D735" t="str">
        <f>VLOOKUP(C735,[1]Orders!$A$5:$W$1043,3,0)</f>
        <v>Brad Norvell</v>
      </c>
      <c r="E735">
        <f>VLOOKUP(C735,[1]Orders!$A$5:$W$1043,23,0)</f>
        <v>685.03000000000009</v>
      </c>
      <c r="F735" t="str">
        <f>VLOOKUP(C735,[1]Orders!$A$5:$W$1043,5,0)</f>
        <v>Melbourne</v>
      </c>
      <c r="G735" t="str">
        <f>VLOOKUP(C735,[1]Orders!$A$5:$W$1043,5,0)</f>
        <v>Melbourne</v>
      </c>
      <c r="H735" t="str">
        <f>VLOOKUP(C735,[1]Orders!$A$5:$W$1043,6,0)</f>
        <v>VIC</v>
      </c>
      <c r="I735" t="str">
        <f>VLOOKUP(C735,[1]Orders!$A$5:$W$1043,7,0)</f>
        <v>Corporate</v>
      </c>
      <c r="J735" t="str">
        <f>VLOOKUP(C735,[1]Orders!$A$5:$W$1043,8,0)</f>
        <v>Yvette Biti</v>
      </c>
      <c r="K735" t="str">
        <f>VLOOKUP(C735,[1]Orders!$A$5:$W$1043,9,0)</f>
        <v>Low</v>
      </c>
    </row>
    <row r="736" spans="3:11" x14ac:dyDescent="0.25">
      <c r="C736" s="61" t="s">
        <v>828</v>
      </c>
      <c r="D736" t="str">
        <f>VLOOKUP(C736,[1]Orders!$A$5:$W$1043,3,0)</f>
        <v>Maria Bertelson</v>
      </c>
      <c r="E736">
        <f>VLOOKUP(C736,[1]Orders!$A$5:$W$1043,23,0)</f>
        <v>264.23</v>
      </c>
      <c r="F736" t="str">
        <f>VLOOKUP(C736,[1]Orders!$A$5:$W$1043,5,0)</f>
        <v>Sydney</v>
      </c>
      <c r="G736" t="str">
        <f>VLOOKUP(C736,[1]Orders!$A$5:$W$1043,5,0)</f>
        <v>Sydney</v>
      </c>
      <c r="H736" t="str">
        <f>VLOOKUP(C736,[1]Orders!$A$5:$W$1043,6,0)</f>
        <v>NSW</v>
      </c>
      <c r="I736" t="str">
        <f>VLOOKUP(C736,[1]Orders!$A$5:$W$1043,7,0)</f>
        <v>Home Office</v>
      </c>
      <c r="J736" t="str">
        <f>VLOOKUP(C736,[1]Orders!$A$5:$W$1043,8,0)</f>
        <v>Tina Carlton</v>
      </c>
      <c r="K736" t="str">
        <f>VLOOKUP(C736,[1]Orders!$A$5:$W$1043,9,0)</f>
        <v>Not Specified</v>
      </c>
    </row>
    <row r="737" spans="3:11" x14ac:dyDescent="0.25">
      <c r="C737" s="61" t="s">
        <v>829</v>
      </c>
      <c r="D737" t="str">
        <f>VLOOKUP(C737,[1]Orders!$A$5:$W$1043,3,0)</f>
        <v>Michael Oakman</v>
      </c>
      <c r="E737">
        <f>VLOOKUP(C737,[1]Orders!$A$5:$W$1043,23,0)</f>
        <v>154.22</v>
      </c>
      <c r="F737" t="str">
        <f>VLOOKUP(C737,[1]Orders!$A$5:$W$1043,5,0)</f>
        <v>Melbourne</v>
      </c>
      <c r="G737" t="str">
        <f>VLOOKUP(C737,[1]Orders!$A$5:$W$1043,5,0)</f>
        <v>Melbourne</v>
      </c>
      <c r="H737" t="str">
        <f>VLOOKUP(C737,[1]Orders!$A$5:$W$1043,6,0)</f>
        <v>VIC</v>
      </c>
      <c r="I737" t="str">
        <f>VLOOKUP(C737,[1]Orders!$A$5:$W$1043,7,0)</f>
        <v>Small Business</v>
      </c>
      <c r="J737" t="str">
        <f>VLOOKUP(C737,[1]Orders!$A$5:$W$1043,8,0)</f>
        <v>Connor Betts</v>
      </c>
      <c r="K737" t="str">
        <f>VLOOKUP(C737,[1]Orders!$A$5:$W$1043,9,0)</f>
        <v>Medium</v>
      </c>
    </row>
    <row r="738" spans="3:11" x14ac:dyDescent="0.25">
      <c r="C738" s="61" t="s">
        <v>830</v>
      </c>
      <c r="D738" t="str">
        <f>VLOOKUP(C738,[1]Orders!$A$5:$W$1043,3,0)</f>
        <v>Damala Kotsonis</v>
      </c>
      <c r="E738">
        <f>VLOOKUP(C738,[1]Orders!$A$5:$W$1043,23,0)</f>
        <v>9.34</v>
      </c>
      <c r="F738" t="str">
        <f>VLOOKUP(C738,[1]Orders!$A$5:$W$1043,5,0)</f>
        <v>Sydney</v>
      </c>
      <c r="G738" t="str">
        <f>VLOOKUP(C738,[1]Orders!$A$5:$W$1043,5,0)</f>
        <v>Sydney</v>
      </c>
      <c r="H738" t="str">
        <f>VLOOKUP(C738,[1]Orders!$A$5:$W$1043,6,0)</f>
        <v>NSW</v>
      </c>
      <c r="I738" t="str">
        <f>VLOOKUP(C738,[1]Orders!$A$5:$W$1043,7,0)</f>
        <v>Corporate</v>
      </c>
      <c r="J738" t="str">
        <f>VLOOKUP(C738,[1]Orders!$A$5:$W$1043,8,0)</f>
        <v>Nicholas Fernandes</v>
      </c>
      <c r="K738" t="str">
        <f>VLOOKUP(C738,[1]Orders!$A$5:$W$1043,9,0)</f>
        <v>Low</v>
      </c>
    </row>
    <row r="739" spans="3:11" x14ac:dyDescent="0.25">
      <c r="C739" s="61" t="s">
        <v>831</v>
      </c>
      <c r="D739" t="str">
        <f>VLOOKUP(C739,[1]Orders!$A$5:$W$1043,3,0)</f>
        <v>Janet Lee</v>
      </c>
      <c r="E739">
        <f>VLOOKUP(C739,[1]Orders!$A$5:$W$1043,23,0)</f>
        <v>12593.529999999999</v>
      </c>
      <c r="F739" t="str">
        <f>VLOOKUP(C739,[1]Orders!$A$5:$W$1043,5,0)</f>
        <v>Sydney</v>
      </c>
      <c r="G739" t="str">
        <f>VLOOKUP(C739,[1]Orders!$A$5:$W$1043,5,0)</f>
        <v>Sydney</v>
      </c>
      <c r="H739" t="str">
        <f>VLOOKUP(C739,[1]Orders!$A$5:$W$1043,6,0)</f>
        <v>NSW</v>
      </c>
      <c r="I739" t="str">
        <f>VLOOKUP(C739,[1]Orders!$A$5:$W$1043,7,0)</f>
        <v>Consumer</v>
      </c>
      <c r="J739" t="str">
        <f>VLOOKUP(C739,[1]Orders!$A$5:$W$1043,8,0)</f>
        <v>Tina Carlton</v>
      </c>
      <c r="K739" t="str">
        <f>VLOOKUP(C739,[1]Orders!$A$5:$W$1043,9,0)</f>
        <v>High</v>
      </c>
    </row>
    <row r="740" spans="3:11" x14ac:dyDescent="0.25">
      <c r="C740" s="61" t="s">
        <v>832</v>
      </c>
      <c r="D740" t="str">
        <f>VLOOKUP(C740,[1]Orders!$A$5:$W$1043,3,0)</f>
        <v>Bobby Trafton</v>
      </c>
      <c r="E740">
        <f>VLOOKUP(C740,[1]Orders!$A$5:$W$1043,23,0)</f>
        <v>55.91</v>
      </c>
      <c r="F740" t="str">
        <f>VLOOKUP(C740,[1]Orders!$A$5:$W$1043,5,0)</f>
        <v>Sydney</v>
      </c>
      <c r="G740" t="str">
        <f>VLOOKUP(C740,[1]Orders!$A$5:$W$1043,5,0)</f>
        <v>Sydney</v>
      </c>
      <c r="H740" t="str">
        <f>VLOOKUP(C740,[1]Orders!$A$5:$W$1043,6,0)</f>
        <v>NSW</v>
      </c>
      <c r="I740" t="str">
        <f>VLOOKUP(C740,[1]Orders!$A$5:$W$1043,7,0)</f>
        <v>Corporate</v>
      </c>
      <c r="J740" t="str">
        <f>VLOOKUP(C740,[1]Orders!$A$5:$W$1043,8,0)</f>
        <v>Mihael Khan</v>
      </c>
      <c r="K740" t="str">
        <f>VLOOKUP(C740,[1]Orders!$A$5:$W$1043,9,0)</f>
        <v>High</v>
      </c>
    </row>
    <row r="741" spans="3:11" x14ac:dyDescent="0.25">
      <c r="C741" s="61" t="s">
        <v>833</v>
      </c>
      <c r="D741" t="str">
        <f>VLOOKUP(C741,[1]Orders!$A$5:$W$1043,3,0)</f>
        <v>Clytie Kelty</v>
      </c>
      <c r="E741">
        <f>VLOOKUP(C741,[1]Orders!$A$5:$W$1043,23,0)</f>
        <v>21198.51</v>
      </c>
      <c r="F741" t="str">
        <f>VLOOKUP(C741,[1]Orders!$A$5:$W$1043,5,0)</f>
        <v>Sydney</v>
      </c>
      <c r="G741" t="str">
        <f>VLOOKUP(C741,[1]Orders!$A$5:$W$1043,5,0)</f>
        <v>Sydney</v>
      </c>
      <c r="H741" t="str">
        <f>VLOOKUP(C741,[1]Orders!$A$5:$W$1043,6,0)</f>
        <v>NSW</v>
      </c>
      <c r="I741" t="str">
        <f>VLOOKUP(C741,[1]Orders!$A$5:$W$1043,7,0)</f>
        <v>Small Business</v>
      </c>
      <c r="J741" t="str">
        <f>VLOOKUP(C741,[1]Orders!$A$5:$W$1043,8,0)</f>
        <v>Radhya Staples</v>
      </c>
      <c r="K741" t="str">
        <f>VLOOKUP(C741,[1]Orders!$A$5:$W$1043,9,0)</f>
        <v>Low</v>
      </c>
    </row>
    <row r="742" spans="3:11" x14ac:dyDescent="0.25">
      <c r="C742" s="61" t="s">
        <v>834</v>
      </c>
      <c r="D742" t="str">
        <f>VLOOKUP(C742,[1]Orders!$A$5:$W$1043,3,0)</f>
        <v>Barbara Fisher</v>
      </c>
      <c r="E742">
        <f>VLOOKUP(C742,[1]Orders!$A$5:$W$1043,23,0)</f>
        <v>50.980000000000004</v>
      </c>
      <c r="F742" t="str">
        <f>VLOOKUP(C742,[1]Orders!$A$5:$W$1043,5,0)</f>
        <v>Melbourne</v>
      </c>
      <c r="G742" t="str">
        <f>VLOOKUP(C742,[1]Orders!$A$5:$W$1043,5,0)</f>
        <v>Melbourne</v>
      </c>
      <c r="H742" t="str">
        <f>VLOOKUP(C742,[1]Orders!$A$5:$W$1043,6,0)</f>
        <v>VIC</v>
      </c>
      <c r="I742" t="str">
        <f>VLOOKUP(C742,[1]Orders!$A$5:$W$1043,7,0)</f>
        <v>Small Business</v>
      </c>
      <c r="J742" t="str">
        <f>VLOOKUP(C742,[1]Orders!$A$5:$W$1043,8,0)</f>
        <v>Connor Betts</v>
      </c>
      <c r="K742" t="str">
        <f>VLOOKUP(C742,[1]Orders!$A$5:$W$1043,9,0)</f>
        <v>Critical</v>
      </c>
    </row>
    <row r="743" spans="3:11" x14ac:dyDescent="0.25">
      <c r="C743" s="61" t="s">
        <v>835</v>
      </c>
      <c r="D743" t="str">
        <f>VLOOKUP(C743,[1]Orders!$A$5:$W$1043,3,0)</f>
        <v>Eva Jacobs</v>
      </c>
      <c r="E743">
        <f>VLOOKUP(C743,[1]Orders!$A$5:$W$1043,23,0)</f>
        <v>12.61</v>
      </c>
      <c r="F743" t="str">
        <f>VLOOKUP(C743,[1]Orders!$A$5:$W$1043,5,0)</f>
        <v>Sydney</v>
      </c>
      <c r="G743" t="str">
        <f>VLOOKUP(C743,[1]Orders!$A$5:$W$1043,5,0)</f>
        <v>Sydney</v>
      </c>
      <c r="H743" t="str">
        <f>VLOOKUP(C743,[1]Orders!$A$5:$W$1043,6,0)</f>
        <v>NSW</v>
      </c>
      <c r="I743" t="str">
        <f>VLOOKUP(C743,[1]Orders!$A$5:$W$1043,7,0)</f>
        <v>Home Office</v>
      </c>
      <c r="J743" t="str">
        <f>VLOOKUP(C743,[1]Orders!$A$5:$W$1043,8,0)</f>
        <v>Nicholas Fernandes</v>
      </c>
      <c r="K743" t="str">
        <f>VLOOKUP(C743,[1]Orders!$A$5:$W$1043,9,0)</f>
        <v>Low</v>
      </c>
    </row>
    <row r="744" spans="3:11" x14ac:dyDescent="0.25">
      <c r="C744" s="61" t="s">
        <v>836</v>
      </c>
      <c r="D744" t="str">
        <f>VLOOKUP(C744,[1]Orders!$A$5:$W$1043,3,0)</f>
        <v>Kelly Lampkin</v>
      </c>
      <c r="E744">
        <f>VLOOKUP(C744,[1]Orders!$A$5:$W$1043,23,0)</f>
        <v>11.22</v>
      </c>
      <c r="F744" t="str">
        <f>VLOOKUP(C744,[1]Orders!$A$5:$W$1043,5,0)</f>
        <v>Sydney</v>
      </c>
      <c r="G744" t="str">
        <f>VLOOKUP(C744,[1]Orders!$A$5:$W$1043,5,0)</f>
        <v>Sydney</v>
      </c>
      <c r="H744" t="str">
        <f>VLOOKUP(C744,[1]Orders!$A$5:$W$1043,6,0)</f>
        <v>NSW</v>
      </c>
      <c r="I744" t="str">
        <f>VLOOKUP(C744,[1]Orders!$A$5:$W$1043,7,0)</f>
        <v>Home Office</v>
      </c>
      <c r="J744" t="str">
        <f>VLOOKUP(C744,[1]Orders!$A$5:$W$1043,8,0)</f>
        <v>Aanya Zhang</v>
      </c>
      <c r="K744" t="str">
        <f>VLOOKUP(C744,[1]Orders!$A$5:$W$1043,9,0)</f>
        <v>Medium</v>
      </c>
    </row>
    <row r="745" spans="3:11" x14ac:dyDescent="0.25">
      <c r="C745" s="61" t="s">
        <v>837</v>
      </c>
      <c r="D745" t="str">
        <f>VLOOKUP(C745,[1]Orders!$A$5:$W$1043,3,0)</f>
        <v>Sung Shariari</v>
      </c>
      <c r="E745">
        <f>VLOOKUP(C745,[1]Orders!$A$5:$W$1043,23,0)</f>
        <v>12.7</v>
      </c>
      <c r="F745" t="str">
        <f>VLOOKUP(C745,[1]Orders!$A$5:$W$1043,5,0)</f>
        <v>Sydney</v>
      </c>
      <c r="G745" t="str">
        <f>VLOOKUP(C745,[1]Orders!$A$5:$W$1043,5,0)</f>
        <v>Sydney</v>
      </c>
      <c r="H745" t="str">
        <f>VLOOKUP(C745,[1]Orders!$A$5:$W$1043,6,0)</f>
        <v>NSW</v>
      </c>
      <c r="I745" t="str">
        <f>VLOOKUP(C745,[1]Orders!$A$5:$W$1043,7,0)</f>
        <v>Corporate</v>
      </c>
      <c r="J745" t="str">
        <f>VLOOKUP(C745,[1]Orders!$A$5:$W$1043,8,0)</f>
        <v>Leighton Forrest</v>
      </c>
      <c r="K745" t="str">
        <f>VLOOKUP(C745,[1]Orders!$A$5:$W$1043,9,0)</f>
        <v>High</v>
      </c>
    </row>
    <row r="746" spans="3:11" x14ac:dyDescent="0.25">
      <c r="C746" s="61" t="s">
        <v>838</v>
      </c>
      <c r="D746" t="str">
        <f>VLOOKUP(C746,[1]Orders!$A$5:$W$1043,3,0)</f>
        <v>Annie Thurman</v>
      </c>
      <c r="E746">
        <f>VLOOKUP(C746,[1]Orders!$A$5:$W$1043,23,0)</f>
        <v>255.89</v>
      </c>
      <c r="F746" t="str">
        <f>VLOOKUP(C746,[1]Orders!$A$5:$W$1043,5,0)</f>
        <v>Melbourne</v>
      </c>
      <c r="G746" t="str">
        <f>VLOOKUP(C746,[1]Orders!$A$5:$W$1043,5,0)</f>
        <v>Melbourne</v>
      </c>
      <c r="H746" t="str">
        <f>VLOOKUP(C746,[1]Orders!$A$5:$W$1043,6,0)</f>
        <v>VIC</v>
      </c>
      <c r="I746" t="str">
        <f>VLOOKUP(C746,[1]Orders!$A$5:$W$1043,7,0)</f>
        <v>Consumer</v>
      </c>
      <c r="J746" t="str">
        <f>VLOOKUP(C746,[1]Orders!$A$5:$W$1043,8,0)</f>
        <v>Yvette Biti</v>
      </c>
      <c r="K746" t="str">
        <f>VLOOKUP(C746,[1]Orders!$A$5:$W$1043,9,0)</f>
        <v>Critical</v>
      </c>
    </row>
    <row r="747" spans="3:11" x14ac:dyDescent="0.25">
      <c r="C747" s="61" t="s">
        <v>839</v>
      </c>
      <c r="D747" t="str">
        <f>VLOOKUP(C747,[1]Orders!$A$5:$W$1043,3,0)</f>
        <v>Shahid Hopkins</v>
      </c>
      <c r="E747">
        <f>VLOOKUP(C747,[1]Orders!$A$5:$W$1043,23,0)</f>
        <v>175.93</v>
      </c>
      <c r="F747" t="str">
        <f>VLOOKUP(C747,[1]Orders!$A$5:$W$1043,5,0)</f>
        <v>Sydney</v>
      </c>
      <c r="G747" t="str">
        <f>VLOOKUP(C747,[1]Orders!$A$5:$W$1043,5,0)</f>
        <v>Sydney</v>
      </c>
      <c r="H747" t="str">
        <f>VLOOKUP(C747,[1]Orders!$A$5:$W$1043,6,0)</f>
        <v>NSW</v>
      </c>
      <c r="I747" t="str">
        <f>VLOOKUP(C747,[1]Orders!$A$5:$W$1043,7,0)</f>
        <v>Small Business</v>
      </c>
      <c r="J747" t="str">
        <f>VLOOKUP(C747,[1]Orders!$A$5:$W$1043,8,0)</f>
        <v>Natasha Song</v>
      </c>
      <c r="K747" t="str">
        <f>VLOOKUP(C747,[1]Orders!$A$5:$W$1043,9,0)</f>
        <v>High</v>
      </c>
    </row>
    <row r="748" spans="3:11" x14ac:dyDescent="0.25">
      <c r="C748" s="61" t="s">
        <v>840</v>
      </c>
      <c r="D748" t="str">
        <f>VLOOKUP(C748,[1]Orders!$A$5:$W$1043,3,0)</f>
        <v>William Brown</v>
      </c>
      <c r="E748">
        <f>VLOOKUP(C748,[1]Orders!$A$5:$W$1043,23,0)</f>
        <v>606.97</v>
      </c>
      <c r="F748" t="str">
        <f>VLOOKUP(C748,[1]Orders!$A$5:$W$1043,5,0)</f>
        <v>Melbourne</v>
      </c>
      <c r="G748" t="str">
        <f>VLOOKUP(C748,[1]Orders!$A$5:$W$1043,5,0)</f>
        <v>Melbourne</v>
      </c>
      <c r="H748" t="str">
        <f>VLOOKUP(C748,[1]Orders!$A$5:$W$1043,6,0)</f>
        <v>VIC</v>
      </c>
      <c r="I748" t="str">
        <f>VLOOKUP(C748,[1]Orders!$A$5:$W$1043,7,0)</f>
        <v>Corporate</v>
      </c>
      <c r="J748" t="str">
        <f>VLOOKUP(C748,[1]Orders!$A$5:$W$1043,8,0)</f>
        <v>Yvette Biti</v>
      </c>
      <c r="K748" t="str">
        <f>VLOOKUP(C748,[1]Orders!$A$5:$W$1043,9,0)</f>
        <v>Not Specified</v>
      </c>
    </row>
    <row r="749" spans="3:11" x14ac:dyDescent="0.25">
      <c r="C749" s="61" t="s">
        <v>841</v>
      </c>
      <c r="D749" t="str">
        <f>VLOOKUP(C749,[1]Orders!$A$5:$W$1043,3,0)</f>
        <v>Gary Zandusky</v>
      </c>
      <c r="E749">
        <f>VLOOKUP(C749,[1]Orders!$A$5:$W$1043,23,0)</f>
        <v>8744.76</v>
      </c>
      <c r="F749" t="str">
        <f>VLOOKUP(C749,[1]Orders!$A$5:$W$1043,5,0)</f>
        <v>Sydney</v>
      </c>
      <c r="G749" t="str">
        <f>VLOOKUP(C749,[1]Orders!$A$5:$W$1043,5,0)</f>
        <v>Sydney</v>
      </c>
      <c r="H749" t="str">
        <f>VLOOKUP(C749,[1]Orders!$A$5:$W$1043,6,0)</f>
        <v>NSW</v>
      </c>
      <c r="I749" t="str">
        <f>VLOOKUP(C749,[1]Orders!$A$5:$W$1043,7,0)</f>
        <v>Home Office</v>
      </c>
      <c r="J749" t="str">
        <f>VLOOKUP(C749,[1]Orders!$A$5:$W$1043,8,0)</f>
        <v>Mihael Khan</v>
      </c>
      <c r="K749" t="str">
        <f>VLOOKUP(C749,[1]Orders!$A$5:$W$1043,9,0)</f>
        <v>High</v>
      </c>
    </row>
    <row r="750" spans="3:11" x14ac:dyDescent="0.25">
      <c r="C750" s="61" t="s">
        <v>842</v>
      </c>
      <c r="D750" t="str">
        <f>VLOOKUP(C750,[1]Orders!$A$5:$W$1043,3,0)</f>
        <v>Tamara Manning</v>
      </c>
      <c r="E750">
        <f>VLOOKUP(C750,[1]Orders!$A$5:$W$1043,23,0)</f>
        <v>6929.43</v>
      </c>
      <c r="F750" t="str">
        <f>VLOOKUP(C750,[1]Orders!$A$5:$W$1043,5,0)</f>
        <v>Sydney</v>
      </c>
      <c r="G750" t="str">
        <f>VLOOKUP(C750,[1]Orders!$A$5:$W$1043,5,0)</f>
        <v>Sydney</v>
      </c>
      <c r="H750" t="str">
        <f>VLOOKUP(C750,[1]Orders!$A$5:$W$1043,6,0)</f>
        <v>NSW</v>
      </c>
      <c r="I750" t="str">
        <f>VLOOKUP(C750,[1]Orders!$A$5:$W$1043,7,0)</f>
        <v>Corporate</v>
      </c>
      <c r="J750" t="str">
        <f>VLOOKUP(C750,[1]Orders!$A$5:$W$1043,8,0)</f>
        <v>Charlie Bui</v>
      </c>
      <c r="K750" t="str">
        <f>VLOOKUP(C750,[1]Orders!$A$5:$W$1043,9,0)</f>
        <v>High</v>
      </c>
    </row>
    <row r="751" spans="3:11" x14ac:dyDescent="0.25">
      <c r="C751" s="61" t="s">
        <v>843</v>
      </c>
      <c r="D751" t="str">
        <f>VLOOKUP(C751,[1]Orders!$A$5:$W$1043,3,0)</f>
        <v>Vivek Grady</v>
      </c>
      <c r="E751">
        <f>VLOOKUP(C751,[1]Orders!$A$5:$W$1043,23,0)</f>
        <v>605.26</v>
      </c>
      <c r="F751" t="str">
        <f>VLOOKUP(C751,[1]Orders!$A$5:$W$1043,5,0)</f>
        <v>Melbourne</v>
      </c>
      <c r="G751" t="str">
        <f>VLOOKUP(C751,[1]Orders!$A$5:$W$1043,5,0)</f>
        <v>Melbourne</v>
      </c>
      <c r="H751" t="str">
        <f>VLOOKUP(C751,[1]Orders!$A$5:$W$1043,6,0)</f>
        <v>VIC</v>
      </c>
      <c r="I751" t="str">
        <f>VLOOKUP(C751,[1]Orders!$A$5:$W$1043,7,0)</f>
        <v>Corporate</v>
      </c>
      <c r="J751" t="str">
        <f>VLOOKUP(C751,[1]Orders!$A$5:$W$1043,8,0)</f>
        <v>Connor Betts</v>
      </c>
      <c r="K751" t="str">
        <f>VLOOKUP(C751,[1]Orders!$A$5:$W$1043,9,0)</f>
        <v>High</v>
      </c>
    </row>
    <row r="752" spans="3:11" x14ac:dyDescent="0.25">
      <c r="C752" s="61" t="s">
        <v>844</v>
      </c>
      <c r="D752" t="str">
        <f>VLOOKUP(C752,[1]Orders!$A$5:$W$1043,3,0)</f>
        <v>Mitch Gastineau</v>
      </c>
      <c r="E752">
        <f>VLOOKUP(C752,[1]Orders!$A$5:$W$1043,23,0)</f>
        <v>4453.46</v>
      </c>
      <c r="F752" t="str">
        <f>VLOOKUP(C752,[1]Orders!$A$5:$W$1043,5,0)</f>
        <v>Sydney</v>
      </c>
      <c r="G752" t="str">
        <f>VLOOKUP(C752,[1]Orders!$A$5:$W$1043,5,0)</f>
        <v>Sydney</v>
      </c>
      <c r="H752" t="str">
        <f>VLOOKUP(C752,[1]Orders!$A$5:$W$1043,6,0)</f>
        <v>NSW</v>
      </c>
      <c r="I752" t="str">
        <f>VLOOKUP(C752,[1]Orders!$A$5:$W$1043,7,0)</f>
        <v>Small Business</v>
      </c>
      <c r="J752" t="str">
        <f>VLOOKUP(C752,[1]Orders!$A$5:$W$1043,8,0)</f>
        <v>Mihael Khan</v>
      </c>
      <c r="K752" t="str">
        <f>VLOOKUP(C752,[1]Orders!$A$5:$W$1043,9,0)</f>
        <v>Low</v>
      </c>
    </row>
    <row r="753" spans="3:11" x14ac:dyDescent="0.25">
      <c r="C753" s="61" t="s">
        <v>845</v>
      </c>
      <c r="D753" t="str">
        <f>VLOOKUP(C753,[1]Orders!$A$5:$W$1043,3,0)</f>
        <v>Cindy Schnelling</v>
      </c>
      <c r="E753">
        <f>VLOOKUP(C753,[1]Orders!$A$5:$W$1043,23,0)</f>
        <v>81.599999999999994</v>
      </c>
      <c r="F753" t="str">
        <f>VLOOKUP(C753,[1]Orders!$A$5:$W$1043,5,0)</f>
        <v>Melbourne</v>
      </c>
      <c r="G753" t="str">
        <f>VLOOKUP(C753,[1]Orders!$A$5:$W$1043,5,0)</f>
        <v>Melbourne</v>
      </c>
      <c r="H753" t="str">
        <f>VLOOKUP(C753,[1]Orders!$A$5:$W$1043,6,0)</f>
        <v>VIC</v>
      </c>
      <c r="I753" t="str">
        <f>VLOOKUP(C753,[1]Orders!$A$5:$W$1043,7,0)</f>
        <v>Corporate</v>
      </c>
      <c r="J753" t="str">
        <f>VLOOKUP(C753,[1]Orders!$A$5:$W$1043,8,0)</f>
        <v>Connor Betts</v>
      </c>
      <c r="K753" t="str">
        <f>VLOOKUP(C753,[1]Orders!$A$5:$W$1043,9,0)</f>
        <v>Critical</v>
      </c>
    </row>
    <row r="754" spans="3:11" x14ac:dyDescent="0.25">
      <c r="C754" s="61" t="s">
        <v>846</v>
      </c>
      <c r="D754" t="str">
        <f>VLOOKUP(C754,[1]Orders!$A$5:$W$1043,3,0)</f>
        <v>Peter Fuller</v>
      </c>
      <c r="E754">
        <f>VLOOKUP(C754,[1]Orders!$A$5:$W$1043,23,0)</f>
        <v>28.82</v>
      </c>
      <c r="F754" t="str">
        <f>VLOOKUP(C754,[1]Orders!$A$5:$W$1043,5,0)</f>
        <v>Sydney</v>
      </c>
      <c r="G754" t="str">
        <f>VLOOKUP(C754,[1]Orders!$A$5:$W$1043,5,0)</f>
        <v>Sydney</v>
      </c>
      <c r="H754" t="str">
        <f>VLOOKUP(C754,[1]Orders!$A$5:$W$1043,6,0)</f>
        <v>NSW</v>
      </c>
      <c r="I754" t="str">
        <f>VLOOKUP(C754,[1]Orders!$A$5:$W$1043,7,0)</f>
        <v>Corporate</v>
      </c>
      <c r="J754" t="str">
        <f>VLOOKUP(C754,[1]Orders!$A$5:$W$1043,8,0)</f>
        <v>Preston Senome</v>
      </c>
      <c r="K754" t="str">
        <f>VLOOKUP(C754,[1]Orders!$A$5:$W$1043,9,0)</f>
        <v>Low</v>
      </c>
    </row>
    <row r="755" spans="3:11" x14ac:dyDescent="0.25">
      <c r="C755" s="61" t="s">
        <v>847</v>
      </c>
      <c r="D755" t="str">
        <f>VLOOKUP(C755,[1]Orders!$A$5:$W$1043,3,0)</f>
        <v>Chuck Clark</v>
      </c>
      <c r="E755">
        <f>VLOOKUP(C755,[1]Orders!$A$5:$W$1043,23,0)</f>
        <v>232.35</v>
      </c>
      <c r="F755" t="str">
        <f>VLOOKUP(C755,[1]Orders!$A$5:$W$1043,5,0)</f>
        <v>Sydney</v>
      </c>
      <c r="G755" t="str">
        <f>VLOOKUP(C755,[1]Orders!$A$5:$W$1043,5,0)</f>
        <v>Sydney</v>
      </c>
      <c r="H755" t="str">
        <f>VLOOKUP(C755,[1]Orders!$A$5:$W$1043,6,0)</f>
        <v>NSW</v>
      </c>
      <c r="I755" t="str">
        <f>VLOOKUP(C755,[1]Orders!$A$5:$W$1043,7,0)</f>
        <v>Corporate</v>
      </c>
      <c r="J755" t="str">
        <f>VLOOKUP(C755,[1]Orders!$A$5:$W$1043,8,0)</f>
        <v>Tina Carlton</v>
      </c>
      <c r="K755" t="str">
        <f>VLOOKUP(C755,[1]Orders!$A$5:$W$1043,9,0)</f>
        <v>Medium</v>
      </c>
    </row>
    <row r="756" spans="3:11" x14ac:dyDescent="0.25">
      <c r="C756" s="61" t="s">
        <v>848</v>
      </c>
      <c r="D756" t="str">
        <f>VLOOKUP(C756,[1]Orders!$A$5:$W$1043,3,0)</f>
        <v>Nora Price</v>
      </c>
      <c r="E756">
        <f>VLOOKUP(C756,[1]Orders!$A$5:$W$1043,23,0)</f>
        <v>104.86999999999999</v>
      </c>
      <c r="F756" t="str">
        <f>VLOOKUP(C756,[1]Orders!$A$5:$W$1043,5,0)</f>
        <v>Sydney</v>
      </c>
      <c r="G756" t="str">
        <f>VLOOKUP(C756,[1]Orders!$A$5:$W$1043,5,0)</f>
        <v>Sydney</v>
      </c>
      <c r="H756" t="str">
        <f>VLOOKUP(C756,[1]Orders!$A$5:$W$1043,6,0)</f>
        <v>NSW</v>
      </c>
      <c r="I756" t="str">
        <f>VLOOKUP(C756,[1]Orders!$A$5:$W$1043,7,0)</f>
        <v>Home Office</v>
      </c>
      <c r="J756" t="str">
        <f>VLOOKUP(C756,[1]Orders!$A$5:$W$1043,8,0)</f>
        <v>Preston Senome</v>
      </c>
      <c r="K756" t="str">
        <f>VLOOKUP(C756,[1]Orders!$A$5:$W$1043,9,0)</f>
        <v>High</v>
      </c>
    </row>
    <row r="757" spans="3:11" x14ac:dyDescent="0.25">
      <c r="C757" s="61" t="s">
        <v>849</v>
      </c>
      <c r="D757" t="str">
        <f>VLOOKUP(C757,[1]Orders!$A$5:$W$1043,3,0)</f>
        <v>Michael Oakman</v>
      </c>
      <c r="E757">
        <f>VLOOKUP(C757,[1]Orders!$A$5:$W$1043,23,0)</f>
        <v>475.18000000000006</v>
      </c>
      <c r="F757" t="str">
        <f>VLOOKUP(C757,[1]Orders!$A$5:$W$1043,5,0)</f>
        <v>Melbourne</v>
      </c>
      <c r="G757" t="str">
        <f>VLOOKUP(C757,[1]Orders!$A$5:$W$1043,5,0)</f>
        <v>Melbourne</v>
      </c>
      <c r="H757" t="str">
        <f>VLOOKUP(C757,[1]Orders!$A$5:$W$1043,6,0)</f>
        <v>VIC</v>
      </c>
      <c r="I757" t="str">
        <f>VLOOKUP(C757,[1]Orders!$A$5:$W$1043,7,0)</f>
        <v>Small Business</v>
      </c>
      <c r="J757" t="str">
        <f>VLOOKUP(C757,[1]Orders!$A$5:$W$1043,8,0)</f>
        <v>Connor Betts</v>
      </c>
      <c r="K757" t="str">
        <f>VLOOKUP(C757,[1]Orders!$A$5:$W$1043,9,0)</f>
        <v>Not Specified</v>
      </c>
    </row>
    <row r="758" spans="3:11" x14ac:dyDescent="0.25">
      <c r="C758" s="61" t="s">
        <v>850</v>
      </c>
      <c r="D758" t="str">
        <f>VLOOKUP(C758,[1]Orders!$A$5:$W$1043,3,0)</f>
        <v>Alan Hwang</v>
      </c>
      <c r="E758">
        <f>VLOOKUP(C758,[1]Orders!$A$5:$W$1043,23,0)</f>
        <v>251.07</v>
      </c>
      <c r="F758" t="str">
        <f>VLOOKUP(C758,[1]Orders!$A$5:$W$1043,5,0)</f>
        <v>Melbourne</v>
      </c>
      <c r="G758" t="str">
        <f>VLOOKUP(C758,[1]Orders!$A$5:$W$1043,5,0)</f>
        <v>Melbourne</v>
      </c>
      <c r="H758" t="str">
        <f>VLOOKUP(C758,[1]Orders!$A$5:$W$1043,6,0)</f>
        <v>VIC</v>
      </c>
      <c r="I758" t="str">
        <f>VLOOKUP(C758,[1]Orders!$A$5:$W$1043,7,0)</f>
        <v>Corporate</v>
      </c>
      <c r="J758" t="str">
        <f>VLOOKUP(C758,[1]Orders!$A$5:$W$1043,8,0)</f>
        <v>Yvette Biti</v>
      </c>
      <c r="K758" t="str">
        <f>VLOOKUP(C758,[1]Orders!$A$5:$W$1043,9,0)</f>
        <v>Low</v>
      </c>
    </row>
    <row r="759" spans="3:11" x14ac:dyDescent="0.25">
      <c r="C759" s="61" t="s">
        <v>851</v>
      </c>
      <c r="D759" t="str">
        <f>VLOOKUP(C759,[1]Orders!$A$5:$W$1043,3,0)</f>
        <v>Jenna Caffey</v>
      </c>
      <c r="E759">
        <f>VLOOKUP(C759,[1]Orders!$A$5:$W$1043,23,0)</f>
        <v>143.52000000000001</v>
      </c>
      <c r="F759" t="str">
        <f>VLOOKUP(C759,[1]Orders!$A$5:$W$1043,5,0)</f>
        <v>Sydney</v>
      </c>
      <c r="G759" t="str">
        <f>VLOOKUP(C759,[1]Orders!$A$5:$W$1043,5,0)</f>
        <v>Sydney</v>
      </c>
      <c r="H759" t="str">
        <f>VLOOKUP(C759,[1]Orders!$A$5:$W$1043,6,0)</f>
        <v>NSW</v>
      </c>
      <c r="I759" t="str">
        <f>VLOOKUP(C759,[1]Orders!$A$5:$W$1043,7,0)</f>
        <v>Consumer</v>
      </c>
      <c r="J759" t="str">
        <f>VLOOKUP(C759,[1]Orders!$A$5:$W$1043,8,0)</f>
        <v>Tina Carlton</v>
      </c>
      <c r="K759" t="str">
        <f>VLOOKUP(C759,[1]Orders!$A$5:$W$1043,9,0)</f>
        <v>Critical</v>
      </c>
    </row>
    <row r="760" spans="3:11" x14ac:dyDescent="0.25">
      <c r="C760" s="61" t="s">
        <v>852</v>
      </c>
      <c r="D760" t="str">
        <f>VLOOKUP(C760,[1]Orders!$A$5:$W$1043,3,0)</f>
        <v>Beth Fritzler</v>
      </c>
      <c r="E760">
        <f>VLOOKUP(C760,[1]Orders!$A$5:$W$1043,23,0)</f>
        <v>168.34</v>
      </c>
      <c r="F760" t="str">
        <f>VLOOKUP(C760,[1]Orders!$A$5:$W$1043,5,0)</f>
        <v>Sydney</v>
      </c>
      <c r="G760" t="str">
        <f>VLOOKUP(C760,[1]Orders!$A$5:$W$1043,5,0)</f>
        <v>Sydney</v>
      </c>
      <c r="H760" t="str">
        <f>VLOOKUP(C760,[1]Orders!$A$5:$W$1043,6,0)</f>
        <v>NSW</v>
      </c>
      <c r="I760" t="str">
        <f>VLOOKUP(C760,[1]Orders!$A$5:$W$1043,7,0)</f>
        <v>Small Business</v>
      </c>
      <c r="J760" t="str">
        <f>VLOOKUP(C760,[1]Orders!$A$5:$W$1043,8,0)</f>
        <v>Phoebe Gour</v>
      </c>
      <c r="K760" t="str">
        <f>VLOOKUP(C760,[1]Orders!$A$5:$W$1043,9,0)</f>
        <v>Critical</v>
      </c>
    </row>
    <row r="761" spans="3:11" x14ac:dyDescent="0.25">
      <c r="C761" s="61" t="s">
        <v>853</v>
      </c>
      <c r="D761" t="str">
        <f>VLOOKUP(C761,[1]Orders!$A$5:$W$1043,3,0)</f>
        <v>Shahid Hopkins</v>
      </c>
      <c r="E761">
        <f>VLOOKUP(C761,[1]Orders!$A$5:$W$1043,23,0)</f>
        <v>113.30000000000001</v>
      </c>
      <c r="F761" t="str">
        <f>VLOOKUP(C761,[1]Orders!$A$5:$W$1043,5,0)</f>
        <v>Sydney</v>
      </c>
      <c r="G761" t="str">
        <f>VLOOKUP(C761,[1]Orders!$A$5:$W$1043,5,0)</f>
        <v>Sydney</v>
      </c>
      <c r="H761" t="str">
        <f>VLOOKUP(C761,[1]Orders!$A$5:$W$1043,6,0)</f>
        <v>NSW</v>
      </c>
      <c r="I761" t="str">
        <f>VLOOKUP(C761,[1]Orders!$A$5:$W$1043,7,0)</f>
        <v>Small Business</v>
      </c>
      <c r="J761" t="str">
        <f>VLOOKUP(C761,[1]Orders!$A$5:$W$1043,8,0)</f>
        <v>Natasha Song</v>
      </c>
      <c r="K761" t="str">
        <f>VLOOKUP(C761,[1]Orders!$A$5:$W$1043,9,0)</f>
        <v>Low</v>
      </c>
    </row>
    <row r="762" spans="3:11" x14ac:dyDescent="0.25">
      <c r="C762" s="61" t="s">
        <v>854</v>
      </c>
      <c r="D762" t="str">
        <f>VLOOKUP(C762,[1]Orders!$A$5:$W$1043,3,0)</f>
        <v>Lycoris Saunders</v>
      </c>
      <c r="E762">
        <f>VLOOKUP(C762,[1]Orders!$A$5:$W$1043,23,0)</f>
        <v>34.78</v>
      </c>
      <c r="F762" t="str">
        <f>VLOOKUP(C762,[1]Orders!$A$5:$W$1043,5,0)</f>
        <v>Sydney</v>
      </c>
      <c r="G762" t="str">
        <f>VLOOKUP(C762,[1]Orders!$A$5:$W$1043,5,0)</f>
        <v>Sydney</v>
      </c>
      <c r="H762" t="str">
        <f>VLOOKUP(C762,[1]Orders!$A$5:$W$1043,6,0)</f>
        <v>NSW</v>
      </c>
      <c r="I762" t="str">
        <f>VLOOKUP(C762,[1]Orders!$A$5:$W$1043,7,0)</f>
        <v>Home Office</v>
      </c>
      <c r="J762" t="str">
        <f>VLOOKUP(C762,[1]Orders!$A$5:$W$1043,8,0)</f>
        <v>Samantha Chairs</v>
      </c>
      <c r="K762" t="str">
        <f>VLOOKUP(C762,[1]Orders!$A$5:$W$1043,9,0)</f>
        <v>High</v>
      </c>
    </row>
    <row r="763" spans="3:11" x14ac:dyDescent="0.25">
      <c r="C763" s="61" t="s">
        <v>855</v>
      </c>
      <c r="D763" t="str">
        <f>VLOOKUP(C763,[1]Orders!$A$5:$W$1043,3,0)</f>
        <v>Ellis Ballard</v>
      </c>
      <c r="E763">
        <f>VLOOKUP(C763,[1]Orders!$A$5:$W$1043,23,0)</f>
        <v>59.66</v>
      </c>
      <c r="F763" t="str">
        <f>VLOOKUP(C763,[1]Orders!$A$5:$W$1043,5,0)</f>
        <v>Sydney</v>
      </c>
      <c r="G763" t="str">
        <f>VLOOKUP(C763,[1]Orders!$A$5:$W$1043,5,0)</f>
        <v>Sydney</v>
      </c>
      <c r="H763" t="str">
        <f>VLOOKUP(C763,[1]Orders!$A$5:$W$1043,6,0)</f>
        <v>NSW</v>
      </c>
      <c r="I763" t="str">
        <f>VLOOKUP(C763,[1]Orders!$A$5:$W$1043,7,0)</f>
        <v>Corporate</v>
      </c>
      <c r="J763" t="str">
        <f>VLOOKUP(C763,[1]Orders!$A$5:$W$1043,8,0)</f>
        <v>Tina Carlton</v>
      </c>
      <c r="K763" t="str">
        <f>VLOOKUP(C763,[1]Orders!$A$5:$W$1043,9,0)</f>
        <v>Medium</v>
      </c>
    </row>
    <row r="764" spans="3:11" x14ac:dyDescent="0.25">
      <c r="C764" s="61" t="s">
        <v>856</v>
      </c>
      <c r="D764" t="str">
        <f>VLOOKUP(C764,[1]Orders!$A$5:$W$1043,3,0)</f>
        <v>Henry Goldwyn</v>
      </c>
      <c r="E764">
        <f>VLOOKUP(C764,[1]Orders!$A$5:$W$1043,23,0)</f>
        <v>2598.62</v>
      </c>
      <c r="F764" t="str">
        <f>VLOOKUP(C764,[1]Orders!$A$5:$W$1043,5,0)</f>
        <v>Melbourne</v>
      </c>
      <c r="G764" t="str">
        <f>VLOOKUP(C764,[1]Orders!$A$5:$W$1043,5,0)</f>
        <v>Melbourne</v>
      </c>
      <c r="H764" t="str">
        <f>VLOOKUP(C764,[1]Orders!$A$5:$W$1043,6,0)</f>
        <v>VIC</v>
      </c>
      <c r="I764" t="str">
        <f>VLOOKUP(C764,[1]Orders!$A$5:$W$1043,7,0)</f>
        <v>Small Business</v>
      </c>
      <c r="J764" t="str">
        <f>VLOOKUP(C764,[1]Orders!$A$5:$W$1043,8,0)</f>
        <v>Yvette Biti</v>
      </c>
      <c r="K764" t="str">
        <f>VLOOKUP(C764,[1]Orders!$A$5:$W$1043,9,0)</f>
        <v>Low</v>
      </c>
    </row>
    <row r="765" spans="3:11" x14ac:dyDescent="0.25">
      <c r="C765" s="61" t="s">
        <v>857</v>
      </c>
      <c r="D765" t="str">
        <f>VLOOKUP(C765,[1]Orders!$A$5:$W$1043,3,0)</f>
        <v>Dennis Bolton</v>
      </c>
      <c r="E765">
        <f>VLOOKUP(C765,[1]Orders!$A$5:$W$1043,23,0)</f>
        <v>104.72999999999999</v>
      </c>
      <c r="F765" t="str">
        <f>VLOOKUP(C765,[1]Orders!$A$5:$W$1043,5,0)</f>
        <v>Sydney</v>
      </c>
      <c r="G765" t="str">
        <f>VLOOKUP(C765,[1]Orders!$A$5:$W$1043,5,0)</f>
        <v>Sydney</v>
      </c>
      <c r="H765" t="str">
        <f>VLOOKUP(C765,[1]Orders!$A$5:$W$1043,6,0)</f>
        <v>NSW</v>
      </c>
      <c r="I765" t="str">
        <f>VLOOKUP(C765,[1]Orders!$A$5:$W$1043,7,0)</f>
        <v>Small Business</v>
      </c>
      <c r="J765" t="str">
        <f>VLOOKUP(C765,[1]Orders!$A$5:$W$1043,8,0)</f>
        <v>Leighton Forrest</v>
      </c>
      <c r="K765" t="str">
        <f>VLOOKUP(C765,[1]Orders!$A$5:$W$1043,9,0)</f>
        <v>Critical</v>
      </c>
    </row>
    <row r="766" spans="3:11" x14ac:dyDescent="0.25">
      <c r="C766" s="61" t="s">
        <v>858</v>
      </c>
      <c r="D766" t="str">
        <f>VLOOKUP(C766,[1]Orders!$A$5:$W$1043,3,0)</f>
        <v>Jeremy Pistek</v>
      </c>
      <c r="E766">
        <f>VLOOKUP(C766,[1]Orders!$A$5:$W$1043,23,0)</f>
        <v>46.68</v>
      </c>
      <c r="F766" t="str">
        <f>VLOOKUP(C766,[1]Orders!$A$5:$W$1043,5,0)</f>
        <v>Sydney</v>
      </c>
      <c r="G766" t="str">
        <f>VLOOKUP(C766,[1]Orders!$A$5:$W$1043,5,0)</f>
        <v>Sydney</v>
      </c>
      <c r="H766" t="str">
        <f>VLOOKUP(C766,[1]Orders!$A$5:$W$1043,6,0)</f>
        <v>NSW</v>
      </c>
      <c r="I766" t="str">
        <f>VLOOKUP(C766,[1]Orders!$A$5:$W$1043,7,0)</f>
        <v>Corporate</v>
      </c>
      <c r="J766" t="str">
        <f>VLOOKUP(C766,[1]Orders!$A$5:$W$1043,8,0)</f>
        <v>Mihael Khan</v>
      </c>
      <c r="K766" t="str">
        <f>VLOOKUP(C766,[1]Orders!$A$5:$W$1043,9,0)</f>
        <v>Critical</v>
      </c>
    </row>
    <row r="767" spans="3:11" x14ac:dyDescent="0.25">
      <c r="C767" s="61" t="s">
        <v>859</v>
      </c>
      <c r="D767" t="str">
        <f>VLOOKUP(C767,[1]Orders!$A$5:$W$1043,3,0)</f>
        <v>Paul MacIntyre</v>
      </c>
      <c r="E767">
        <f>VLOOKUP(C767,[1]Orders!$A$5:$W$1043,23,0)</f>
        <v>1570.1200000000001</v>
      </c>
      <c r="F767" t="str">
        <f>VLOOKUP(C767,[1]Orders!$A$5:$W$1043,5,0)</f>
        <v>Melbourne</v>
      </c>
      <c r="G767" t="str">
        <f>VLOOKUP(C767,[1]Orders!$A$5:$W$1043,5,0)</f>
        <v>Melbourne</v>
      </c>
      <c r="H767" t="str">
        <f>VLOOKUP(C767,[1]Orders!$A$5:$W$1043,6,0)</f>
        <v>VIC</v>
      </c>
      <c r="I767" t="str">
        <f>VLOOKUP(C767,[1]Orders!$A$5:$W$1043,7,0)</f>
        <v>Corporate</v>
      </c>
      <c r="J767" t="str">
        <f>VLOOKUP(C767,[1]Orders!$A$5:$W$1043,8,0)</f>
        <v>Yvette Biti</v>
      </c>
      <c r="K767" t="str">
        <f>VLOOKUP(C767,[1]Orders!$A$5:$W$1043,9,0)</f>
        <v>High</v>
      </c>
    </row>
    <row r="768" spans="3:11" x14ac:dyDescent="0.25">
      <c r="C768" s="61" t="s">
        <v>860</v>
      </c>
      <c r="D768" t="str">
        <f>VLOOKUP(C768,[1]Orders!$A$5:$W$1043,3,0)</f>
        <v>Julie Creighton</v>
      </c>
      <c r="E768">
        <f>VLOOKUP(C768,[1]Orders!$A$5:$W$1043,23,0)</f>
        <v>275.52</v>
      </c>
      <c r="F768" t="str">
        <f>VLOOKUP(C768,[1]Orders!$A$5:$W$1043,5,0)</f>
        <v>Sydney</v>
      </c>
      <c r="G768" t="str">
        <f>VLOOKUP(C768,[1]Orders!$A$5:$W$1043,5,0)</f>
        <v>Sydney</v>
      </c>
      <c r="H768" t="str">
        <f>VLOOKUP(C768,[1]Orders!$A$5:$W$1043,6,0)</f>
        <v>NSW</v>
      </c>
      <c r="I768" t="str">
        <f>VLOOKUP(C768,[1]Orders!$A$5:$W$1043,7,0)</f>
        <v>Corporate</v>
      </c>
      <c r="J768" t="str">
        <f>VLOOKUP(C768,[1]Orders!$A$5:$W$1043,8,0)</f>
        <v>Mihael Khan</v>
      </c>
      <c r="K768" t="str">
        <f>VLOOKUP(C768,[1]Orders!$A$5:$W$1043,9,0)</f>
        <v>Not Specified</v>
      </c>
    </row>
    <row r="769" spans="3:11" x14ac:dyDescent="0.25">
      <c r="C769" s="61" t="s">
        <v>861</v>
      </c>
      <c r="D769" t="str">
        <f>VLOOKUP(C769,[1]Orders!$A$5:$W$1043,3,0)</f>
        <v>Lindsay Castell</v>
      </c>
      <c r="E769">
        <f>VLOOKUP(C769,[1]Orders!$A$5:$W$1043,23,0)</f>
        <v>81.53</v>
      </c>
      <c r="F769" t="str">
        <f>VLOOKUP(C769,[1]Orders!$A$5:$W$1043,5,0)</f>
        <v>Sydney</v>
      </c>
      <c r="G769" t="str">
        <f>VLOOKUP(C769,[1]Orders!$A$5:$W$1043,5,0)</f>
        <v>Sydney</v>
      </c>
      <c r="H769" t="str">
        <f>VLOOKUP(C769,[1]Orders!$A$5:$W$1043,6,0)</f>
        <v>NSW</v>
      </c>
      <c r="I769" t="str">
        <f>VLOOKUP(C769,[1]Orders!$A$5:$W$1043,7,0)</f>
        <v>Small Business</v>
      </c>
      <c r="J769" t="str">
        <f>VLOOKUP(C769,[1]Orders!$A$5:$W$1043,8,0)</f>
        <v>Phoebe Gour</v>
      </c>
      <c r="K769" t="str">
        <f>VLOOKUP(C769,[1]Orders!$A$5:$W$1043,9,0)</f>
        <v>High</v>
      </c>
    </row>
    <row r="770" spans="3:11" x14ac:dyDescent="0.25">
      <c r="C770" s="61" t="s">
        <v>862</v>
      </c>
      <c r="D770" t="str">
        <f>VLOOKUP(C770,[1]Orders!$A$5:$W$1043,3,0)</f>
        <v>Erin Creighton</v>
      </c>
      <c r="E770">
        <f>VLOOKUP(C770,[1]Orders!$A$5:$W$1043,23,0)</f>
        <v>109.57</v>
      </c>
      <c r="F770" t="str">
        <f>VLOOKUP(C770,[1]Orders!$A$5:$W$1043,5,0)</f>
        <v>Sydney</v>
      </c>
      <c r="G770" t="str">
        <f>VLOOKUP(C770,[1]Orders!$A$5:$W$1043,5,0)</f>
        <v>Sydney</v>
      </c>
      <c r="H770" t="str">
        <f>VLOOKUP(C770,[1]Orders!$A$5:$W$1043,6,0)</f>
        <v>NSW</v>
      </c>
      <c r="I770" t="str">
        <f>VLOOKUP(C770,[1]Orders!$A$5:$W$1043,7,0)</f>
        <v>Corporate</v>
      </c>
      <c r="J770" t="str">
        <f>VLOOKUP(C770,[1]Orders!$A$5:$W$1043,8,0)</f>
        <v>Aanya Zhang</v>
      </c>
      <c r="K770" t="str">
        <f>VLOOKUP(C770,[1]Orders!$A$5:$W$1043,9,0)</f>
        <v>Low</v>
      </c>
    </row>
    <row r="771" spans="3:11" x14ac:dyDescent="0.25">
      <c r="C771" s="61" t="s">
        <v>863</v>
      </c>
      <c r="D771" t="str">
        <f>VLOOKUP(C771,[1]Orders!$A$5:$W$1043,3,0)</f>
        <v>Dan Lawera</v>
      </c>
      <c r="E771">
        <f>VLOOKUP(C771,[1]Orders!$A$5:$W$1043,23,0)</f>
        <v>39.019999999999996</v>
      </c>
      <c r="F771" t="str">
        <f>VLOOKUP(C771,[1]Orders!$A$5:$W$1043,5,0)</f>
        <v>Sydney</v>
      </c>
      <c r="G771" t="str">
        <f>VLOOKUP(C771,[1]Orders!$A$5:$W$1043,5,0)</f>
        <v>Sydney</v>
      </c>
      <c r="H771" t="str">
        <f>VLOOKUP(C771,[1]Orders!$A$5:$W$1043,6,0)</f>
        <v>NSW</v>
      </c>
      <c r="I771" t="str">
        <f>VLOOKUP(C771,[1]Orders!$A$5:$W$1043,7,0)</f>
        <v>Corporate</v>
      </c>
      <c r="J771" t="str">
        <f>VLOOKUP(C771,[1]Orders!$A$5:$W$1043,8,0)</f>
        <v>Nicholas Fernandes</v>
      </c>
      <c r="K771" t="str">
        <f>VLOOKUP(C771,[1]Orders!$A$5:$W$1043,9,0)</f>
        <v>Not Specified</v>
      </c>
    </row>
    <row r="772" spans="3:11" x14ac:dyDescent="0.25">
      <c r="C772" s="61" t="s">
        <v>864</v>
      </c>
      <c r="D772" t="str">
        <f>VLOOKUP(C772,[1]Orders!$A$5:$W$1043,3,0)</f>
        <v>Valerie Dominguez</v>
      </c>
      <c r="E772">
        <f>VLOOKUP(C772,[1]Orders!$A$5:$W$1043,23,0)</f>
        <v>68.84</v>
      </c>
      <c r="F772" t="str">
        <f>VLOOKUP(C772,[1]Orders!$A$5:$W$1043,5,0)</f>
        <v>Sydney</v>
      </c>
      <c r="G772" t="str">
        <f>VLOOKUP(C772,[1]Orders!$A$5:$W$1043,5,0)</f>
        <v>Sydney</v>
      </c>
      <c r="H772" t="str">
        <f>VLOOKUP(C772,[1]Orders!$A$5:$W$1043,6,0)</f>
        <v>NSW</v>
      </c>
      <c r="I772" t="str">
        <f>VLOOKUP(C772,[1]Orders!$A$5:$W$1043,7,0)</f>
        <v>Corporate</v>
      </c>
      <c r="J772" t="str">
        <f>VLOOKUP(C772,[1]Orders!$A$5:$W$1043,8,0)</f>
        <v>Tina Carlton</v>
      </c>
      <c r="K772" t="str">
        <f>VLOOKUP(C772,[1]Orders!$A$5:$W$1043,9,0)</f>
        <v>Low</v>
      </c>
    </row>
    <row r="773" spans="3:11" x14ac:dyDescent="0.25">
      <c r="C773" s="61" t="s">
        <v>865</v>
      </c>
      <c r="D773" t="str">
        <f>VLOOKUP(C773,[1]Orders!$A$5:$W$1043,3,0)</f>
        <v>Craig Carroll</v>
      </c>
      <c r="E773">
        <f>VLOOKUP(C773,[1]Orders!$A$5:$W$1043,23,0)</f>
        <v>38.72</v>
      </c>
      <c r="F773" t="str">
        <f>VLOOKUP(C773,[1]Orders!$A$5:$W$1043,5,0)</f>
        <v>Melbourne</v>
      </c>
      <c r="G773" t="str">
        <f>VLOOKUP(C773,[1]Orders!$A$5:$W$1043,5,0)</f>
        <v>Melbourne</v>
      </c>
      <c r="H773" t="str">
        <f>VLOOKUP(C773,[1]Orders!$A$5:$W$1043,6,0)</f>
        <v>VIC</v>
      </c>
      <c r="I773" t="str">
        <f>VLOOKUP(C773,[1]Orders!$A$5:$W$1043,7,0)</f>
        <v>Corporate</v>
      </c>
      <c r="J773" t="str">
        <f>VLOOKUP(C773,[1]Orders!$A$5:$W$1043,8,0)</f>
        <v>Connor Betts</v>
      </c>
      <c r="K773" t="str">
        <f>VLOOKUP(C773,[1]Orders!$A$5:$W$1043,9,0)</f>
        <v>High</v>
      </c>
    </row>
    <row r="774" spans="3:11" x14ac:dyDescent="0.25">
      <c r="C774" s="61" t="s">
        <v>866</v>
      </c>
      <c r="D774" t="str">
        <f>VLOOKUP(C774,[1]Orders!$A$5:$W$1043,3,0)</f>
        <v>Vivek Grady</v>
      </c>
      <c r="E774">
        <f>VLOOKUP(C774,[1]Orders!$A$5:$W$1043,23,0)</f>
        <v>11.049999999999999</v>
      </c>
      <c r="F774" t="str">
        <f>VLOOKUP(C774,[1]Orders!$A$5:$W$1043,5,0)</f>
        <v>Melbourne</v>
      </c>
      <c r="G774" t="str">
        <f>VLOOKUP(C774,[1]Orders!$A$5:$W$1043,5,0)</f>
        <v>Melbourne</v>
      </c>
      <c r="H774" t="str">
        <f>VLOOKUP(C774,[1]Orders!$A$5:$W$1043,6,0)</f>
        <v>VIC</v>
      </c>
      <c r="I774" t="str">
        <f>VLOOKUP(C774,[1]Orders!$A$5:$W$1043,7,0)</f>
        <v>Home Office</v>
      </c>
      <c r="J774" t="str">
        <f>VLOOKUP(C774,[1]Orders!$A$5:$W$1043,8,0)</f>
        <v>Connor Betts</v>
      </c>
      <c r="K774" t="str">
        <f>VLOOKUP(C774,[1]Orders!$A$5:$W$1043,9,0)</f>
        <v>Medium</v>
      </c>
    </row>
    <row r="775" spans="3:11" x14ac:dyDescent="0.25">
      <c r="C775" s="61" t="s">
        <v>867</v>
      </c>
      <c r="D775" t="str">
        <f>VLOOKUP(C775,[1]Orders!$A$5:$W$1043,3,0)</f>
        <v>Paul Knutson</v>
      </c>
      <c r="E775">
        <f>VLOOKUP(C775,[1]Orders!$A$5:$W$1043,23,0)</f>
        <v>2414.89</v>
      </c>
      <c r="F775" t="str">
        <f>VLOOKUP(C775,[1]Orders!$A$5:$W$1043,5,0)</f>
        <v>Sydney</v>
      </c>
      <c r="G775" t="str">
        <f>VLOOKUP(C775,[1]Orders!$A$5:$W$1043,5,0)</f>
        <v>Sydney</v>
      </c>
      <c r="H775" t="str">
        <f>VLOOKUP(C775,[1]Orders!$A$5:$W$1043,6,0)</f>
        <v>NSW</v>
      </c>
      <c r="I775" t="str">
        <f>VLOOKUP(C775,[1]Orders!$A$5:$W$1043,7,0)</f>
        <v>Corporate</v>
      </c>
      <c r="J775" t="str">
        <f>VLOOKUP(C775,[1]Orders!$A$5:$W$1043,8,0)</f>
        <v>Leighton Forrest</v>
      </c>
      <c r="K775" t="str">
        <f>VLOOKUP(C775,[1]Orders!$A$5:$W$1043,9,0)</f>
        <v>Critical</v>
      </c>
    </row>
    <row r="776" spans="3:11" x14ac:dyDescent="0.25">
      <c r="C776" s="61" t="s">
        <v>868</v>
      </c>
      <c r="D776" t="str">
        <f>VLOOKUP(C776,[1]Orders!$A$5:$W$1043,3,0)</f>
        <v>Charles Crestani</v>
      </c>
      <c r="E776">
        <f>VLOOKUP(C776,[1]Orders!$A$5:$W$1043,23,0)</f>
        <v>6700.11</v>
      </c>
      <c r="F776" t="str">
        <f>VLOOKUP(C776,[1]Orders!$A$5:$W$1043,5,0)</f>
        <v>Sydney</v>
      </c>
      <c r="G776" t="str">
        <f>VLOOKUP(C776,[1]Orders!$A$5:$W$1043,5,0)</f>
        <v>Sydney</v>
      </c>
      <c r="H776" t="str">
        <f>VLOOKUP(C776,[1]Orders!$A$5:$W$1043,6,0)</f>
        <v>NSW</v>
      </c>
      <c r="I776" t="str">
        <f>VLOOKUP(C776,[1]Orders!$A$5:$W$1043,7,0)</f>
        <v>Consumer</v>
      </c>
      <c r="J776" t="str">
        <f>VLOOKUP(C776,[1]Orders!$A$5:$W$1043,8,0)</f>
        <v>Phoebe Gour</v>
      </c>
      <c r="K776" t="str">
        <f>VLOOKUP(C776,[1]Orders!$A$5:$W$1043,9,0)</f>
        <v>Medium</v>
      </c>
    </row>
    <row r="777" spans="3:11" x14ac:dyDescent="0.25">
      <c r="C777" s="61" t="s">
        <v>869</v>
      </c>
      <c r="D777" t="str">
        <f>VLOOKUP(C777,[1]Orders!$A$5:$W$1043,3,0)</f>
        <v>Olvera Toch</v>
      </c>
      <c r="E777">
        <f>VLOOKUP(C777,[1]Orders!$A$5:$W$1043,23,0)</f>
        <v>131.44</v>
      </c>
      <c r="F777" t="str">
        <f>VLOOKUP(C777,[1]Orders!$A$5:$W$1043,5,0)</f>
        <v>Melbourne</v>
      </c>
      <c r="G777" t="str">
        <f>VLOOKUP(C777,[1]Orders!$A$5:$W$1043,5,0)</f>
        <v>Melbourne</v>
      </c>
      <c r="H777" t="str">
        <f>VLOOKUP(C777,[1]Orders!$A$5:$W$1043,6,0)</f>
        <v>VIC</v>
      </c>
      <c r="I777" t="str">
        <f>VLOOKUP(C777,[1]Orders!$A$5:$W$1043,7,0)</f>
        <v>Home Office</v>
      </c>
      <c r="J777" t="str">
        <f>VLOOKUP(C777,[1]Orders!$A$5:$W$1043,8,0)</f>
        <v>Yvette Biti</v>
      </c>
      <c r="K777" t="str">
        <f>VLOOKUP(C777,[1]Orders!$A$5:$W$1043,9,0)</f>
        <v>Not Specified</v>
      </c>
    </row>
    <row r="778" spans="3:11" x14ac:dyDescent="0.25">
      <c r="C778" s="61" t="s">
        <v>870</v>
      </c>
      <c r="D778" t="str">
        <f>VLOOKUP(C778,[1]Orders!$A$5:$W$1043,3,0)</f>
        <v>Lena Creighton</v>
      </c>
      <c r="E778">
        <f>VLOOKUP(C778,[1]Orders!$A$5:$W$1043,23,0)</f>
        <v>331.12000000000006</v>
      </c>
      <c r="F778" t="str">
        <f>VLOOKUP(C778,[1]Orders!$A$5:$W$1043,5,0)</f>
        <v>Sydney</v>
      </c>
      <c r="G778" t="str">
        <f>VLOOKUP(C778,[1]Orders!$A$5:$W$1043,5,0)</f>
        <v>Sydney</v>
      </c>
      <c r="H778" t="str">
        <f>VLOOKUP(C778,[1]Orders!$A$5:$W$1043,6,0)</f>
        <v>NSW</v>
      </c>
      <c r="I778" t="str">
        <f>VLOOKUP(C778,[1]Orders!$A$5:$W$1043,7,0)</f>
        <v>Corporate</v>
      </c>
      <c r="J778" t="str">
        <f>VLOOKUP(C778,[1]Orders!$A$5:$W$1043,8,0)</f>
        <v>Samantha Chairs</v>
      </c>
      <c r="K778" t="str">
        <f>VLOOKUP(C778,[1]Orders!$A$5:$W$1043,9,0)</f>
        <v>Critical</v>
      </c>
    </row>
    <row r="779" spans="3:11" x14ac:dyDescent="0.25">
      <c r="C779" s="61" t="s">
        <v>871</v>
      </c>
      <c r="D779" t="str">
        <f>VLOOKUP(C779,[1]Orders!$A$5:$W$1043,3,0)</f>
        <v>Carol Triggs</v>
      </c>
      <c r="E779">
        <f>VLOOKUP(C779,[1]Orders!$A$5:$W$1043,23,0)</f>
        <v>510.81000000000006</v>
      </c>
      <c r="F779" t="str">
        <f>VLOOKUP(C779,[1]Orders!$A$5:$W$1043,5,0)</f>
        <v>Sydney</v>
      </c>
      <c r="G779" t="str">
        <f>VLOOKUP(C779,[1]Orders!$A$5:$W$1043,5,0)</f>
        <v>Sydney</v>
      </c>
      <c r="H779" t="str">
        <f>VLOOKUP(C779,[1]Orders!$A$5:$W$1043,6,0)</f>
        <v>NSW</v>
      </c>
      <c r="I779" t="str">
        <f>VLOOKUP(C779,[1]Orders!$A$5:$W$1043,7,0)</f>
        <v>Home Office</v>
      </c>
      <c r="J779" t="str">
        <f>VLOOKUP(C779,[1]Orders!$A$5:$W$1043,8,0)</f>
        <v>Radhya Staples</v>
      </c>
      <c r="K779" t="str">
        <f>VLOOKUP(C779,[1]Orders!$A$5:$W$1043,9,0)</f>
        <v>Not Specified</v>
      </c>
    </row>
    <row r="780" spans="3:11" x14ac:dyDescent="0.25">
      <c r="C780" s="61" t="s">
        <v>872</v>
      </c>
      <c r="D780" t="str">
        <f>VLOOKUP(C780,[1]Orders!$A$5:$W$1043,3,0)</f>
        <v>Sarah Foster</v>
      </c>
      <c r="E780">
        <f>VLOOKUP(C780,[1]Orders!$A$5:$W$1043,23,0)</f>
        <v>74.739999999999995</v>
      </c>
      <c r="F780" t="str">
        <f>VLOOKUP(C780,[1]Orders!$A$5:$W$1043,5,0)</f>
        <v>Sydney</v>
      </c>
      <c r="G780" t="str">
        <f>VLOOKUP(C780,[1]Orders!$A$5:$W$1043,5,0)</f>
        <v>Sydney</v>
      </c>
      <c r="H780" t="str">
        <f>VLOOKUP(C780,[1]Orders!$A$5:$W$1043,6,0)</f>
        <v>NSW</v>
      </c>
      <c r="I780" t="str">
        <f>VLOOKUP(C780,[1]Orders!$A$5:$W$1043,7,0)</f>
        <v>Corporate</v>
      </c>
      <c r="J780" t="str">
        <f>VLOOKUP(C780,[1]Orders!$A$5:$W$1043,8,0)</f>
        <v>Phoebe Gour</v>
      </c>
      <c r="K780" t="str">
        <f>VLOOKUP(C780,[1]Orders!$A$5:$W$1043,9,0)</f>
        <v>Critical</v>
      </c>
    </row>
    <row r="781" spans="3:11" x14ac:dyDescent="0.25">
      <c r="C781" s="61" t="s">
        <v>873</v>
      </c>
      <c r="D781" t="str">
        <f>VLOOKUP(C781,[1]Orders!$A$5:$W$1043,3,0)</f>
        <v>Art Miller</v>
      </c>
      <c r="E781">
        <f>VLOOKUP(C781,[1]Orders!$A$5:$W$1043,23,0)</f>
        <v>10224.24</v>
      </c>
      <c r="F781" t="str">
        <f>VLOOKUP(C781,[1]Orders!$A$5:$W$1043,5,0)</f>
        <v>Sydney</v>
      </c>
      <c r="G781" t="str">
        <f>VLOOKUP(C781,[1]Orders!$A$5:$W$1043,5,0)</f>
        <v>Sydney</v>
      </c>
      <c r="H781" t="str">
        <f>VLOOKUP(C781,[1]Orders!$A$5:$W$1043,6,0)</f>
        <v>NSW</v>
      </c>
      <c r="I781" t="str">
        <f>VLOOKUP(C781,[1]Orders!$A$5:$W$1043,7,0)</f>
        <v>Corporate</v>
      </c>
      <c r="J781" t="str">
        <f>VLOOKUP(C781,[1]Orders!$A$5:$W$1043,8,0)</f>
        <v>Leighton Forrest</v>
      </c>
      <c r="K781" t="str">
        <f>VLOOKUP(C781,[1]Orders!$A$5:$W$1043,9,0)</f>
        <v>Low</v>
      </c>
    </row>
    <row r="782" spans="3:11" x14ac:dyDescent="0.25">
      <c r="C782" s="61" t="s">
        <v>874</v>
      </c>
      <c r="D782" t="str">
        <f>VLOOKUP(C782,[1]Orders!$A$5:$W$1043,3,0)</f>
        <v>Karl Brown</v>
      </c>
      <c r="E782">
        <f>VLOOKUP(C782,[1]Orders!$A$5:$W$1043,23,0)</f>
        <v>41.27</v>
      </c>
      <c r="F782" t="str">
        <f>VLOOKUP(C782,[1]Orders!$A$5:$W$1043,5,0)</f>
        <v>Sydney</v>
      </c>
      <c r="G782" t="str">
        <f>VLOOKUP(C782,[1]Orders!$A$5:$W$1043,5,0)</f>
        <v>Sydney</v>
      </c>
      <c r="H782" t="str">
        <f>VLOOKUP(C782,[1]Orders!$A$5:$W$1043,6,0)</f>
        <v>NSW</v>
      </c>
      <c r="I782" t="str">
        <f>VLOOKUP(C782,[1]Orders!$A$5:$W$1043,7,0)</f>
        <v>Corporate</v>
      </c>
      <c r="J782" t="str">
        <f>VLOOKUP(C782,[1]Orders!$A$5:$W$1043,8,0)</f>
        <v>Tina Carlton</v>
      </c>
      <c r="K782" t="str">
        <f>VLOOKUP(C782,[1]Orders!$A$5:$W$1043,9,0)</f>
        <v>High</v>
      </c>
    </row>
    <row r="783" spans="3:11" x14ac:dyDescent="0.25">
      <c r="C783" s="61" t="s">
        <v>875</v>
      </c>
      <c r="D783" t="str">
        <f>VLOOKUP(C783,[1]Orders!$A$5:$W$1043,3,0)</f>
        <v>Gary McGarr</v>
      </c>
      <c r="E783">
        <f>VLOOKUP(C783,[1]Orders!$A$5:$W$1043,23,0)</f>
        <v>634.4799999999999</v>
      </c>
      <c r="F783" t="str">
        <f>VLOOKUP(C783,[1]Orders!$A$5:$W$1043,5,0)</f>
        <v>Melbourne</v>
      </c>
      <c r="G783" t="str">
        <f>VLOOKUP(C783,[1]Orders!$A$5:$W$1043,5,0)</f>
        <v>Melbourne</v>
      </c>
      <c r="H783" t="str">
        <f>VLOOKUP(C783,[1]Orders!$A$5:$W$1043,6,0)</f>
        <v>VIC</v>
      </c>
      <c r="I783" t="str">
        <f>VLOOKUP(C783,[1]Orders!$A$5:$W$1043,7,0)</f>
        <v>Home Office</v>
      </c>
      <c r="J783" t="str">
        <f>VLOOKUP(C783,[1]Orders!$A$5:$W$1043,8,0)</f>
        <v>Yvette Biti</v>
      </c>
      <c r="K783" t="str">
        <f>VLOOKUP(C783,[1]Orders!$A$5:$W$1043,9,0)</f>
        <v>High</v>
      </c>
    </row>
    <row r="784" spans="3:11" x14ac:dyDescent="0.25">
      <c r="C784" s="61" t="s">
        <v>876</v>
      </c>
      <c r="D784" t="str">
        <f>VLOOKUP(C784,[1]Orders!$A$5:$W$1043,3,0)</f>
        <v>Ken Dana</v>
      </c>
      <c r="E784">
        <f>VLOOKUP(C784,[1]Orders!$A$5:$W$1043,23,0)</f>
        <v>3.28</v>
      </c>
      <c r="F784" t="str">
        <f>VLOOKUP(C784,[1]Orders!$A$5:$W$1043,5,0)</f>
        <v>Sydney</v>
      </c>
      <c r="G784" t="str">
        <f>VLOOKUP(C784,[1]Orders!$A$5:$W$1043,5,0)</f>
        <v>Sydney</v>
      </c>
      <c r="H784" t="str">
        <f>VLOOKUP(C784,[1]Orders!$A$5:$W$1043,6,0)</f>
        <v>NSW</v>
      </c>
      <c r="I784" t="str">
        <f>VLOOKUP(C784,[1]Orders!$A$5:$W$1043,7,0)</f>
        <v>Small Business</v>
      </c>
      <c r="J784" t="str">
        <f>VLOOKUP(C784,[1]Orders!$A$5:$W$1043,8,0)</f>
        <v>Tina Carlton</v>
      </c>
      <c r="K784" t="str">
        <f>VLOOKUP(C784,[1]Orders!$A$5:$W$1043,9,0)</f>
        <v>Critical</v>
      </c>
    </row>
    <row r="785" spans="3:11" x14ac:dyDescent="0.25">
      <c r="C785" s="61" t="s">
        <v>877</v>
      </c>
      <c r="D785" t="str">
        <f>VLOOKUP(C785,[1]Orders!$A$5:$W$1043,3,0)</f>
        <v>Sally Knutson</v>
      </c>
      <c r="E785">
        <f>VLOOKUP(C785,[1]Orders!$A$5:$W$1043,23,0)</f>
        <v>2016.42</v>
      </c>
      <c r="F785" t="str">
        <f>VLOOKUP(C785,[1]Orders!$A$5:$W$1043,5,0)</f>
        <v>Sydney</v>
      </c>
      <c r="G785" t="str">
        <f>VLOOKUP(C785,[1]Orders!$A$5:$W$1043,5,0)</f>
        <v>Sydney</v>
      </c>
      <c r="H785" t="str">
        <f>VLOOKUP(C785,[1]Orders!$A$5:$W$1043,6,0)</f>
        <v>NSW</v>
      </c>
      <c r="I785" t="str">
        <f>VLOOKUP(C785,[1]Orders!$A$5:$W$1043,7,0)</f>
        <v>Corporate</v>
      </c>
      <c r="J785" t="str">
        <f>VLOOKUP(C785,[1]Orders!$A$5:$W$1043,8,0)</f>
        <v>Mihael Khan</v>
      </c>
      <c r="K785" t="str">
        <f>VLOOKUP(C785,[1]Orders!$A$5:$W$1043,9,0)</f>
        <v>Low</v>
      </c>
    </row>
    <row r="786" spans="3:11" x14ac:dyDescent="0.25">
      <c r="C786" s="61" t="s">
        <v>878</v>
      </c>
      <c r="D786" t="str">
        <f>VLOOKUP(C786,[1]Orders!$A$5:$W$1043,3,0)</f>
        <v>Bart Folk</v>
      </c>
      <c r="E786">
        <f>VLOOKUP(C786,[1]Orders!$A$5:$W$1043,23,0)</f>
        <v>425.31999999999994</v>
      </c>
      <c r="F786" t="str">
        <f>VLOOKUP(C786,[1]Orders!$A$5:$W$1043,5,0)</f>
        <v>Sydney</v>
      </c>
      <c r="G786" t="str">
        <f>VLOOKUP(C786,[1]Orders!$A$5:$W$1043,5,0)</f>
        <v>Sydney</v>
      </c>
      <c r="H786" t="str">
        <f>VLOOKUP(C786,[1]Orders!$A$5:$W$1043,6,0)</f>
        <v>NSW</v>
      </c>
      <c r="I786" t="str">
        <f>VLOOKUP(C786,[1]Orders!$A$5:$W$1043,7,0)</f>
        <v>Corporate</v>
      </c>
      <c r="J786" t="str">
        <f>VLOOKUP(C786,[1]Orders!$A$5:$W$1043,8,0)</f>
        <v>Preston Senome</v>
      </c>
      <c r="K786" t="str">
        <f>VLOOKUP(C786,[1]Orders!$A$5:$W$1043,9,0)</f>
        <v>Not Specified</v>
      </c>
    </row>
    <row r="787" spans="3:11" x14ac:dyDescent="0.25">
      <c r="C787" s="61" t="s">
        <v>879</v>
      </c>
      <c r="D787" t="str">
        <f>VLOOKUP(C787,[1]Orders!$A$5:$W$1043,3,0)</f>
        <v>Lena Creighton</v>
      </c>
      <c r="E787">
        <f>VLOOKUP(C787,[1]Orders!$A$5:$W$1043,23,0)</f>
        <v>68.22</v>
      </c>
      <c r="F787" t="str">
        <f>VLOOKUP(C787,[1]Orders!$A$5:$W$1043,5,0)</f>
        <v>Sydney</v>
      </c>
      <c r="G787" t="str">
        <f>VLOOKUP(C787,[1]Orders!$A$5:$W$1043,5,0)</f>
        <v>Sydney</v>
      </c>
      <c r="H787" t="str">
        <f>VLOOKUP(C787,[1]Orders!$A$5:$W$1043,6,0)</f>
        <v>NSW</v>
      </c>
      <c r="I787" t="str">
        <f>VLOOKUP(C787,[1]Orders!$A$5:$W$1043,7,0)</f>
        <v>Home Office</v>
      </c>
      <c r="J787" t="str">
        <f>VLOOKUP(C787,[1]Orders!$A$5:$W$1043,8,0)</f>
        <v>Samantha Chairs</v>
      </c>
      <c r="K787" t="str">
        <f>VLOOKUP(C787,[1]Orders!$A$5:$W$1043,9,0)</f>
        <v>High</v>
      </c>
    </row>
    <row r="788" spans="3:11" x14ac:dyDescent="0.25">
      <c r="C788" s="61" t="s">
        <v>880</v>
      </c>
      <c r="D788" t="str">
        <f>VLOOKUP(C788,[1]Orders!$A$5:$W$1043,3,0)</f>
        <v>Dave Hallsten</v>
      </c>
      <c r="E788">
        <f>VLOOKUP(C788,[1]Orders!$A$5:$W$1043,23,0)</f>
        <v>714.74</v>
      </c>
      <c r="F788" t="str">
        <f>VLOOKUP(C788,[1]Orders!$A$5:$W$1043,5,0)</f>
        <v>Sydney</v>
      </c>
      <c r="G788" t="str">
        <f>VLOOKUP(C788,[1]Orders!$A$5:$W$1043,5,0)</f>
        <v>Sydney</v>
      </c>
      <c r="H788" t="str">
        <f>VLOOKUP(C788,[1]Orders!$A$5:$W$1043,6,0)</f>
        <v>NSW</v>
      </c>
      <c r="I788" t="str">
        <f>VLOOKUP(C788,[1]Orders!$A$5:$W$1043,7,0)</f>
        <v>Home Office</v>
      </c>
      <c r="J788" t="str">
        <f>VLOOKUP(C788,[1]Orders!$A$5:$W$1043,8,0)</f>
        <v>Charlie Bui</v>
      </c>
      <c r="K788" t="str">
        <f>VLOOKUP(C788,[1]Orders!$A$5:$W$1043,9,0)</f>
        <v>High</v>
      </c>
    </row>
    <row r="789" spans="3:11" x14ac:dyDescent="0.25">
      <c r="C789" s="61" t="s">
        <v>881</v>
      </c>
      <c r="D789" t="str">
        <f>VLOOKUP(C789,[1]Orders!$A$5:$W$1043,3,0)</f>
        <v>Cyra Reiten</v>
      </c>
      <c r="E789">
        <f>VLOOKUP(C789,[1]Orders!$A$5:$W$1043,23,0)</f>
        <v>295.04999999999995</v>
      </c>
      <c r="F789" t="str">
        <f>VLOOKUP(C789,[1]Orders!$A$5:$W$1043,5,0)</f>
        <v>Sydney</v>
      </c>
      <c r="G789" t="str">
        <f>VLOOKUP(C789,[1]Orders!$A$5:$W$1043,5,0)</f>
        <v>Sydney</v>
      </c>
      <c r="H789" t="str">
        <f>VLOOKUP(C789,[1]Orders!$A$5:$W$1043,6,0)</f>
        <v>NSW</v>
      </c>
      <c r="I789" t="str">
        <f>VLOOKUP(C789,[1]Orders!$A$5:$W$1043,7,0)</f>
        <v>Consumer</v>
      </c>
      <c r="J789" t="str">
        <f>VLOOKUP(C789,[1]Orders!$A$5:$W$1043,8,0)</f>
        <v>Nicholas Fernandes</v>
      </c>
      <c r="K789" t="str">
        <f>VLOOKUP(C789,[1]Orders!$A$5:$W$1043,9,0)</f>
        <v>Medium</v>
      </c>
    </row>
    <row r="790" spans="3:11" x14ac:dyDescent="0.25">
      <c r="C790" s="61" t="s">
        <v>882</v>
      </c>
      <c r="D790" t="str">
        <f>VLOOKUP(C790,[1]Orders!$A$5:$W$1043,3,0)</f>
        <v>Maria Bertelson</v>
      </c>
      <c r="E790">
        <f>VLOOKUP(C790,[1]Orders!$A$5:$W$1043,23,0)</f>
        <v>340.94000000000005</v>
      </c>
      <c r="F790" t="str">
        <f>VLOOKUP(C790,[1]Orders!$A$5:$W$1043,5,0)</f>
        <v>Sydney</v>
      </c>
      <c r="G790" t="str">
        <f>VLOOKUP(C790,[1]Orders!$A$5:$W$1043,5,0)</f>
        <v>Sydney</v>
      </c>
      <c r="H790" t="str">
        <f>VLOOKUP(C790,[1]Orders!$A$5:$W$1043,6,0)</f>
        <v>NSW</v>
      </c>
      <c r="I790" t="str">
        <f>VLOOKUP(C790,[1]Orders!$A$5:$W$1043,7,0)</f>
        <v>Home Office</v>
      </c>
      <c r="J790" t="str">
        <f>VLOOKUP(C790,[1]Orders!$A$5:$W$1043,8,0)</f>
        <v>Tina Carlton</v>
      </c>
      <c r="K790" t="str">
        <f>VLOOKUP(C790,[1]Orders!$A$5:$W$1043,9,0)</f>
        <v>Medium</v>
      </c>
    </row>
    <row r="791" spans="3:11" x14ac:dyDescent="0.25">
      <c r="C791" s="61" t="s">
        <v>883</v>
      </c>
      <c r="D791" t="str">
        <f>VLOOKUP(C791,[1]Orders!$A$5:$W$1043,3,0)</f>
        <v>Nicole Brennan</v>
      </c>
      <c r="E791">
        <f>VLOOKUP(C791,[1]Orders!$A$5:$W$1043,23,0)</f>
        <v>70.33</v>
      </c>
      <c r="F791" t="str">
        <f>VLOOKUP(C791,[1]Orders!$A$5:$W$1043,5,0)</f>
        <v>Sydney</v>
      </c>
      <c r="G791" t="str">
        <f>VLOOKUP(C791,[1]Orders!$A$5:$W$1043,5,0)</f>
        <v>Sydney</v>
      </c>
      <c r="H791" t="str">
        <f>VLOOKUP(C791,[1]Orders!$A$5:$W$1043,6,0)</f>
        <v>NSW</v>
      </c>
      <c r="I791" t="str">
        <f>VLOOKUP(C791,[1]Orders!$A$5:$W$1043,7,0)</f>
        <v>Home Office</v>
      </c>
      <c r="J791" t="str">
        <f>VLOOKUP(C791,[1]Orders!$A$5:$W$1043,8,0)</f>
        <v>Aanya Zhang</v>
      </c>
      <c r="K791" t="str">
        <f>VLOOKUP(C791,[1]Orders!$A$5:$W$1043,9,0)</f>
        <v>Not Specified</v>
      </c>
    </row>
    <row r="792" spans="3:11" x14ac:dyDescent="0.25">
      <c r="C792" s="61" t="s">
        <v>884</v>
      </c>
      <c r="D792" t="str">
        <f>VLOOKUP(C792,[1]Orders!$A$5:$W$1043,3,0)</f>
        <v>Tamara Willingham</v>
      </c>
      <c r="E792">
        <f>VLOOKUP(C792,[1]Orders!$A$5:$W$1043,23,0)</f>
        <v>276.72000000000003</v>
      </c>
      <c r="F792" t="str">
        <f>VLOOKUP(C792,[1]Orders!$A$5:$W$1043,5,0)</f>
        <v>Sydney</v>
      </c>
      <c r="G792" t="str">
        <f>VLOOKUP(C792,[1]Orders!$A$5:$W$1043,5,0)</f>
        <v>Sydney</v>
      </c>
      <c r="H792" t="str">
        <f>VLOOKUP(C792,[1]Orders!$A$5:$W$1043,6,0)</f>
        <v>NSW</v>
      </c>
      <c r="I792" t="str">
        <f>VLOOKUP(C792,[1]Orders!$A$5:$W$1043,7,0)</f>
        <v>Corporate</v>
      </c>
      <c r="J792" t="str">
        <f>VLOOKUP(C792,[1]Orders!$A$5:$W$1043,8,0)</f>
        <v>Phoebe Gour</v>
      </c>
      <c r="K792" t="str">
        <f>VLOOKUP(C792,[1]Orders!$A$5:$W$1043,9,0)</f>
        <v>High</v>
      </c>
    </row>
    <row r="793" spans="3:11" x14ac:dyDescent="0.25">
      <c r="C793" s="61" t="s">
        <v>885</v>
      </c>
      <c r="D793" t="str">
        <f>VLOOKUP(C793,[1]Orders!$A$5:$W$1043,3,0)</f>
        <v>Sue Ann Reed</v>
      </c>
      <c r="E793">
        <f>VLOOKUP(C793,[1]Orders!$A$5:$W$1043,23,0)</f>
        <v>71.150000000000006</v>
      </c>
      <c r="F793" t="str">
        <f>VLOOKUP(C793,[1]Orders!$A$5:$W$1043,5,0)</f>
        <v>Sydney</v>
      </c>
      <c r="G793" t="str">
        <f>VLOOKUP(C793,[1]Orders!$A$5:$W$1043,5,0)</f>
        <v>Sydney</v>
      </c>
      <c r="H793" t="str">
        <f>VLOOKUP(C793,[1]Orders!$A$5:$W$1043,6,0)</f>
        <v>NSW</v>
      </c>
      <c r="I793" t="str">
        <f>VLOOKUP(C793,[1]Orders!$A$5:$W$1043,7,0)</f>
        <v>Consumer</v>
      </c>
      <c r="J793" t="str">
        <f>VLOOKUP(C793,[1]Orders!$A$5:$W$1043,8,0)</f>
        <v>Samantha Chairs</v>
      </c>
      <c r="K793" t="str">
        <f>VLOOKUP(C793,[1]Orders!$A$5:$W$1043,9,0)</f>
        <v>Critical</v>
      </c>
    </row>
    <row r="794" spans="3:11" x14ac:dyDescent="0.25">
      <c r="C794" s="61" t="s">
        <v>886</v>
      </c>
      <c r="D794" t="str">
        <f>VLOOKUP(C794,[1]Orders!$A$5:$W$1043,3,0)</f>
        <v>Justin MacKendrick</v>
      </c>
      <c r="E794">
        <f>VLOOKUP(C794,[1]Orders!$A$5:$W$1043,23,0)</f>
        <v>12948.810000000001</v>
      </c>
      <c r="F794" t="str">
        <f>VLOOKUP(C794,[1]Orders!$A$5:$W$1043,5,0)</f>
        <v>Sydney</v>
      </c>
      <c r="G794" t="str">
        <f>VLOOKUP(C794,[1]Orders!$A$5:$W$1043,5,0)</f>
        <v>Sydney</v>
      </c>
      <c r="H794" t="str">
        <f>VLOOKUP(C794,[1]Orders!$A$5:$W$1043,6,0)</f>
        <v>NSW</v>
      </c>
      <c r="I794" t="str">
        <f>VLOOKUP(C794,[1]Orders!$A$5:$W$1043,7,0)</f>
        <v>Corporate</v>
      </c>
      <c r="J794" t="str">
        <f>VLOOKUP(C794,[1]Orders!$A$5:$W$1043,8,0)</f>
        <v>Tina Carlton</v>
      </c>
      <c r="K794" t="str">
        <f>VLOOKUP(C794,[1]Orders!$A$5:$W$1043,9,0)</f>
        <v>Critical</v>
      </c>
    </row>
    <row r="795" spans="3:11" x14ac:dyDescent="0.25">
      <c r="C795" s="61" t="s">
        <v>887</v>
      </c>
      <c r="D795" t="str">
        <f>VLOOKUP(C795,[1]Orders!$A$5:$W$1043,3,0)</f>
        <v>Joy Bell</v>
      </c>
      <c r="E795">
        <f>VLOOKUP(C795,[1]Orders!$A$5:$W$1043,23,0)</f>
        <v>652.05999999999995</v>
      </c>
      <c r="F795" t="str">
        <f>VLOOKUP(C795,[1]Orders!$A$5:$W$1043,5,0)</f>
        <v>Sydney</v>
      </c>
      <c r="G795" t="str">
        <f>VLOOKUP(C795,[1]Orders!$A$5:$W$1043,5,0)</f>
        <v>Sydney</v>
      </c>
      <c r="H795" t="str">
        <f>VLOOKUP(C795,[1]Orders!$A$5:$W$1043,6,0)</f>
        <v>NSW</v>
      </c>
      <c r="I795" t="str">
        <f>VLOOKUP(C795,[1]Orders!$A$5:$W$1043,7,0)</f>
        <v>Home Office</v>
      </c>
      <c r="J795" t="str">
        <f>VLOOKUP(C795,[1]Orders!$A$5:$W$1043,8,0)</f>
        <v>Preston Senome</v>
      </c>
      <c r="K795" t="str">
        <f>VLOOKUP(C795,[1]Orders!$A$5:$W$1043,9,0)</f>
        <v>Critical</v>
      </c>
    </row>
    <row r="796" spans="3:11" x14ac:dyDescent="0.25">
      <c r="C796" s="61" t="s">
        <v>888</v>
      </c>
      <c r="D796" t="str">
        <f>VLOOKUP(C796,[1]Orders!$A$5:$W$1043,3,0)</f>
        <v>Aleksandra Gannaway</v>
      </c>
      <c r="E796">
        <f>VLOOKUP(C796,[1]Orders!$A$5:$W$1043,23,0)</f>
        <v>61.19</v>
      </c>
      <c r="F796" t="str">
        <f>VLOOKUP(C796,[1]Orders!$A$5:$W$1043,5,0)</f>
        <v>Sydney</v>
      </c>
      <c r="G796" t="str">
        <f>VLOOKUP(C796,[1]Orders!$A$5:$W$1043,5,0)</f>
        <v>Sydney</v>
      </c>
      <c r="H796" t="str">
        <f>VLOOKUP(C796,[1]Orders!$A$5:$W$1043,6,0)</f>
        <v>NSW</v>
      </c>
      <c r="I796" t="str">
        <f>VLOOKUP(C796,[1]Orders!$A$5:$W$1043,7,0)</f>
        <v>Corporate</v>
      </c>
      <c r="J796" t="str">
        <f>VLOOKUP(C796,[1]Orders!$A$5:$W$1043,8,0)</f>
        <v>Tina Carlton</v>
      </c>
      <c r="K796" t="str">
        <f>VLOOKUP(C796,[1]Orders!$A$5:$W$1043,9,0)</f>
        <v>High</v>
      </c>
    </row>
    <row r="797" spans="3:11" x14ac:dyDescent="0.25">
      <c r="C797" s="61" t="s">
        <v>889</v>
      </c>
      <c r="D797" t="str">
        <f>VLOOKUP(C797,[1]Orders!$A$5:$W$1043,3,0)</f>
        <v>Patrick ODonnell</v>
      </c>
      <c r="E797">
        <f>VLOOKUP(C797,[1]Orders!$A$5:$W$1043,23,0)</f>
        <v>4123.3599999999997</v>
      </c>
      <c r="F797" t="str">
        <f>VLOOKUP(C797,[1]Orders!$A$5:$W$1043,5,0)</f>
        <v>Sydney</v>
      </c>
      <c r="G797" t="str">
        <f>VLOOKUP(C797,[1]Orders!$A$5:$W$1043,5,0)</f>
        <v>Sydney</v>
      </c>
      <c r="H797" t="str">
        <f>VLOOKUP(C797,[1]Orders!$A$5:$W$1043,6,0)</f>
        <v>NSW</v>
      </c>
      <c r="I797" t="str">
        <f>VLOOKUP(C797,[1]Orders!$A$5:$W$1043,7,0)</f>
        <v>Home Office</v>
      </c>
      <c r="J797" t="str">
        <f>VLOOKUP(C797,[1]Orders!$A$5:$W$1043,8,0)</f>
        <v>Aanya Zhang</v>
      </c>
      <c r="K797" t="str">
        <f>VLOOKUP(C797,[1]Orders!$A$5:$W$1043,9,0)</f>
        <v>Medium</v>
      </c>
    </row>
    <row r="798" spans="3:11" x14ac:dyDescent="0.25">
      <c r="C798" s="61" t="s">
        <v>890</v>
      </c>
      <c r="D798" t="str">
        <f>VLOOKUP(C798,[1]Orders!$A$5:$W$1043,3,0)</f>
        <v>Noel Staavos</v>
      </c>
      <c r="E798">
        <f>VLOOKUP(C798,[1]Orders!$A$5:$W$1043,23,0)</f>
        <v>166.05</v>
      </c>
      <c r="F798" t="str">
        <f>VLOOKUP(C798,[1]Orders!$A$5:$W$1043,5,0)</f>
        <v>Sydney</v>
      </c>
      <c r="G798" t="str">
        <f>VLOOKUP(C798,[1]Orders!$A$5:$W$1043,5,0)</f>
        <v>Sydney</v>
      </c>
      <c r="H798" t="str">
        <f>VLOOKUP(C798,[1]Orders!$A$5:$W$1043,6,0)</f>
        <v>NSW</v>
      </c>
      <c r="I798" t="str">
        <f>VLOOKUP(C798,[1]Orders!$A$5:$W$1043,7,0)</f>
        <v>Home Office</v>
      </c>
      <c r="J798" t="str">
        <f>VLOOKUP(C798,[1]Orders!$A$5:$W$1043,8,0)</f>
        <v>Mihael Khan</v>
      </c>
      <c r="K798" t="str">
        <f>VLOOKUP(C798,[1]Orders!$A$5:$W$1043,9,0)</f>
        <v>Critical</v>
      </c>
    </row>
    <row r="799" spans="3:11" x14ac:dyDescent="0.25">
      <c r="C799" s="61" t="s">
        <v>891</v>
      </c>
      <c r="D799" t="str">
        <f>VLOOKUP(C799,[1]Orders!$A$5:$W$1043,3,0)</f>
        <v>Bryan Spruell</v>
      </c>
      <c r="E799">
        <f>VLOOKUP(C799,[1]Orders!$A$5:$W$1043,23,0)</f>
        <v>106.97999999999999</v>
      </c>
      <c r="F799" t="str">
        <f>VLOOKUP(C799,[1]Orders!$A$5:$W$1043,5,0)</f>
        <v>Sydney</v>
      </c>
      <c r="G799" t="str">
        <f>VLOOKUP(C799,[1]Orders!$A$5:$W$1043,5,0)</f>
        <v>Sydney</v>
      </c>
      <c r="H799" t="str">
        <f>VLOOKUP(C799,[1]Orders!$A$5:$W$1043,6,0)</f>
        <v>NSW</v>
      </c>
      <c r="I799" t="str">
        <f>VLOOKUP(C799,[1]Orders!$A$5:$W$1043,7,0)</f>
        <v>Home Office</v>
      </c>
      <c r="J799" t="str">
        <f>VLOOKUP(C799,[1]Orders!$A$5:$W$1043,8,0)</f>
        <v>Charlie Bui</v>
      </c>
      <c r="K799" t="str">
        <f>VLOOKUP(C799,[1]Orders!$A$5:$W$1043,9,0)</f>
        <v>Not Specified</v>
      </c>
    </row>
    <row r="800" spans="3:11" x14ac:dyDescent="0.25">
      <c r="C800" s="61" t="s">
        <v>892</v>
      </c>
      <c r="D800" t="str">
        <f>VLOOKUP(C800,[1]Orders!$A$5:$W$1043,3,0)</f>
        <v>Patrick Gardner</v>
      </c>
      <c r="E800">
        <f>VLOOKUP(C800,[1]Orders!$A$5:$W$1043,23,0)</f>
        <v>28.459999999999997</v>
      </c>
      <c r="F800" t="str">
        <f>VLOOKUP(C800,[1]Orders!$A$5:$W$1043,5,0)</f>
        <v>Melbourne</v>
      </c>
      <c r="G800" t="str">
        <f>VLOOKUP(C800,[1]Orders!$A$5:$W$1043,5,0)</f>
        <v>Melbourne</v>
      </c>
      <c r="H800" t="str">
        <f>VLOOKUP(C800,[1]Orders!$A$5:$W$1043,6,0)</f>
        <v>VIC</v>
      </c>
      <c r="I800" t="str">
        <f>VLOOKUP(C800,[1]Orders!$A$5:$W$1043,7,0)</f>
        <v>Consumer</v>
      </c>
      <c r="J800" t="str">
        <f>VLOOKUP(C800,[1]Orders!$A$5:$W$1043,8,0)</f>
        <v>Connor Betts</v>
      </c>
      <c r="K800" t="str">
        <f>VLOOKUP(C800,[1]Orders!$A$5:$W$1043,9,0)</f>
        <v>High</v>
      </c>
    </row>
    <row r="801" spans="3:11" x14ac:dyDescent="0.25">
      <c r="C801" s="61" t="s">
        <v>893</v>
      </c>
      <c r="D801" t="str">
        <f>VLOOKUP(C801,[1]Orders!$A$5:$W$1043,3,0)</f>
        <v>Darrin Martin</v>
      </c>
      <c r="E801">
        <f>VLOOKUP(C801,[1]Orders!$A$5:$W$1043,23,0)</f>
        <v>257.09000000000003</v>
      </c>
      <c r="F801" t="str">
        <f>VLOOKUP(C801,[1]Orders!$A$5:$W$1043,5,0)</f>
        <v>Melbourne</v>
      </c>
      <c r="G801" t="str">
        <f>VLOOKUP(C801,[1]Orders!$A$5:$W$1043,5,0)</f>
        <v>Melbourne</v>
      </c>
      <c r="H801" t="str">
        <f>VLOOKUP(C801,[1]Orders!$A$5:$W$1043,6,0)</f>
        <v>VIC</v>
      </c>
      <c r="I801" t="str">
        <f>VLOOKUP(C801,[1]Orders!$A$5:$W$1043,7,0)</f>
        <v>Small Business</v>
      </c>
      <c r="J801" t="str">
        <f>VLOOKUP(C801,[1]Orders!$A$5:$W$1043,8,0)</f>
        <v>Yvette Biti</v>
      </c>
      <c r="K801" t="str">
        <f>VLOOKUP(C801,[1]Orders!$A$5:$W$1043,9,0)</f>
        <v>Low</v>
      </c>
    </row>
    <row r="802" spans="3:11" x14ac:dyDescent="0.25">
      <c r="C802" s="61" t="s">
        <v>894</v>
      </c>
      <c r="D802" t="str">
        <f>VLOOKUP(C802,[1]Orders!$A$5:$W$1043,3,0)</f>
        <v>Cyma Kinney</v>
      </c>
      <c r="E802">
        <f>VLOOKUP(C802,[1]Orders!$A$5:$W$1043,23,0)</f>
        <v>2016.48</v>
      </c>
      <c r="F802" t="str">
        <f>VLOOKUP(C802,[1]Orders!$A$5:$W$1043,5,0)</f>
        <v>Sydney</v>
      </c>
      <c r="G802" t="str">
        <f>VLOOKUP(C802,[1]Orders!$A$5:$W$1043,5,0)</f>
        <v>Sydney</v>
      </c>
      <c r="H802" t="str">
        <f>VLOOKUP(C802,[1]Orders!$A$5:$W$1043,6,0)</f>
        <v>NSW</v>
      </c>
      <c r="I802" t="str">
        <f>VLOOKUP(C802,[1]Orders!$A$5:$W$1043,7,0)</f>
        <v>Small Business</v>
      </c>
      <c r="J802" t="str">
        <f>VLOOKUP(C802,[1]Orders!$A$5:$W$1043,8,0)</f>
        <v>Phoebe Gour</v>
      </c>
      <c r="K802" t="str">
        <f>VLOOKUP(C802,[1]Orders!$A$5:$W$1043,9,0)</f>
        <v>Not Specified</v>
      </c>
    </row>
    <row r="803" spans="3:11" x14ac:dyDescent="0.25">
      <c r="C803" s="61" t="s">
        <v>895</v>
      </c>
      <c r="D803" t="str">
        <f>VLOOKUP(C803,[1]Orders!$A$5:$W$1043,3,0)</f>
        <v>Ed Braxton</v>
      </c>
      <c r="E803">
        <f>VLOOKUP(C803,[1]Orders!$A$5:$W$1043,23,0)</f>
        <v>233.18</v>
      </c>
      <c r="F803" t="str">
        <f>VLOOKUP(C803,[1]Orders!$A$5:$W$1043,5,0)</f>
        <v>Melbourne</v>
      </c>
      <c r="G803" t="str">
        <f>VLOOKUP(C803,[1]Orders!$A$5:$W$1043,5,0)</f>
        <v>Melbourne</v>
      </c>
      <c r="H803" t="str">
        <f>VLOOKUP(C803,[1]Orders!$A$5:$W$1043,6,0)</f>
        <v>VIC</v>
      </c>
      <c r="I803" t="str">
        <f>VLOOKUP(C803,[1]Orders!$A$5:$W$1043,7,0)</f>
        <v>Home Office</v>
      </c>
      <c r="J803" t="str">
        <f>VLOOKUP(C803,[1]Orders!$A$5:$W$1043,8,0)</f>
        <v>Yvette Biti</v>
      </c>
      <c r="K803" t="str">
        <f>VLOOKUP(C803,[1]Orders!$A$5:$W$1043,9,0)</f>
        <v>Medium</v>
      </c>
    </row>
    <row r="804" spans="3:11" x14ac:dyDescent="0.25">
      <c r="C804" s="61" t="s">
        <v>896</v>
      </c>
      <c r="D804" t="str">
        <f>VLOOKUP(C804,[1]Orders!$A$5:$W$1043,3,0)</f>
        <v>Roy Skaria</v>
      </c>
      <c r="E804">
        <f>VLOOKUP(C804,[1]Orders!$A$5:$W$1043,23,0)</f>
        <v>201.89</v>
      </c>
      <c r="F804" t="str">
        <f>VLOOKUP(C804,[1]Orders!$A$5:$W$1043,5,0)</f>
        <v>Sydney</v>
      </c>
      <c r="G804" t="str">
        <f>VLOOKUP(C804,[1]Orders!$A$5:$W$1043,5,0)</f>
        <v>Sydney</v>
      </c>
      <c r="H804" t="str">
        <f>VLOOKUP(C804,[1]Orders!$A$5:$W$1043,6,0)</f>
        <v>NSW</v>
      </c>
      <c r="I804" t="str">
        <f>VLOOKUP(C804,[1]Orders!$A$5:$W$1043,7,0)</f>
        <v>Corporate</v>
      </c>
      <c r="J804" t="str">
        <f>VLOOKUP(C804,[1]Orders!$A$5:$W$1043,8,0)</f>
        <v>Samantha Chairs</v>
      </c>
      <c r="K804" t="str">
        <f>VLOOKUP(C804,[1]Orders!$A$5:$W$1043,9,0)</f>
        <v>Low</v>
      </c>
    </row>
    <row r="805" spans="3:11" x14ac:dyDescent="0.25">
      <c r="C805" s="61" t="s">
        <v>897</v>
      </c>
      <c r="D805" t="str">
        <f>VLOOKUP(C805,[1]Orders!$A$5:$W$1043,3,0)</f>
        <v>Roy Skaria</v>
      </c>
      <c r="E805">
        <f>VLOOKUP(C805,[1]Orders!$A$5:$W$1043,23,0)</f>
        <v>202.45</v>
      </c>
      <c r="F805" t="str">
        <f>VLOOKUP(C805,[1]Orders!$A$5:$W$1043,5,0)</f>
        <v>Sydney</v>
      </c>
      <c r="G805" t="str">
        <f>VLOOKUP(C805,[1]Orders!$A$5:$W$1043,5,0)</f>
        <v>Sydney</v>
      </c>
      <c r="H805" t="str">
        <f>VLOOKUP(C805,[1]Orders!$A$5:$W$1043,6,0)</f>
        <v>NSW</v>
      </c>
      <c r="I805" t="str">
        <f>VLOOKUP(C805,[1]Orders!$A$5:$W$1043,7,0)</f>
        <v>Corporate</v>
      </c>
      <c r="J805" t="str">
        <f>VLOOKUP(C805,[1]Orders!$A$5:$W$1043,8,0)</f>
        <v>Samantha Chairs</v>
      </c>
      <c r="K805" t="str">
        <f>VLOOKUP(C805,[1]Orders!$A$5:$W$1043,9,0)</f>
        <v>Medium</v>
      </c>
    </row>
    <row r="806" spans="3:11" x14ac:dyDescent="0.25">
      <c r="C806" s="61" t="s">
        <v>898</v>
      </c>
      <c r="D806" t="str">
        <f>VLOOKUP(C806,[1]Orders!$A$5:$W$1043,3,0)</f>
        <v>Ralph Knight</v>
      </c>
      <c r="E806">
        <f>VLOOKUP(C806,[1]Orders!$A$5:$W$1043,23,0)</f>
        <v>1352.81</v>
      </c>
      <c r="F806" t="str">
        <f>VLOOKUP(C806,[1]Orders!$A$5:$W$1043,5,0)</f>
        <v>Sydney</v>
      </c>
      <c r="G806" t="str">
        <f>VLOOKUP(C806,[1]Orders!$A$5:$W$1043,5,0)</f>
        <v>Sydney</v>
      </c>
      <c r="H806" t="str">
        <f>VLOOKUP(C806,[1]Orders!$A$5:$W$1043,6,0)</f>
        <v>NSW</v>
      </c>
      <c r="I806" t="str">
        <f>VLOOKUP(C806,[1]Orders!$A$5:$W$1043,7,0)</f>
        <v>Consumer</v>
      </c>
      <c r="J806" t="str">
        <f>VLOOKUP(C806,[1]Orders!$A$5:$W$1043,8,0)</f>
        <v>Charlie Bui</v>
      </c>
      <c r="K806" t="str">
        <f>VLOOKUP(C806,[1]Orders!$A$5:$W$1043,9,0)</f>
        <v>Medium</v>
      </c>
    </row>
    <row r="807" spans="3:11" x14ac:dyDescent="0.25">
      <c r="C807" s="61" t="s">
        <v>899</v>
      </c>
      <c r="D807" t="str">
        <f>VLOOKUP(C807,[1]Orders!$A$5:$W$1043,3,0)</f>
        <v>Eva Jacobs</v>
      </c>
      <c r="E807">
        <f>VLOOKUP(C807,[1]Orders!$A$5:$W$1043,23,0)</f>
        <v>3604.3799999999997</v>
      </c>
      <c r="F807" t="str">
        <f>VLOOKUP(C807,[1]Orders!$A$5:$W$1043,5,0)</f>
        <v>Sydney</v>
      </c>
      <c r="G807" t="str">
        <f>VLOOKUP(C807,[1]Orders!$A$5:$W$1043,5,0)</f>
        <v>Sydney</v>
      </c>
      <c r="H807" t="str">
        <f>VLOOKUP(C807,[1]Orders!$A$5:$W$1043,6,0)</f>
        <v>NSW</v>
      </c>
      <c r="I807" t="str">
        <f>VLOOKUP(C807,[1]Orders!$A$5:$W$1043,7,0)</f>
        <v>Home Office</v>
      </c>
      <c r="J807" t="str">
        <f>VLOOKUP(C807,[1]Orders!$A$5:$W$1043,8,0)</f>
        <v>Nicholas Fernandes</v>
      </c>
      <c r="K807" t="str">
        <f>VLOOKUP(C807,[1]Orders!$A$5:$W$1043,9,0)</f>
        <v>Low</v>
      </c>
    </row>
    <row r="808" spans="3:11" x14ac:dyDescent="0.25">
      <c r="C808" s="61" t="s">
        <v>900</v>
      </c>
      <c r="D808" t="str">
        <f>VLOOKUP(C808,[1]Orders!$A$5:$W$1043,3,0)</f>
        <v>Gary Hansen</v>
      </c>
      <c r="E808">
        <f>VLOOKUP(C808,[1]Orders!$A$5:$W$1043,23,0)</f>
        <v>124.95</v>
      </c>
      <c r="F808" t="str">
        <f>VLOOKUP(C808,[1]Orders!$A$5:$W$1043,5,0)</f>
        <v>Sydney</v>
      </c>
      <c r="G808" t="str">
        <f>VLOOKUP(C808,[1]Orders!$A$5:$W$1043,5,0)</f>
        <v>Sydney</v>
      </c>
      <c r="H808" t="str">
        <f>VLOOKUP(C808,[1]Orders!$A$5:$W$1043,6,0)</f>
        <v>NSW</v>
      </c>
      <c r="I808" t="str">
        <f>VLOOKUP(C808,[1]Orders!$A$5:$W$1043,7,0)</f>
        <v>Consumer</v>
      </c>
      <c r="J808" t="str">
        <f>VLOOKUP(C808,[1]Orders!$A$5:$W$1043,8,0)</f>
        <v>Leighton Forrest</v>
      </c>
      <c r="K808" t="str">
        <f>VLOOKUP(C808,[1]Orders!$A$5:$W$1043,9,0)</f>
        <v>High</v>
      </c>
    </row>
    <row r="809" spans="3:11" x14ac:dyDescent="0.25">
      <c r="C809" s="61" t="s">
        <v>901</v>
      </c>
      <c r="D809" t="str">
        <f>VLOOKUP(C809,[1]Orders!$A$5:$W$1043,3,0)</f>
        <v>Scot Coram</v>
      </c>
      <c r="E809">
        <f>VLOOKUP(C809,[1]Orders!$A$5:$W$1043,23,0)</f>
        <v>198.97</v>
      </c>
      <c r="F809" t="str">
        <f>VLOOKUP(C809,[1]Orders!$A$5:$W$1043,5,0)</f>
        <v>Sydney</v>
      </c>
      <c r="G809" t="str">
        <f>VLOOKUP(C809,[1]Orders!$A$5:$W$1043,5,0)</f>
        <v>Sydney</v>
      </c>
      <c r="H809" t="str">
        <f>VLOOKUP(C809,[1]Orders!$A$5:$W$1043,6,0)</f>
        <v>NSW</v>
      </c>
      <c r="I809" t="str">
        <f>VLOOKUP(C809,[1]Orders!$A$5:$W$1043,7,0)</f>
        <v>Corporate</v>
      </c>
      <c r="J809" t="str">
        <f>VLOOKUP(C809,[1]Orders!$A$5:$W$1043,8,0)</f>
        <v>Nicholas Fernandes</v>
      </c>
      <c r="K809" t="str">
        <f>VLOOKUP(C809,[1]Orders!$A$5:$W$1043,9,0)</f>
        <v>High</v>
      </c>
    </row>
    <row r="810" spans="3:11" x14ac:dyDescent="0.25">
      <c r="C810" s="61" t="s">
        <v>902</v>
      </c>
      <c r="D810" t="str">
        <f>VLOOKUP(C810,[1]Orders!$A$5:$W$1043,3,0)</f>
        <v>Pete Armstrong</v>
      </c>
      <c r="E810">
        <f>VLOOKUP(C810,[1]Orders!$A$5:$W$1043,23,0)</f>
        <v>157.89999999999998</v>
      </c>
      <c r="F810" t="str">
        <f>VLOOKUP(C810,[1]Orders!$A$5:$W$1043,5,0)</f>
        <v>Melbourne</v>
      </c>
      <c r="G810" t="str">
        <f>VLOOKUP(C810,[1]Orders!$A$5:$W$1043,5,0)</f>
        <v>Melbourne</v>
      </c>
      <c r="H810" t="str">
        <f>VLOOKUP(C810,[1]Orders!$A$5:$W$1043,6,0)</f>
        <v>VIC</v>
      </c>
      <c r="I810" t="str">
        <f>VLOOKUP(C810,[1]Orders!$A$5:$W$1043,7,0)</f>
        <v>Consumer</v>
      </c>
      <c r="J810" t="str">
        <f>VLOOKUP(C810,[1]Orders!$A$5:$W$1043,8,0)</f>
        <v>Connor Betts</v>
      </c>
      <c r="K810" t="str">
        <f>VLOOKUP(C810,[1]Orders!$A$5:$W$1043,9,0)</f>
        <v>High</v>
      </c>
    </row>
    <row r="811" spans="3:11" x14ac:dyDescent="0.25">
      <c r="C811" s="61" t="s">
        <v>903</v>
      </c>
      <c r="D811" t="str">
        <f>VLOOKUP(C811,[1]Orders!$A$5:$W$1043,3,0)</f>
        <v>Dionis Lloyd</v>
      </c>
      <c r="E811">
        <f>VLOOKUP(C811,[1]Orders!$A$5:$W$1043,23,0)</f>
        <v>270.42</v>
      </c>
      <c r="F811" t="str">
        <f>VLOOKUP(C811,[1]Orders!$A$5:$W$1043,5,0)</f>
        <v>Sydney</v>
      </c>
      <c r="G811" t="str">
        <f>VLOOKUP(C811,[1]Orders!$A$5:$W$1043,5,0)</f>
        <v>Sydney</v>
      </c>
      <c r="H811" t="str">
        <f>VLOOKUP(C811,[1]Orders!$A$5:$W$1043,6,0)</f>
        <v>NSW</v>
      </c>
      <c r="I811" t="str">
        <f>VLOOKUP(C811,[1]Orders!$A$5:$W$1043,7,0)</f>
        <v>Small Business</v>
      </c>
      <c r="J811" t="str">
        <f>VLOOKUP(C811,[1]Orders!$A$5:$W$1043,8,0)</f>
        <v>Mihael Khan</v>
      </c>
      <c r="K811" t="str">
        <f>VLOOKUP(C811,[1]Orders!$A$5:$W$1043,9,0)</f>
        <v>Not Specified</v>
      </c>
    </row>
    <row r="812" spans="3:11" x14ac:dyDescent="0.25">
      <c r="C812" s="61" t="s">
        <v>904</v>
      </c>
      <c r="D812" t="str">
        <f>VLOOKUP(C812,[1]Orders!$A$5:$W$1043,3,0)</f>
        <v>Don Jones</v>
      </c>
      <c r="E812">
        <f>VLOOKUP(C812,[1]Orders!$A$5:$W$1043,23,0)</f>
        <v>46.74</v>
      </c>
      <c r="F812" t="str">
        <f>VLOOKUP(C812,[1]Orders!$A$5:$W$1043,5,0)</f>
        <v>Sydney</v>
      </c>
      <c r="G812" t="str">
        <f>VLOOKUP(C812,[1]Orders!$A$5:$W$1043,5,0)</f>
        <v>Sydney</v>
      </c>
      <c r="H812" t="str">
        <f>VLOOKUP(C812,[1]Orders!$A$5:$W$1043,6,0)</f>
        <v>NSW</v>
      </c>
      <c r="I812" t="str">
        <f>VLOOKUP(C812,[1]Orders!$A$5:$W$1043,7,0)</f>
        <v>Corporate</v>
      </c>
      <c r="J812" t="str">
        <f>VLOOKUP(C812,[1]Orders!$A$5:$W$1043,8,0)</f>
        <v>Nicholas Fernandes</v>
      </c>
      <c r="K812" t="str">
        <f>VLOOKUP(C812,[1]Orders!$A$5:$W$1043,9,0)</f>
        <v>Low</v>
      </c>
    </row>
    <row r="813" spans="3:11" x14ac:dyDescent="0.25">
      <c r="C813" s="61" t="s">
        <v>905</v>
      </c>
      <c r="D813" t="str">
        <f>VLOOKUP(C813,[1]Orders!$A$5:$W$1043,3,0)</f>
        <v>Tony Sayre</v>
      </c>
      <c r="E813">
        <f>VLOOKUP(C813,[1]Orders!$A$5:$W$1043,23,0)</f>
        <v>126.46000000000001</v>
      </c>
      <c r="F813" t="str">
        <f>VLOOKUP(C813,[1]Orders!$A$5:$W$1043,5,0)</f>
        <v>Melbourne</v>
      </c>
      <c r="G813" t="str">
        <f>VLOOKUP(C813,[1]Orders!$A$5:$W$1043,5,0)</f>
        <v>Melbourne</v>
      </c>
      <c r="H813" t="str">
        <f>VLOOKUP(C813,[1]Orders!$A$5:$W$1043,6,0)</f>
        <v>VIC</v>
      </c>
      <c r="I813" t="str">
        <f>VLOOKUP(C813,[1]Orders!$A$5:$W$1043,7,0)</f>
        <v>Home Office</v>
      </c>
      <c r="J813" t="str">
        <f>VLOOKUP(C813,[1]Orders!$A$5:$W$1043,8,0)</f>
        <v>Yvette Biti</v>
      </c>
      <c r="K813" t="str">
        <f>VLOOKUP(C813,[1]Orders!$A$5:$W$1043,9,0)</f>
        <v>Not Specified</v>
      </c>
    </row>
    <row r="814" spans="3:11" x14ac:dyDescent="0.25">
      <c r="C814" s="61" t="s">
        <v>906</v>
      </c>
      <c r="D814" t="str">
        <f>VLOOKUP(C814,[1]Orders!$A$5:$W$1043,3,0)</f>
        <v>Andy Reiter</v>
      </c>
      <c r="E814">
        <f>VLOOKUP(C814,[1]Orders!$A$5:$W$1043,23,0)</f>
        <v>335.31</v>
      </c>
      <c r="F814" t="str">
        <f>VLOOKUP(C814,[1]Orders!$A$5:$W$1043,5,0)</f>
        <v>Melbourne</v>
      </c>
      <c r="G814" t="str">
        <f>VLOOKUP(C814,[1]Orders!$A$5:$W$1043,5,0)</f>
        <v>Melbourne</v>
      </c>
      <c r="H814" t="str">
        <f>VLOOKUP(C814,[1]Orders!$A$5:$W$1043,6,0)</f>
        <v>VIC</v>
      </c>
      <c r="I814" t="str">
        <f>VLOOKUP(C814,[1]Orders!$A$5:$W$1043,7,0)</f>
        <v>Corporate</v>
      </c>
      <c r="J814" t="str">
        <f>VLOOKUP(C814,[1]Orders!$A$5:$W$1043,8,0)</f>
        <v>Yvette Biti</v>
      </c>
      <c r="K814" t="str">
        <f>VLOOKUP(C814,[1]Orders!$A$5:$W$1043,9,0)</f>
        <v>Critical</v>
      </c>
    </row>
    <row r="815" spans="3:11" x14ac:dyDescent="0.25">
      <c r="C815" s="61" t="s">
        <v>907</v>
      </c>
      <c r="D815" t="str">
        <f>VLOOKUP(C815,[1]Orders!$A$5:$W$1043,3,0)</f>
        <v>Clay Cheatham</v>
      </c>
      <c r="E815">
        <f>VLOOKUP(C815,[1]Orders!$A$5:$W$1043,23,0)</f>
        <v>17148.61</v>
      </c>
      <c r="F815" t="str">
        <f>VLOOKUP(C815,[1]Orders!$A$5:$W$1043,5,0)</f>
        <v>Sydney</v>
      </c>
      <c r="G815" t="str">
        <f>VLOOKUP(C815,[1]Orders!$A$5:$W$1043,5,0)</f>
        <v>Sydney</v>
      </c>
      <c r="H815" t="str">
        <f>VLOOKUP(C815,[1]Orders!$A$5:$W$1043,6,0)</f>
        <v>NSW</v>
      </c>
      <c r="I815" t="str">
        <f>VLOOKUP(C815,[1]Orders!$A$5:$W$1043,7,0)</f>
        <v>Small Business</v>
      </c>
      <c r="J815" t="str">
        <f>VLOOKUP(C815,[1]Orders!$A$5:$W$1043,8,0)</f>
        <v>Nicholas Fernandes</v>
      </c>
      <c r="K815" t="str">
        <f>VLOOKUP(C815,[1]Orders!$A$5:$W$1043,9,0)</f>
        <v>Not Specified</v>
      </c>
    </row>
    <row r="816" spans="3:11" x14ac:dyDescent="0.25">
      <c r="C816" s="61" t="s">
        <v>908</v>
      </c>
      <c r="D816" t="str">
        <f>VLOOKUP(C816,[1]Orders!$A$5:$W$1043,3,0)</f>
        <v>Quincy Jones</v>
      </c>
      <c r="E816">
        <f>VLOOKUP(C816,[1]Orders!$A$5:$W$1043,23,0)</f>
        <v>1705.96</v>
      </c>
      <c r="F816" t="str">
        <f>VLOOKUP(C816,[1]Orders!$A$5:$W$1043,5,0)</f>
        <v>Sydney</v>
      </c>
      <c r="G816" t="str">
        <f>VLOOKUP(C816,[1]Orders!$A$5:$W$1043,5,0)</f>
        <v>Sydney</v>
      </c>
      <c r="H816" t="str">
        <f>VLOOKUP(C816,[1]Orders!$A$5:$W$1043,6,0)</f>
        <v>NSW</v>
      </c>
      <c r="I816" t="str">
        <f>VLOOKUP(C816,[1]Orders!$A$5:$W$1043,7,0)</f>
        <v>Small Business</v>
      </c>
      <c r="J816" t="str">
        <f>VLOOKUP(C816,[1]Orders!$A$5:$W$1043,8,0)</f>
        <v>Samantha Chairs</v>
      </c>
      <c r="K816" t="str">
        <f>VLOOKUP(C816,[1]Orders!$A$5:$W$1043,9,0)</f>
        <v>Medium</v>
      </c>
    </row>
    <row r="817" spans="3:11" x14ac:dyDescent="0.25">
      <c r="C817" s="61" t="s">
        <v>909</v>
      </c>
      <c r="D817" t="str">
        <f>VLOOKUP(C817,[1]Orders!$A$5:$W$1043,3,0)</f>
        <v>Linda Southworth</v>
      </c>
      <c r="E817">
        <f>VLOOKUP(C817,[1]Orders!$A$5:$W$1043,23,0)</f>
        <v>111.77999999999999</v>
      </c>
      <c r="F817" t="str">
        <f>VLOOKUP(C817,[1]Orders!$A$5:$W$1043,5,0)</f>
        <v>Sydney</v>
      </c>
      <c r="G817" t="str">
        <f>VLOOKUP(C817,[1]Orders!$A$5:$W$1043,5,0)</f>
        <v>Sydney</v>
      </c>
      <c r="H817" t="str">
        <f>VLOOKUP(C817,[1]Orders!$A$5:$W$1043,6,0)</f>
        <v>NSW</v>
      </c>
      <c r="I817" t="str">
        <f>VLOOKUP(C817,[1]Orders!$A$5:$W$1043,7,0)</f>
        <v>Consumer</v>
      </c>
      <c r="J817" t="str">
        <f>VLOOKUP(C817,[1]Orders!$A$5:$W$1043,8,0)</f>
        <v>Phoebe Gour</v>
      </c>
      <c r="K817" t="str">
        <f>VLOOKUP(C817,[1]Orders!$A$5:$W$1043,9,0)</f>
        <v>Low</v>
      </c>
    </row>
    <row r="818" spans="3:11" x14ac:dyDescent="0.25">
      <c r="C818" s="61" t="s">
        <v>910</v>
      </c>
      <c r="D818" t="str">
        <f>VLOOKUP(C818,[1]Orders!$A$5:$W$1043,3,0)</f>
        <v>Bill Donatelli</v>
      </c>
      <c r="E818">
        <f>VLOOKUP(C818,[1]Orders!$A$5:$W$1043,23,0)</f>
        <v>1467.67</v>
      </c>
      <c r="F818" t="str">
        <f>VLOOKUP(C818,[1]Orders!$A$5:$W$1043,5,0)</f>
        <v>Sydney</v>
      </c>
      <c r="G818" t="str">
        <f>VLOOKUP(C818,[1]Orders!$A$5:$W$1043,5,0)</f>
        <v>Sydney</v>
      </c>
      <c r="H818" t="str">
        <f>VLOOKUP(C818,[1]Orders!$A$5:$W$1043,6,0)</f>
        <v>NSW</v>
      </c>
      <c r="I818" t="str">
        <f>VLOOKUP(C818,[1]Orders!$A$5:$W$1043,7,0)</f>
        <v>Small Business</v>
      </c>
      <c r="J818" t="str">
        <f>VLOOKUP(C818,[1]Orders!$A$5:$W$1043,8,0)</f>
        <v>Phoebe Gour</v>
      </c>
      <c r="K818" t="str">
        <f>VLOOKUP(C818,[1]Orders!$A$5:$W$1043,9,0)</f>
        <v>Medium</v>
      </c>
    </row>
    <row r="819" spans="3:11" x14ac:dyDescent="0.25">
      <c r="C819" s="61" t="s">
        <v>911</v>
      </c>
      <c r="D819" t="str">
        <f>VLOOKUP(C819,[1]Orders!$A$5:$W$1043,3,0)</f>
        <v>Steven Cartwright</v>
      </c>
      <c r="E819">
        <f>VLOOKUP(C819,[1]Orders!$A$5:$W$1043,23,0)</f>
        <v>70.08</v>
      </c>
      <c r="F819" t="str">
        <f>VLOOKUP(C819,[1]Orders!$A$5:$W$1043,5,0)</f>
        <v>Sydney</v>
      </c>
      <c r="G819" t="str">
        <f>VLOOKUP(C819,[1]Orders!$A$5:$W$1043,5,0)</f>
        <v>Sydney</v>
      </c>
      <c r="H819" t="str">
        <f>VLOOKUP(C819,[1]Orders!$A$5:$W$1043,6,0)</f>
        <v>NSW</v>
      </c>
      <c r="I819" t="str">
        <f>VLOOKUP(C819,[1]Orders!$A$5:$W$1043,7,0)</f>
        <v>Home Office</v>
      </c>
      <c r="J819" t="str">
        <f>VLOOKUP(C819,[1]Orders!$A$5:$W$1043,8,0)</f>
        <v>Aanya Zhang</v>
      </c>
      <c r="K819" t="str">
        <f>VLOOKUP(C819,[1]Orders!$A$5:$W$1043,9,0)</f>
        <v>Low</v>
      </c>
    </row>
    <row r="820" spans="3:11" x14ac:dyDescent="0.25">
      <c r="C820" s="61" t="s">
        <v>912</v>
      </c>
      <c r="D820" t="str">
        <f>VLOOKUP(C820,[1]Orders!$A$5:$W$1043,3,0)</f>
        <v>Erica Smith</v>
      </c>
      <c r="E820">
        <f>VLOOKUP(C820,[1]Orders!$A$5:$W$1043,23,0)</f>
        <v>3848.5399999999995</v>
      </c>
      <c r="F820" t="str">
        <f>VLOOKUP(C820,[1]Orders!$A$5:$W$1043,5,0)</f>
        <v>Sydney</v>
      </c>
      <c r="G820" t="str">
        <f>VLOOKUP(C820,[1]Orders!$A$5:$W$1043,5,0)</f>
        <v>Sydney</v>
      </c>
      <c r="H820" t="str">
        <f>VLOOKUP(C820,[1]Orders!$A$5:$W$1043,6,0)</f>
        <v>NSW</v>
      </c>
      <c r="I820" t="str">
        <f>VLOOKUP(C820,[1]Orders!$A$5:$W$1043,7,0)</f>
        <v>Small Business</v>
      </c>
      <c r="J820" t="str">
        <f>VLOOKUP(C820,[1]Orders!$A$5:$W$1043,8,0)</f>
        <v>Tina Carlton</v>
      </c>
      <c r="K820" t="str">
        <f>VLOOKUP(C820,[1]Orders!$A$5:$W$1043,9,0)</f>
        <v>Low</v>
      </c>
    </row>
    <row r="821" spans="3:11" x14ac:dyDescent="0.25">
      <c r="C821" s="61" t="s">
        <v>913</v>
      </c>
      <c r="D821" t="str">
        <f>VLOOKUP(C821,[1]Orders!$A$5:$W$1043,3,0)</f>
        <v>Robert Marley</v>
      </c>
      <c r="E821">
        <f>VLOOKUP(C821,[1]Orders!$A$5:$W$1043,23,0)</f>
        <v>212.48</v>
      </c>
      <c r="F821" t="str">
        <f>VLOOKUP(C821,[1]Orders!$A$5:$W$1043,5,0)</f>
        <v>Sydney</v>
      </c>
      <c r="G821" t="str">
        <f>VLOOKUP(C821,[1]Orders!$A$5:$W$1043,5,0)</f>
        <v>Sydney</v>
      </c>
      <c r="H821" t="str">
        <f>VLOOKUP(C821,[1]Orders!$A$5:$W$1043,6,0)</f>
        <v>NSW</v>
      </c>
      <c r="I821" t="str">
        <f>VLOOKUP(C821,[1]Orders!$A$5:$W$1043,7,0)</f>
        <v>Corporate</v>
      </c>
      <c r="J821" t="str">
        <f>VLOOKUP(C821,[1]Orders!$A$5:$W$1043,8,0)</f>
        <v>Preston Senome</v>
      </c>
      <c r="K821" t="str">
        <f>VLOOKUP(C821,[1]Orders!$A$5:$W$1043,9,0)</f>
        <v>Not Specified</v>
      </c>
    </row>
    <row r="822" spans="3:11" x14ac:dyDescent="0.25">
      <c r="C822" s="61" t="s">
        <v>914</v>
      </c>
      <c r="D822" t="str">
        <f>VLOOKUP(C822,[1]Orders!$A$5:$W$1043,3,0)</f>
        <v>Rick Hansen</v>
      </c>
      <c r="E822">
        <f>VLOOKUP(C822,[1]Orders!$A$5:$W$1043,23,0)</f>
        <v>582.56999999999994</v>
      </c>
      <c r="F822" t="str">
        <f>VLOOKUP(C822,[1]Orders!$A$5:$W$1043,5,0)</f>
        <v>Sydney</v>
      </c>
      <c r="G822" t="str">
        <f>VLOOKUP(C822,[1]Orders!$A$5:$W$1043,5,0)</f>
        <v>Sydney</v>
      </c>
      <c r="H822" t="str">
        <f>VLOOKUP(C822,[1]Orders!$A$5:$W$1043,6,0)</f>
        <v>NSW</v>
      </c>
      <c r="I822" t="str">
        <f>VLOOKUP(C822,[1]Orders!$A$5:$W$1043,7,0)</f>
        <v>Home Office</v>
      </c>
      <c r="J822" t="str">
        <f>VLOOKUP(C822,[1]Orders!$A$5:$W$1043,8,0)</f>
        <v>Nicholas Fernandes</v>
      </c>
      <c r="K822" t="str">
        <f>VLOOKUP(C822,[1]Orders!$A$5:$W$1043,9,0)</f>
        <v>Medium</v>
      </c>
    </row>
    <row r="823" spans="3:11" x14ac:dyDescent="0.25">
      <c r="C823" s="61" t="s">
        <v>915</v>
      </c>
      <c r="D823" t="str">
        <f>VLOOKUP(C823,[1]Orders!$A$5:$W$1043,3,0)</f>
        <v>Shirley Schmidt</v>
      </c>
      <c r="E823">
        <f>VLOOKUP(C823,[1]Orders!$A$5:$W$1043,23,0)</f>
        <v>783.17000000000007</v>
      </c>
      <c r="F823" t="str">
        <f>VLOOKUP(C823,[1]Orders!$A$5:$W$1043,5,0)</f>
        <v>Melbourne</v>
      </c>
      <c r="G823" t="str">
        <f>VLOOKUP(C823,[1]Orders!$A$5:$W$1043,5,0)</f>
        <v>Melbourne</v>
      </c>
      <c r="H823" t="str">
        <f>VLOOKUP(C823,[1]Orders!$A$5:$W$1043,6,0)</f>
        <v>VIC</v>
      </c>
      <c r="I823" t="str">
        <f>VLOOKUP(C823,[1]Orders!$A$5:$W$1043,7,0)</f>
        <v>Corporate</v>
      </c>
      <c r="J823" t="str">
        <f>VLOOKUP(C823,[1]Orders!$A$5:$W$1043,8,0)</f>
        <v>Yvette Biti</v>
      </c>
      <c r="K823" t="str">
        <f>VLOOKUP(C823,[1]Orders!$A$5:$W$1043,9,0)</f>
        <v>Medium</v>
      </c>
    </row>
    <row r="824" spans="3:11" x14ac:dyDescent="0.25">
      <c r="C824" s="61" t="s">
        <v>916</v>
      </c>
      <c r="D824" t="str">
        <f>VLOOKUP(C824,[1]Orders!$A$5:$W$1043,3,0)</f>
        <v>Brooke Gillingham</v>
      </c>
      <c r="E824">
        <f>VLOOKUP(C824,[1]Orders!$A$5:$W$1043,23,0)</f>
        <v>946.64</v>
      </c>
      <c r="F824" t="str">
        <f>VLOOKUP(C824,[1]Orders!$A$5:$W$1043,5,0)</f>
        <v>Sydney</v>
      </c>
      <c r="G824" t="str">
        <f>VLOOKUP(C824,[1]Orders!$A$5:$W$1043,5,0)</f>
        <v>Sydney</v>
      </c>
      <c r="H824" t="str">
        <f>VLOOKUP(C824,[1]Orders!$A$5:$W$1043,6,0)</f>
        <v>NSW</v>
      </c>
      <c r="I824" t="str">
        <f>VLOOKUP(C824,[1]Orders!$A$5:$W$1043,7,0)</f>
        <v>Small Business</v>
      </c>
      <c r="J824" t="str">
        <f>VLOOKUP(C824,[1]Orders!$A$5:$W$1043,8,0)</f>
        <v>Aanya Zhang</v>
      </c>
      <c r="K824" t="str">
        <f>VLOOKUP(C824,[1]Orders!$A$5:$W$1043,9,0)</f>
        <v>Medium</v>
      </c>
    </row>
    <row r="825" spans="3:11" x14ac:dyDescent="0.25">
      <c r="C825" s="61" t="s">
        <v>917</v>
      </c>
      <c r="D825" t="str">
        <f>VLOOKUP(C825,[1]Orders!$A$5:$W$1043,3,0)</f>
        <v>Magdelene Morse</v>
      </c>
      <c r="E825">
        <f>VLOOKUP(C825,[1]Orders!$A$5:$W$1043,23,0)</f>
        <v>68.429999999999993</v>
      </c>
      <c r="F825" t="str">
        <f>VLOOKUP(C825,[1]Orders!$A$5:$W$1043,5,0)</f>
        <v>Sydney</v>
      </c>
      <c r="G825" t="str">
        <f>VLOOKUP(C825,[1]Orders!$A$5:$W$1043,5,0)</f>
        <v>Sydney</v>
      </c>
      <c r="H825" t="str">
        <f>VLOOKUP(C825,[1]Orders!$A$5:$W$1043,6,0)</f>
        <v>NSW</v>
      </c>
      <c r="I825" t="str">
        <f>VLOOKUP(C825,[1]Orders!$A$5:$W$1043,7,0)</f>
        <v>Home Office</v>
      </c>
      <c r="J825" t="str">
        <f>VLOOKUP(C825,[1]Orders!$A$5:$W$1043,8,0)</f>
        <v>Tina Carlton</v>
      </c>
      <c r="K825" t="str">
        <f>VLOOKUP(C825,[1]Orders!$A$5:$W$1043,9,0)</f>
        <v>Medium</v>
      </c>
    </row>
    <row r="826" spans="3:11" x14ac:dyDescent="0.25">
      <c r="C826" s="61" t="s">
        <v>918</v>
      </c>
      <c r="D826" t="str">
        <f>VLOOKUP(C826,[1]Orders!$A$5:$W$1043,3,0)</f>
        <v>Andrew Allen</v>
      </c>
      <c r="E826">
        <f>VLOOKUP(C826,[1]Orders!$A$5:$W$1043,23,0)</f>
        <v>65.28</v>
      </c>
      <c r="F826" t="str">
        <f>VLOOKUP(C826,[1]Orders!$A$5:$W$1043,5,0)</f>
        <v>Sydney</v>
      </c>
      <c r="G826" t="str">
        <f>VLOOKUP(C826,[1]Orders!$A$5:$W$1043,5,0)</f>
        <v>Sydney</v>
      </c>
      <c r="H826" t="str">
        <f>VLOOKUP(C826,[1]Orders!$A$5:$W$1043,6,0)</f>
        <v>NSW</v>
      </c>
      <c r="I826" t="str">
        <f>VLOOKUP(C826,[1]Orders!$A$5:$W$1043,7,0)</f>
        <v>Corporate</v>
      </c>
      <c r="J826" t="str">
        <f>VLOOKUP(C826,[1]Orders!$A$5:$W$1043,8,0)</f>
        <v>Phoebe Gour</v>
      </c>
      <c r="K826" t="str">
        <f>VLOOKUP(C826,[1]Orders!$A$5:$W$1043,9,0)</f>
        <v>Low</v>
      </c>
    </row>
    <row r="827" spans="3:11" x14ac:dyDescent="0.25">
      <c r="C827" s="61" t="s">
        <v>919</v>
      </c>
      <c r="D827" t="str">
        <f>VLOOKUP(C827,[1]Orders!$A$5:$W$1043,3,0)</f>
        <v>Sandra Flanagan</v>
      </c>
      <c r="E827">
        <f>VLOOKUP(C827,[1]Orders!$A$5:$W$1043,23,0)</f>
        <v>944.83</v>
      </c>
      <c r="F827" t="str">
        <f>VLOOKUP(C827,[1]Orders!$A$5:$W$1043,5,0)</f>
        <v>Sydney</v>
      </c>
      <c r="G827" t="str">
        <f>VLOOKUP(C827,[1]Orders!$A$5:$W$1043,5,0)</f>
        <v>Sydney</v>
      </c>
      <c r="H827" t="str">
        <f>VLOOKUP(C827,[1]Orders!$A$5:$W$1043,6,0)</f>
        <v>NSW</v>
      </c>
      <c r="I827" t="str">
        <f>VLOOKUP(C827,[1]Orders!$A$5:$W$1043,7,0)</f>
        <v>Home Office</v>
      </c>
      <c r="J827" t="str">
        <f>VLOOKUP(C827,[1]Orders!$A$5:$W$1043,8,0)</f>
        <v>Phoebe Gour</v>
      </c>
      <c r="K827" t="str">
        <f>VLOOKUP(C827,[1]Orders!$A$5:$W$1043,9,0)</f>
        <v>Low</v>
      </c>
    </row>
    <row r="828" spans="3:11" x14ac:dyDescent="0.25">
      <c r="C828" s="61" t="s">
        <v>920</v>
      </c>
      <c r="D828" t="str">
        <f>VLOOKUP(C828,[1]Orders!$A$5:$W$1043,3,0)</f>
        <v>Monica Federle</v>
      </c>
      <c r="E828">
        <f>VLOOKUP(C828,[1]Orders!$A$5:$W$1043,23,0)</f>
        <v>59.85</v>
      </c>
      <c r="F828" t="str">
        <f>VLOOKUP(C828,[1]Orders!$A$5:$W$1043,5,0)</f>
        <v>Sydney</v>
      </c>
      <c r="G828" t="str">
        <f>VLOOKUP(C828,[1]Orders!$A$5:$W$1043,5,0)</f>
        <v>Sydney</v>
      </c>
      <c r="H828" t="str">
        <f>VLOOKUP(C828,[1]Orders!$A$5:$W$1043,6,0)</f>
        <v>NSW</v>
      </c>
      <c r="I828" t="str">
        <f>VLOOKUP(C828,[1]Orders!$A$5:$W$1043,7,0)</f>
        <v>Corporate</v>
      </c>
      <c r="J828" t="str">
        <f>VLOOKUP(C828,[1]Orders!$A$5:$W$1043,8,0)</f>
        <v>Charlie Bui</v>
      </c>
      <c r="K828" t="str">
        <f>VLOOKUP(C828,[1]Orders!$A$5:$W$1043,9,0)</f>
        <v>Critical</v>
      </c>
    </row>
    <row r="829" spans="3:11" x14ac:dyDescent="0.25">
      <c r="C829" s="61" t="s">
        <v>921</v>
      </c>
      <c r="D829" t="str">
        <f>VLOOKUP(C829,[1]Orders!$A$5:$W$1043,3,0)</f>
        <v>Carol Darley</v>
      </c>
      <c r="E829">
        <f>VLOOKUP(C829,[1]Orders!$A$5:$W$1043,23,0)</f>
        <v>303.26</v>
      </c>
      <c r="F829" t="str">
        <f>VLOOKUP(C829,[1]Orders!$A$5:$W$1043,5,0)</f>
        <v>Melbourne</v>
      </c>
      <c r="G829" t="str">
        <f>VLOOKUP(C829,[1]Orders!$A$5:$W$1043,5,0)</f>
        <v>Melbourne</v>
      </c>
      <c r="H829" t="str">
        <f>VLOOKUP(C829,[1]Orders!$A$5:$W$1043,6,0)</f>
        <v>VIC</v>
      </c>
      <c r="I829" t="str">
        <f>VLOOKUP(C829,[1]Orders!$A$5:$W$1043,7,0)</f>
        <v>Small Business</v>
      </c>
      <c r="J829" t="str">
        <f>VLOOKUP(C829,[1]Orders!$A$5:$W$1043,8,0)</f>
        <v>Yvette Biti</v>
      </c>
      <c r="K829" t="str">
        <f>VLOOKUP(C829,[1]Orders!$A$5:$W$1043,9,0)</f>
        <v>Medium</v>
      </c>
    </row>
    <row r="830" spans="3:11" x14ac:dyDescent="0.25">
      <c r="C830" s="61" t="s">
        <v>922</v>
      </c>
      <c r="D830" t="str">
        <f>VLOOKUP(C830,[1]Orders!$A$5:$W$1043,3,0)</f>
        <v>Robert Marley</v>
      </c>
      <c r="E830">
        <f>VLOOKUP(C830,[1]Orders!$A$5:$W$1043,23,0)</f>
        <v>57.149999999999991</v>
      </c>
      <c r="F830" t="str">
        <f>VLOOKUP(C830,[1]Orders!$A$5:$W$1043,5,0)</f>
        <v>Sydney</v>
      </c>
      <c r="G830" t="str">
        <f>VLOOKUP(C830,[1]Orders!$A$5:$W$1043,5,0)</f>
        <v>Sydney</v>
      </c>
      <c r="H830" t="str">
        <f>VLOOKUP(C830,[1]Orders!$A$5:$W$1043,6,0)</f>
        <v>NSW</v>
      </c>
      <c r="I830" t="str">
        <f>VLOOKUP(C830,[1]Orders!$A$5:$W$1043,7,0)</f>
        <v>Corporate</v>
      </c>
      <c r="J830" t="str">
        <f>VLOOKUP(C830,[1]Orders!$A$5:$W$1043,8,0)</f>
        <v>Preston Senome</v>
      </c>
      <c r="K830" t="str">
        <f>VLOOKUP(C830,[1]Orders!$A$5:$W$1043,9,0)</f>
        <v>Low</v>
      </c>
    </row>
    <row r="831" spans="3:11" x14ac:dyDescent="0.25">
      <c r="C831" s="61" t="s">
        <v>923</v>
      </c>
      <c r="D831" t="str">
        <f>VLOOKUP(C831,[1]Orders!$A$5:$W$1043,3,0)</f>
        <v>MaryBeth Skach</v>
      </c>
      <c r="E831">
        <f>VLOOKUP(C831,[1]Orders!$A$5:$W$1043,23,0)</f>
        <v>115.61</v>
      </c>
      <c r="F831" t="str">
        <f>VLOOKUP(C831,[1]Orders!$A$5:$W$1043,5,0)</f>
        <v>Melbourne</v>
      </c>
      <c r="G831" t="str">
        <f>VLOOKUP(C831,[1]Orders!$A$5:$W$1043,5,0)</f>
        <v>Melbourne</v>
      </c>
      <c r="H831" t="str">
        <f>VLOOKUP(C831,[1]Orders!$A$5:$W$1043,6,0)</f>
        <v>VIC</v>
      </c>
      <c r="I831" t="str">
        <f>VLOOKUP(C831,[1]Orders!$A$5:$W$1043,7,0)</f>
        <v>Home Office</v>
      </c>
      <c r="J831" t="str">
        <f>VLOOKUP(C831,[1]Orders!$A$5:$W$1043,8,0)</f>
        <v>Yvette Biti</v>
      </c>
      <c r="K831" t="str">
        <f>VLOOKUP(C831,[1]Orders!$A$5:$W$1043,9,0)</f>
        <v>High</v>
      </c>
    </row>
    <row r="832" spans="3:11" x14ac:dyDescent="0.25">
      <c r="C832" s="61" t="s">
        <v>924</v>
      </c>
      <c r="D832" t="str">
        <f>VLOOKUP(C832,[1]Orders!$A$5:$W$1043,3,0)</f>
        <v>Michael Kennedy</v>
      </c>
      <c r="E832">
        <f>VLOOKUP(C832,[1]Orders!$A$5:$W$1043,23,0)</f>
        <v>110.30999999999999</v>
      </c>
      <c r="F832" t="str">
        <f>VLOOKUP(C832,[1]Orders!$A$5:$W$1043,5,0)</f>
        <v>Sydney</v>
      </c>
      <c r="G832" t="str">
        <f>VLOOKUP(C832,[1]Orders!$A$5:$W$1043,5,0)</f>
        <v>Sydney</v>
      </c>
      <c r="H832" t="str">
        <f>VLOOKUP(C832,[1]Orders!$A$5:$W$1043,6,0)</f>
        <v>NSW</v>
      </c>
      <c r="I832" t="str">
        <f>VLOOKUP(C832,[1]Orders!$A$5:$W$1043,7,0)</f>
        <v>Corporate</v>
      </c>
      <c r="J832" t="str">
        <f>VLOOKUP(C832,[1]Orders!$A$5:$W$1043,8,0)</f>
        <v>Leighton Forrest</v>
      </c>
      <c r="K832" t="str">
        <f>VLOOKUP(C832,[1]Orders!$A$5:$W$1043,9,0)</f>
        <v>Not Specified</v>
      </c>
    </row>
    <row r="833" spans="3:11" x14ac:dyDescent="0.25">
      <c r="C833" s="61" t="s">
        <v>925</v>
      </c>
      <c r="D833" t="str">
        <f>VLOOKUP(C833,[1]Orders!$A$5:$W$1043,3,0)</f>
        <v>Deanra Eno</v>
      </c>
      <c r="E833">
        <f>VLOOKUP(C833,[1]Orders!$A$5:$W$1043,23,0)</f>
        <v>46.72</v>
      </c>
      <c r="F833" t="str">
        <f>VLOOKUP(C833,[1]Orders!$A$5:$W$1043,5,0)</f>
        <v>Melbourne</v>
      </c>
      <c r="G833" t="str">
        <f>VLOOKUP(C833,[1]Orders!$A$5:$W$1043,5,0)</f>
        <v>Melbourne</v>
      </c>
      <c r="H833" t="str">
        <f>VLOOKUP(C833,[1]Orders!$A$5:$W$1043,6,0)</f>
        <v>VIC</v>
      </c>
      <c r="I833" t="str">
        <f>VLOOKUP(C833,[1]Orders!$A$5:$W$1043,7,0)</f>
        <v>Corporate</v>
      </c>
      <c r="J833" t="str">
        <f>VLOOKUP(C833,[1]Orders!$A$5:$W$1043,8,0)</f>
        <v>Connor Betts</v>
      </c>
      <c r="K833" t="str">
        <f>VLOOKUP(C833,[1]Orders!$A$5:$W$1043,9,0)</f>
        <v>Medium</v>
      </c>
    </row>
    <row r="834" spans="3:11" x14ac:dyDescent="0.25">
      <c r="C834" s="61" t="s">
        <v>926</v>
      </c>
      <c r="D834" t="str">
        <f>VLOOKUP(C834,[1]Orders!$A$5:$W$1043,3,0)</f>
        <v>Toby Knight</v>
      </c>
      <c r="E834">
        <f>VLOOKUP(C834,[1]Orders!$A$5:$W$1043,23,0)</f>
        <v>106.54999999999998</v>
      </c>
      <c r="F834" t="str">
        <f>VLOOKUP(C834,[1]Orders!$A$5:$W$1043,5,0)</f>
        <v>Melbourne</v>
      </c>
      <c r="G834" t="str">
        <f>VLOOKUP(C834,[1]Orders!$A$5:$W$1043,5,0)</f>
        <v>Melbourne</v>
      </c>
      <c r="H834" t="str">
        <f>VLOOKUP(C834,[1]Orders!$A$5:$W$1043,6,0)</f>
        <v>VIC</v>
      </c>
      <c r="I834" t="str">
        <f>VLOOKUP(C834,[1]Orders!$A$5:$W$1043,7,0)</f>
        <v>Corporate</v>
      </c>
      <c r="J834" t="str">
        <f>VLOOKUP(C834,[1]Orders!$A$5:$W$1043,8,0)</f>
        <v>Connor Betts</v>
      </c>
      <c r="K834" t="str">
        <f>VLOOKUP(C834,[1]Orders!$A$5:$W$1043,9,0)</f>
        <v>Not Specified</v>
      </c>
    </row>
    <row r="835" spans="3:11" x14ac:dyDescent="0.25">
      <c r="C835" s="61" t="s">
        <v>927</v>
      </c>
      <c r="D835" t="str">
        <f>VLOOKUP(C835,[1]Orders!$A$5:$W$1043,3,0)</f>
        <v>Nick Crebassa</v>
      </c>
      <c r="E835">
        <f>VLOOKUP(C835,[1]Orders!$A$5:$W$1043,23,0)</f>
        <v>259.19</v>
      </c>
      <c r="F835" t="str">
        <f>VLOOKUP(C835,[1]Orders!$A$5:$W$1043,5,0)</f>
        <v>Sydney</v>
      </c>
      <c r="G835" t="str">
        <f>VLOOKUP(C835,[1]Orders!$A$5:$W$1043,5,0)</f>
        <v>Sydney</v>
      </c>
      <c r="H835" t="str">
        <f>VLOOKUP(C835,[1]Orders!$A$5:$W$1043,6,0)</f>
        <v>NSW</v>
      </c>
      <c r="I835" t="str">
        <f>VLOOKUP(C835,[1]Orders!$A$5:$W$1043,7,0)</f>
        <v>Corporate</v>
      </c>
      <c r="J835" t="str">
        <f>VLOOKUP(C835,[1]Orders!$A$5:$W$1043,8,0)</f>
        <v>Phoebe Gour</v>
      </c>
      <c r="K835" t="str">
        <f>VLOOKUP(C835,[1]Orders!$A$5:$W$1043,9,0)</f>
        <v>Low</v>
      </c>
    </row>
    <row r="836" spans="3:11" x14ac:dyDescent="0.25">
      <c r="C836" s="61" t="s">
        <v>928</v>
      </c>
      <c r="D836" t="str">
        <f>VLOOKUP(C836,[1]Orders!$A$5:$W$1043,3,0)</f>
        <v>Cyma Kinney</v>
      </c>
      <c r="E836">
        <f>VLOOKUP(C836,[1]Orders!$A$5:$W$1043,23,0)</f>
        <v>21.36</v>
      </c>
      <c r="F836" t="str">
        <f>VLOOKUP(C836,[1]Orders!$A$5:$W$1043,5,0)</f>
        <v>Sydney</v>
      </c>
      <c r="G836" t="str">
        <f>VLOOKUP(C836,[1]Orders!$A$5:$W$1043,5,0)</f>
        <v>Sydney</v>
      </c>
      <c r="H836" t="str">
        <f>VLOOKUP(C836,[1]Orders!$A$5:$W$1043,6,0)</f>
        <v>NSW</v>
      </c>
      <c r="I836" t="str">
        <f>VLOOKUP(C836,[1]Orders!$A$5:$W$1043,7,0)</f>
        <v>Small Business</v>
      </c>
      <c r="J836" t="str">
        <f>VLOOKUP(C836,[1]Orders!$A$5:$W$1043,8,0)</f>
        <v>Phoebe Gour</v>
      </c>
      <c r="K836" t="str">
        <f>VLOOKUP(C836,[1]Orders!$A$5:$W$1043,9,0)</f>
        <v>Critical</v>
      </c>
    </row>
    <row r="837" spans="3:11" x14ac:dyDescent="0.25">
      <c r="C837" s="61" t="s">
        <v>929</v>
      </c>
      <c r="D837" t="str">
        <f>VLOOKUP(C837,[1]Orders!$A$5:$W$1043,3,0)</f>
        <v>Craig Leslie</v>
      </c>
      <c r="E837">
        <f>VLOOKUP(C837,[1]Orders!$A$5:$W$1043,23,0)</f>
        <v>22073.940000000002</v>
      </c>
      <c r="F837" t="str">
        <f>VLOOKUP(C837,[1]Orders!$A$5:$W$1043,5,0)</f>
        <v>Melbourne</v>
      </c>
      <c r="G837" t="str">
        <f>VLOOKUP(C837,[1]Orders!$A$5:$W$1043,5,0)</f>
        <v>Melbourne</v>
      </c>
      <c r="H837" t="str">
        <f>VLOOKUP(C837,[1]Orders!$A$5:$W$1043,6,0)</f>
        <v>VIC</v>
      </c>
      <c r="I837" t="str">
        <f>VLOOKUP(C837,[1]Orders!$A$5:$W$1043,7,0)</f>
        <v>Consumer</v>
      </c>
      <c r="J837" t="str">
        <f>VLOOKUP(C837,[1]Orders!$A$5:$W$1043,8,0)</f>
        <v>Charlie Bui</v>
      </c>
      <c r="K837" t="str">
        <f>VLOOKUP(C837,[1]Orders!$A$5:$W$1043,9,0)</f>
        <v>High</v>
      </c>
    </row>
    <row r="838" spans="3:11" x14ac:dyDescent="0.25">
      <c r="C838" s="61" t="s">
        <v>930</v>
      </c>
      <c r="D838" t="str">
        <f>VLOOKUP(C838,[1]Orders!$A$5:$W$1043,3,0)</f>
        <v>Deirdre Greer</v>
      </c>
      <c r="E838">
        <f>VLOOKUP(C838,[1]Orders!$A$5:$W$1043,23,0)</f>
        <v>5107.04</v>
      </c>
      <c r="F838" t="str">
        <f>VLOOKUP(C838,[1]Orders!$A$5:$W$1043,5,0)</f>
        <v>Sydney</v>
      </c>
      <c r="G838" t="str">
        <f>VLOOKUP(C838,[1]Orders!$A$5:$W$1043,5,0)</f>
        <v>Sydney</v>
      </c>
      <c r="H838" t="str">
        <f>VLOOKUP(C838,[1]Orders!$A$5:$W$1043,6,0)</f>
        <v>NSW</v>
      </c>
      <c r="I838" t="str">
        <f>VLOOKUP(C838,[1]Orders!$A$5:$W$1043,7,0)</f>
        <v>Home Office</v>
      </c>
      <c r="J838" t="str">
        <f>VLOOKUP(C838,[1]Orders!$A$5:$W$1043,8,0)</f>
        <v>Natasha Song</v>
      </c>
      <c r="K838" t="str">
        <f>VLOOKUP(C838,[1]Orders!$A$5:$W$1043,9,0)</f>
        <v>Low</v>
      </c>
    </row>
    <row r="839" spans="3:11" x14ac:dyDescent="0.25">
      <c r="C839" s="61" t="s">
        <v>931</v>
      </c>
      <c r="D839" t="str">
        <f>VLOOKUP(C839,[1]Orders!$A$5:$W$1043,3,0)</f>
        <v>Sung Shariari</v>
      </c>
      <c r="E839">
        <f>VLOOKUP(C839,[1]Orders!$A$5:$W$1043,23,0)</f>
        <v>587.19000000000005</v>
      </c>
      <c r="F839" t="str">
        <f>VLOOKUP(C839,[1]Orders!$A$5:$W$1043,5,0)</f>
        <v>Sydney</v>
      </c>
      <c r="G839" t="str">
        <f>VLOOKUP(C839,[1]Orders!$A$5:$W$1043,5,0)</f>
        <v>Sydney</v>
      </c>
      <c r="H839" t="str">
        <f>VLOOKUP(C839,[1]Orders!$A$5:$W$1043,6,0)</f>
        <v>NSW</v>
      </c>
      <c r="I839" t="str">
        <f>VLOOKUP(C839,[1]Orders!$A$5:$W$1043,7,0)</f>
        <v>Corporate</v>
      </c>
      <c r="J839" t="str">
        <f>VLOOKUP(C839,[1]Orders!$A$5:$W$1043,8,0)</f>
        <v>Leighton Forrest</v>
      </c>
      <c r="K839" t="str">
        <f>VLOOKUP(C839,[1]Orders!$A$5:$W$1043,9,0)</f>
        <v>Critical</v>
      </c>
    </row>
    <row r="840" spans="3:11" x14ac:dyDescent="0.25">
      <c r="C840" s="61" t="s">
        <v>932</v>
      </c>
      <c r="D840" t="str">
        <f>VLOOKUP(C840,[1]Orders!$A$5:$W$1043,3,0)</f>
        <v>Alan Dominguez</v>
      </c>
      <c r="E840">
        <f>VLOOKUP(C840,[1]Orders!$A$5:$W$1043,23,0)</f>
        <v>130.26000000000002</v>
      </c>
      <c r="F840" t="str">
        <f>VLOOKUP(C840,[1]Orders!$A$5:$W$1043,5,0)</f>
        <v>Melbourne</v>
      </c>
      <c r="G840" t="str">
        <f>VLOOKUP(C840,[1]Orders!$A$5:$W$1043,5,0)</f>
        <v>Melbourne</v>
      </c>
      <c r="H840" t="str">
        <f>VLOOKUP(C840,[1]Orders!$A$5:$W$1043,6,0)</f>
        <v>VIC</v>
      </c>
      <c r="I840" t="str">
        <f>VLOOKUP(C840,[1]Orders!$A$5:$W$1043,7,0)</f>
        <v>Corporate</v>
      </c>
      <c r="J840" t="str">
        <f>VLOOKUP(C840,[1]Orders!$A$5:$W$1043,8,0)</f>
        <v>Yvette Biti</v>
      </c>
      <c r="K840" t="str">
        <f>VLOOKUP(C840,[1]Orders!$A$5:$W$1043,9,0)</f>
        <v>Low</v>
      </c>
    </row>
    <row r="841" spans="3:11" x14ac:dyDescent="0.25">
      <c r="C841" s="61" t="s">
        <v>933</v>
      </c>
      <c r="D841" t="str">
        <f>VLOOKUP(C841,[1]Orders!$A$5:$W$1043,3,0)</f>
        <v>Ruben Dartt</v>
      </c>
      <c r="E841">
        <f>VLOOKUP(C841,[1]Orders!$A$5:$W$1043,23,0)</f>
        <v>6.7100000000000009</v>
      </c>
      <c r="F841" t="str">
        <f>VLOOKUP(C841,[1]Orders!$A$5:$W$1043,5,0)</f>
        <v>Sydney</v>
      </c>
      <c r="G841" t="str">
        <f>VLOOKUP(C841,[1]Orders!$A$5:$W$1043,5,0)</f>
        <v>Sydney</v>
      </c>
      <c r="H841" t="str">
        <f>VLOOKUP(C841,[1]Orders!$A$5:$W$1043,6,0)</f>
        <v>NSW</v>
      </c>
      <c r="I841" t="str">
        <f>VLOOKUP(C841,[1]Orders!$A$5:$W$1043,7,0)</f>
        <v>Corporate</v>
      </c>
      <c r="J841" t="str">
        <f>VLOOKUP(C841,[1]Orders!$A$5:$W$1043,8,0)</f>
        <v>Tina Carlton</v>
      </c>
      <c r="K841" t="str">
        <f>VLOOKUP(C841,[1]Orders!$A$5:$W$1043,9,0)</f>
        <v>Not Specified</v>
      </c>
    </row>
    <row r="842" spans="3:11" x14ac:dyDescent="0.25">
      <c r="C842" s="61" t="s">
        <v>934</v>
      </c>
      <c r="D842" t="str">
        <f>VLOOKUP(C842,[1]Orders!$A$5:$W$1043,3,0)</f>
        <v>Hunter Glantz</v>
      </c>
      <c r="E842">
        <f>VLOOKUP(C842,[1]Orders!$A$5:$W$1043,23,0)</f>
        <v>373.09000000000003</v>
      </c>
      <c r="F842" t="str">
        <f>VLOOKUP(C842,[1]Orders!$A$5:$W$1043,5,0)</f>
        <v>Sydney</v>
      </c>
      <c r="G842" t="str">
        <f>VLOOKUP(C842,[1]Orders!$A$5:$W$1043,5,0)</f>
        <v>Sydney</v>
      </c>
      <c r="H842" t="str">
        <f>VLOOKUP(C842,[1]Orders!$A$5:$W$1043,6,0)</f>
        <v>NSW</v>
      </c>
      <c r="I842" t="str">
        <f>VLOOKUP(C842,[1]Orders!$A$5:$W$1043,7,0)</f>
        <v>Corporate</v>
      </c>
      <c r="J842" t="str">
        <f>VLOOKUP(C842,[1]Orders!$A$5:$W$1043,8,0)</f>
        <v>Tina Carlton</v>
      </c>
      <c r="K842" t="str">
        <f>VLOOKUP(C842,[1]Orders!$A$5:$W$1043,9,0)</f>
        <v>Low</v>
      </c>
    </row>
    <row r="843" spans="3:11" x14ac:dyDescent="0.25">
      <c r="C843" s="61" t="s">
        <v>935</v>
      </c>
      <c r="D843" t="str">
        <f>VLOOKUP(C843,[1]Orders!$A$5:$W$1043,3,0)</f>
        <v>Christina Vanderzanden</v>
      </c>
      <c r="E843">
        <f>VLOOKUP(C843,[1]Orders!$A$5:$W$1043,23,0)</f>
        <v>51.06</v>
      </c>
      <c r="F843" t="str">
        <f>VLOOKUP(C843,[1]Orders!$A$5:$W$1043,5,0)</f>
        <v>Sydney</v>
      </c>
      <c r="G843" t="str">
        <f>VLOOKUP(C843,[1]Orders!$A$5:$W$1043,5,0)</f>
        <v>Sydney</v>
      </c>
      <c r="H843" t="str">
        <f>VLOOKUP(C843,[1]Orders!$A$5:$W$1043,6,0)</f>
        <v>NSW</v>
      </c>
      <c r="I843" t="str">
        <f>VLOOKUP(C843,[1]Orders!$A$5:$W$1043,7,0)</f>
        <v>Small Business</v>
      </c>
      <c r="J843" t="str">
        <f>VLOOKUP(C843,[1]Orders!$A$5:$W$1043,8,0)</f>
        <v>Tina Carlton</v>
      </c>
      <c r="K843" t="str">
        <f>VLOOKUP(C843,[1]Orders!$A$5:$W$1043,9,0)</f>
        <v>Low</v>
      </c>
    </row>
    <row r="844" spans="3:11" x14ac:dyDescent="0.25">
      <c r="C844" s="61" t="s">
        <v>936</v>
      </c>
      <c r="D844" t="str">
        <f>VLOOKUP(C844,[1]Orders!$A$5:$W$1043,3,0)</f>
        <v>Adrian Shami</v>
      </c>
      <c r="E844">
        <f>VLOOKUP(C844,[1]Orders!$A$5:$W$1043,23,0)</f>
        <v>329.78000000000003</v>
      </c>
      <c r="F844" t="str">
        <f>VLOOKUP(C844,[1]Orders!$A$5:$W$1043,5,0)</f>
        <v>Sydney</v>
      </c>
      <c r="G844" t="str">
        <f>VLOOKUP(C844,[1]Orders!$A$5:$W$1043,5,0)</f>
        <v>Sydney</v>
      </c>
      <c r="H844" t="str">
        <f>VLOOKUP(C844,[1]Orders!$A$5:$W$1043,6,0)</f>
        <v>NSW</v>
      </c>
      <c r="I844" t="str">
        <f>VLOOKUP(C844,[1]Orders!$A$5:$W$1043,7,0)</f>
        <v>Consumer</v>
      </c>
      <c r="J844" t="str">
        <f>VLOOKUP(C844,[1]Orders!$A$5:$W$1043,8,0)</f>
        <v>Phoebe Gour</v>
      </c>
      <c r="K844" t="str">
        <f>VLOOKUP(C844,[1]Orders!$A$5:$W$1043,9,0)</f>
        <v>Low</v>
      </c>
    </row>
    <row r="845" spans="3:11" x14ac:dyDescent="0.25">
      <c r="C845" s="61" t="s">
        <v>937</v>
      </c>
      <c r="D845" t="str">
        <f>VLOOKUP(C845,[1]Orders!$A$5:$W$1043,3,0)</f>
        <v>Emily Grady</v>
      </c>
      <c r="E845">
        <f>VLOOKUP(C845,[1]Orders!$A$5:$W$1043,23,0)</f>
        <v>29.129999999999995</v>
      </c>
      <c r="F845" t="str">
        <f>VLOOKUP(C845,[1]Orders!$A$5:$W$1043,5,0)</f>
        <v>Sydney</v>
      </c>
      <c r="G845" t="str">
        <f>VLOOKUP(C845,[1]Orders!$A$5:$W$1043,5,0)</f>
        <v>Sydney</v>
      </c>
      <c r="H845" t="str">
        <f>VLOOKUP(C845,[1]Orders!$A$5:$W$1043,6,0)</f>
        <v>NSW</v>
      </c>
      <c r="I845" t="str">
        <f>VLOOKUP(C845,[1]Orders!$A$5:$W$1043,7,0)</f>
        <v>Home Office</v>
      </c>
      <c r="J845" t="str">
        <f>VLOOKUP(C845,[1]Orders!$A$5:$W$1043,8,0)</f>
        <v>Phoebe Gour</v>
      </c>
      <c r="K845" t="str">
        <f>VLOOKUP(C845,[1]Orders!$A$5:$W$1043,9,0)</f>
        <v>Not Specified</v>
      </c>
    </row>
    <row r="846" spans="3:11" x14ac:dyDescent="0.25">
      <c r="C846" s="61" t="s">
        <v>938</v>
      </c>
      <c r="D846" t="str">
        <f>VLOOKUP(C846,[1]Orders!$A$5:$W$1043,3,0)</f>
        <v>Barry Weirich</v>
      </c>
      <c r="E846">
        <f>VLOOKUP(C846,[1]Orders!$A$5:$W$1043,23,0)</f>
        <v>137.75</v>
      </c>
      <c r="F846" t="str">
        <f>VLOOKUP(C846,[1]Orders!$A$5:$W$1043,5,0)</f>
        <v>Sydney</v>
      </c>
      <c r="G846" t="str">
        <f>VLOOKUP(C846,[1]Orders!$A$5:$W$1043,5,0)</f>
        <v>Sydney</v>
      </c>
      <c r="H846" t="str">
        <f>VLOOKUP(C846,[1]Orders!$A$5:$W$1043,6,0)</f>
        <v>NSW</v>
      </c>
      <c r="I846" t="str">
        <f>VLOOKUP(C846,[1]Orders!$A$5:$W$1043,7,0)</f>
        <v>Corporate</v>
      </c>
      <c r="J846" t="str">
        <f>VLOOKUP(C846,[1]Orders!$A$5:$W$1043,8,0)</f>
        <v>Charlie Bui</v>
      </c>
      <c r="K846" t="str">
        <f>VLOOKUP(C846,[1]Orders!$A$5:$W$1043,9,0)</f>
        <v>Not Specified</v>
      </c>
    </row>
    <row r="847" spans="3:11" x14ac:dyDescent="0.25">
      <c r="C847" s="61" t="s">
        <v>939</v>
      </c>
      <c r="D847" t="str">
        <f>VLOOKUP(C847,[1]Orders!$A$5:$W$1043,3,0)</f>
        <v>Berenike Kampe</v>
      </c>
      <c r="E847">
        <f>VLOOKUP(C847,[1]Orders!$A$5:$W$1043,23,0)</f>
        <v>41.29</v>
      </c>
      <c r="F847" t="str">
        <f>VLOOKUP(C847,[1]Orders!$A$5:$W$1043,5,0)</f>
        <v>Melbourne</v>
      </c>
      <c r="G847" t="str">
        <f>VLOOKUP(C847,[1]Orders!$A$5:$W$1043,5,0)</f>
        <v>Melbourne</v>
      </c>
      <c r="H847" t="str">
        <f>VLOOKUP(C847,[1]Orders!$A$5:$W$1043,6,0)</f>
        <v>VIC</v>
      </c>
      <c r="I847" t="str">
        <f>VLOOKUP(C847,[1]Orders!$A$5:$W$1043,7,0)</f>
        <v>Corporate</v>
      </c>
      <c r="J847" t="str">
        <f>VLOOKUP(C847,[1]Orders!$A$5:$W$1043,8,0)</f>
        <v>Connor Betts</v>
      </c>
      <c r="K847" t="str">
        <f>VLOOKUP(C847,[1]Orders!$A$5:$W$1043,9,0)</f>
        <v>Critical</v>
      </c>
    </row>
    <row r="848" spans="3:11" x14ac:dyDescent="0.25">
      <c r="C848" s="61" t="s">
        <v>940</v>
      </c>
      <c r="D848" t="str">
        <f>VLOOKUP(C848,[1]Orders!$A$5:$W$1043,3,0)</f>
        <v>Corey Lock</v>
      </c>
      <c r="E848">
        <f>VLOOKUP(C848,[1]Orders!$A$5:$W$1043,23,0)</f>
        <v>146.01</v>
      </c>
      <c r="F848" t="str">
        <f>VLOOKUP(C848,[1]Orders!$A$5:$W$1043,5,0)</f>
        <v>Sydney</v>
      </c>
      <c r="G848" t="str">
        <f>VLOOKUP(C848,[1]Orders!$A$5:$W$1043,5,0)</f>
        <v>Sydney</v>
      </c>
      <c r="H848" t="str">
        <f>VLOOKUP(C848,[1]Orders!$A$5:$W$1043,6,0)</f>
        <v>NSW</v>
      </c>
      <c r="I848" t="str">
        <f>VLOOKUP(C848,[1]Orders!$A$5:$W$1043,7,0)</f>
        <v>Home Office</v>
      </c>
      <c r="J848" t="str">
        <f>VLOOKUP(C848,[1]Orders!$A$5:$W$1043,8,0)</f>
        <v>Nicholas Fernandes</v>
      </c>
      <c r="K848" t="str">
        <f>VLOOKUP(C848,[1]Orders!$A$5:$W$1043,9,0)</f>
        <v>High</v>
      </c>
    </row>
    <row r="849" spans="3:11" x14ac:dyDescent="0.25">
      <c r="C849" s="61" t="s">
        <v>941</v>
      </c>
      <c r="D849" t="str">
        <f>VLOOKUP(C849,[1]Orders!$A$5:$W$1043,3,0)</f>
        <v>Denny Joy</v>
      </c>
      <c r="E849">
        <f>VLOOKUP(C849,[1]Orders!$A$5:$W$1043,23,0)</f>
        <v>19398.509999999998</v>
      </c>
      <c r="F849" t="str">
        <f>VLOOKUP(C849,[1]Orders!$A$5:$W$1043,5,0)</f>
        <v>Melbourne</v>
      </c>
      <c r="G849" t="str">
        <f>VLOOKUP(C849,[1]Orders!$A$5:$W$1043,5,0)</f>
        <v>Melbourne</v>
      </c>
      <c r="H849" t="str">
        <f>VLOOKUP(C849,[1]Orders!$A$5:$W$1043,6,0)</f>
        <v>VIC</v>
      </c>
      <c r="I849" t="str">
        <f>VLOOKUP(C849,[1]Orders!$A$5:$W$1043,7,0)</f>
        <v>Corporate</v>
      </c>
      <c r="J849" t="str">
        <f>VLOOKUP(C849,[1]Orders!$A$5:$W$1043,8,0)</f>
        <v>Connor Betts</v>
      </c>
      <c r="K849" t="str">
        <f>VLOOKUP(C849,[1]Orders!$A$5:$W$1043,9,0)</f>
        <v>Critical</v>
      </c>
    </row>
    <row r="850" spans="3:11" x14ac:dyDescent="0.25">
      <c r="C850" s="61" t="s">
        <v>942</v>
      </c>
      <c r="D850" t="str">
        <f>VLOOKUP(C850,[1]Orders!$A$5:$W$1043,3,0)</f>
        <v>Darrin Sayre</v>
      </c>
      <c r="E850">
        <f>VLOOKUP(C850,[1]Orders!$A$5:$W$1043,23,0)</f>
        <v>46.39</v>
      </c>
      <c r="F850" t="str">
        <f>VLOOKUP(C850,[1]Orders!$A$5:$W$1043,5,0)</f>
        <v>Sydney</v>
      </c>
      <c r="G850" t="str">
        <f>VLOOKUP(C850,[1]Orders!$A$5:$W$1043,5,0)</f>
        <v>Sydney</v>
      </c>
      <c r="H850" t="str">
        <f>VLOOKUP(C850,[1]Orders!$A$5:$W$1043,6,0)</f>
        <v>NSW</v>
      </c>
      <c r="I850" t="str">
        <f>VLOOKUP(C850,[1]Orders!$A$5:$W$1043,7,0)</f>
        <v>Consumer</v>
      </c>
      <c r="J850" t="str">
        <f>VLOOKUP(C850,[1]Orders!$A$5:$W$1043,8,0)</f>
        <v>Phoebe Gour</v>
      </c>
      <c r="K850" t="str">
        <f>VLOOKUP(C850,[1]Orders!$A$5:$W$1043,9,0)</f>
        <v>Low</v>
      </c>
    </row>
    <row r="851" spans="3:11" x14ac:dyDescent="0.25">
      <c r="C851" s="61" t="s">
        <v>943</v>
      </c>
      <c r="D851" t="str">
        <f>VLOOKUP(C851,[1]Orders!$A$5:$W$1043,3,0)</f>
        <v>Cindy Chapman</v>
      </c>
      <c r="E851">
        <f>VLOOKUP(C851,[1]Orders!$A$5:$W$1043,23,0)</f>
        <v>14.559999999999999</v>
      </c>
      <c r="F851" t="str">
        <f>VLOOKUP(C851,[1]Orders!$A$5:$W$1043,5,0)</f>
        <v>Sydney</v>
      </c>
      <c r="G851" t="str">
        <f>VLOOKUP(C851,[1]Orders!$A$5:$W$1043,5,0)</f>
        <v>Sydney</v>
      </c>
      <c r="H851" t="str">
        <f>VLOOKUP(C851,[1]Orders!$A$5:$W$1043,6,0)</f>
        <v>NSW</v>
      </c>
      <c r="I851" t="str">
        <f>VLOOKUP(C851,[1]Orders!$A$5:$W$1043,7,0)</f>
        <v>Corporate</v>
      </c>
      <c r="J851" t="str">
        <f>VLOOKUP(C851,[1]Orders!$A$5:$W$1043,8,0)</f>
        <v>Tina Carlton</v>
      </c>
      <c r="K851" t="str">
        <f>VLOOKUP(C851,[1]Orders!$A$5:$W$1043,9,0)</f>
        <v>Not Specified</v>
      </c>
    </row>
    <row r="852" spans="3:11" x14ac:dyDescent="0.25">
      <c r="C852" s="61" t="s">
        <v>944</v>
      </c>
      <c r="D852" t="str">
        <f>VLOOKUP(C852,[1]Orders!$A$5:$W$1043,3,0)</f>
        <v>Heather Kirkland</v>
      </c>
      <c r="E852">
        <f>VLOOKUP(C852,[1]Orders!$A$5:$W$1043,23,0)</f>
        <v>635.14999999999986</v>
      </c>
      <c r="F852" t="str">
        <f>VLOOKUP(C852,[1]Orders!$A$5:$W$1043,5,0)</f>
        <v>Melbourne</v>
      </c>
      <c r="G852" t="str">
        <f>VLOOKUP(C852,[1]Orders!$A$5:$W$1043,5,0)</f>
        <v>Melbourne</v>
      </c>
      <c r="H852" t="str">
        <f>VLOOKUP(C852,[1]Orders!$A$5:$W$1043,6,0)</f>
        <v>VIC</v>
      </c>
      <c r="I852" t="str">
        <f>VLOOKUP(C852,[1]Orders!$A$5:$W$1043,7,0)</f>
        <v>Home Office</v>
      </c>
      <c r="J852" t="str">
        <f>VLOOKUP(C852,[1]Orders!$A$5:$W$1043,8,0)</f>
        <v>Yvette Biti</v>
      </c>
      <c r="K852" t="str">
        <f>VLOOKUP(C852,[1]Orders!$A$5:$W$1043,9,0)</f>
        <v>Not Specified</v>
      </c>
    </row>
    <row r="853" spans="3:11" x14ac:dyDescent="0.25">
      <c r="C853" s="61" t="s">
        <v>945</v>
      </c>
      <c r="D853" t="str">
        <f>VLOOKUP(C853,[1]Orders!$A$5:$W$1043,3,0)</f>
        <v>Thomas Thornton</v>
      </c>
      <c r="E853">
        <f>VLOOKUP(C853,[1]Orders!$A$5:$W$1043,23,0)</f>
        <v>96.929999999999993</v>
      </c>
      <c r="F853" t="str">
        <f>VLOOKUP(C853,[1]Orders!$A$5:$W$1043,5,0)</f>
        <v>Melbourne</v>
      </c>
      <c r="G853" t="str">
        <f>VLOOKUP(C853,[1]Orders!$A$5:$W$1043,5,0)</f>
        <v>Melbourne</v>
      </c>
      <c r="H853" t="str">
        <f>VLOOKUP(C853,[1]Orders!$A$5:$W$1043,6,0)</f>
        <v>VIC</v>
      </c>
      <c r="I853" t="str">
        <f>VLOOKUP(C853,[1]Orders!$A$5:$W$1043,7,0)</f>
        <v>Consumer</v>
      </c>
      <c r="J853" t="str">
        <f>VLOOKUP(C853,[1]Orders!$A$5:$W$1043,8,0)</f>
        <v>Yvette Biti</v>
      </c>
      <c r="K853" t="str">
        <f>VLOOKUP(C853,[1]Orders!$A$5:$W$1043,9,0)</f>
        <v>Not Specified</v>
      </c>
    </row>
    <row r="854" spans="3:11" x14ac:dyDescent="0.25">
      <c r="C854" s="61" t="s">
        <v>946</v>
      </c>
      <c r="D854" t="str">
        <f>VLOOKUP(C854,[1]Orders!$A$5:$W$1043,3,0)</f>
        <v>Shahid Collister</v>
      </c>
      <c r="E854">
        <f>VLOOKUP(C854,[1]Orders!$A$5:$W$1043,23,0)</f>
        <v>119.4</v>
      </c>
      <c r="F854" t="str">
        <f>VLOOKUP(C854,[1]Orders!$A$5:$W$1043,5,0)</f>
        <v>Sydney</v>
      </c>
      <c r="G854" t="str">
        <f>VLOOKUP(C854,[1]Orders!$A$5:$W$1043,5,0)</f>
        <v>Sydney</v>
      </c>
      <c r="H854" t="str">
        <f>VLOOKUP(C854,[1]Orders!$A$5:$W$1043,6,0)</f>
        <v>NSW</v>
      </c>
      <c r="I854" t="str">
        <f>VLOOKUP(C854,[1]Orders!$A$5:$W$1043,7,0)</f>
        <v>Home Office</v>
      </c>
      <c r="J854" t="str">
        <f>VLOOKUP(C854,[1]Orders!$A$5:$W$1043,8,0)</f>
        <v>Phoebe Gour</v>
      </c>
      <c r="K854" t="str">
        <f>VLOOKUP(C854,[1]Orders!$A$5:$W$1043,9,0)</f>
        <v>High</v>
      </c>
    </row>
    <row r="855" spans="3:11" x14ac:dyDescent="0.25">
      <c r="C855" s="61" t="s">
        <v>947</v>
      </c>
      <c r="D855" t="str">
        <f>VLOOKUP(C855,[1]Orders!$A$5:$W$1043,3,0)</f>
        <v>Toby Carlisle</v>
      </c>
      <c r="E855">
        <f>VLOOKUP(C855,[1]Orders!$A$5:$W$1043,23,0)</f>
        <v>294.03999999999996</v>
      </c>
      <c r="F855" t="str">
        <f>VLOOKUP(C855,[1]Orders!$A$5:$W$1043,5,0)</f>
        <v>Sydney</v>
      </c>
      <c r="G855" t="str">
        <f>VLOOKUP(C855,[1]Orders!$A$5:$W$1043,5,0)</f>
        <v>Sydney</v>
      </c>
      <c r="H855" t="str">
        <f>VLOOKUP(C855,[1]Orders!$A$5:$W$1043,6,0)</f>
        <v>NSW</v>
      </c>
      <c r="I855" t="str">
        <f>VLOOKUP(C855,[1]Orders!$A$5:$W$1043,7,0)</f>
        <v>Home Office</v>
      </c>
      <c r="J855" t="str">
        <f>VLOOKUP(C855,[1]Orders!$A$5:$W$1043,8,0)</f>
        <v>Leighton Forrest</v>
      </c>
      <c r="K855" t="str">
        <f>VLOOKUP(C855,[1]Orders!$A$5:$W$1043,9,0)</f>
        <v>Not Specified</v>
      </c>
    </row>
    <row r="856" spans="3:11" x14ac:dyDescent="0.25">
      <c r="C856" s="61" t="s">
        <v>948</v>
      </c>
      <c r="D856" t="str">
        <f>VLOOKUP(C856,[1]Orders!$A$5:$W$1043,3,0)</f>
        <v>Stuart Van</v>
      </c>
      <c r="E856">
        <f>VLOOKUP(C856,[1]Orders!$A$5:$W$1043,23,0)</f>
        <v>201.76999999999998</v>
      </c>
      <c r="F856" t="str">
        <f>VLOOKUP(C856,[1]Orders!$A$5:$W$1043,5,0)</f>
        <v>Sydney</v>
      </c>
      <c r="G856" t="str">
        <f>VLOOKUP(C856,[1]Orders!$A$5:$W$1043,5,0)</f>
        <v>Sydney</v>
      </c>
      <c r="H856" t="str">
        <f>VLOOKUP(C856,[1]Orders!$A$5:$W$1043,6,0)</f>
        <v>NSW</v>
      </c>
      <c r="I856" t="str">
        <f>VLOOKUP(C856,[1]Orders!$A$5:$W$1043,7,0)</f>
        <v>Consumer</v>
      </c>
      <c r="J856" t="str">
        <f>VLOOKUP(C856,[1]Orders!$A$5:$W$1043,8,0)</f>
        <v>Natasha Song</v>
      </c>
      <c r="K856" t="str">
        <f>VLOOKUP(C856,[1]Orders!$A$5:$W$1043,9,0)</f>
        <v>Medium</v>
      </c>
    </row>
    <row r="857" spans="3:11" x14ac:dyDescent="0.25">
      <c r="C857" s="61" t="s">
        <v>949</v>
      </c>
      <c r="D857" t="str">
        <f>VLOOKUP(C857,[1]Orders!$A$5:$W$1043,3,0)</f>
        <v>Valerie Takahito</v>
      </c>
      <c r="E857">
        <f>VLOOKUP(C857,[1]Orders!$A$5:$W$1043,23,0)</f>
        <v>172.20000000000002</v>
      </c>
      <c r="F857" t="str">
        <f>VLOOKUP(C857,[1]Orders!$A$5:$W$1043,5,0)</f>
        <v>Melbourne</v>
      </c>
      <c r="G857" t="str">
        <f>VLOOKUP(C857,[1]Orders!$A$5:$W$1043,5,0)</f>
        <v>Melbourne</v>
      </c>
      <c r="H857" t="str">
        <f>VLOOKUP(C857,[1]Orders!$A$5:$W$1043,6,0)</f>
        <v>VIC</v>
      </c>
      <c r="I857" t="str">
        <f>VLOOKUP(C857,[1]Orders!$A$5:$W$1043,7,0)</f>
        <v>Consumer</v>
      </c>
      <c r="J857" t="str">
        <f>VLOOKUP(C857,[1]Orders!$A$5:$W$1043,8,0)</f>
        <v>Yvette Biti</v>
      </c>
      <c r="K857" t="str">
        <f>VLOOKUP(C857,[1]Orders!$A$5:$W$1043,9,0)</f>
        <v>High</v>
      </c>
    </row>
    <row r="858" spans="3:11" x14ac:dyDescent="0.25">
      <c r="C858" s="61" t="s">
        <v>950</v>
      </c>
      <c r="D858" t="str">
        <f>VLOOKUP(C858,[1]Orders!$A$5:$W$1043,3,0)</f>
        <v>Scott Cohen</v>
      </c>
      <c r="E858">
        <f>VLOOKUP(C858,[1]Orders!$A$5:$W$1043,23,0)</f>
        <v>145.5</v>
      </c>
      <c r="F858" t="str">
        <f>VLOOKUP(C858,[1]Orders!$A$5:$W$1043,5,0)</f>
        <v>Melbourne</v>
      </c>
      <c r="G858" t="str">
        <f>VLOOKUP(C858,[1]Orders!$A$5:$W$1043,5,0)</f>
        <v>Melbourne</v>
      </c>
      <c r="H858" t="str">
        <f>VLOOKUP(C858,[1]Orders!$A$5:$W$1043,6,0)</f>
        <v>VIC</v>
      </c>
      <c r="I858" t="str">
        <f>VLOOKUP(C858,[1]Orders!$A$5:$W$1043,7,0)</f>
        <v>Consumer</v>
      </c>
      <c r="J858" t="str">
        <f>VLOOKUP(C858,[1]Orders!$A$5:$W$1043,8,0)</f>
        <v>Connor Betts</v>
      </c>
      <c r="K858" t="str">
        <f>VLOOKUP(C858,[1]Orders!$A$5:$W$1043,9,0)</f>
        <v>Not Specified</v>
      </c>
    </row>
    <row r="859" spans="3:11" x14ac:dyDescent="0.25">
      <c r="C859" s="61" t="s">
        <v>951</v>
      </c>
      <c r="D859" t="str">
        <f>VLOOKUP(C859,[1]Orders!$A$5:$W$1043,3,0)</f>
        <v>Shaun Weien</v>
      </c>
      <c r="E859">
        <f>VLOOKUP(C859,[1]Orders!$A$5:$W$1043,23,0)</f>
        <v>75.47</v>
      </c>
      <c r="F859" t="str">
        <f>VLOOKUP(C859,[1]Orders!$A$5:$W$1043,5,0)</f>
        <v>Sydney</v>
      </c>
      <c r="G859" t="str">
        <f>VLOOKUP(C859,[1]Orders!$A$5:$W$1043,5,0)</f>
        <v>Sydney</v>
      </c>
      <c r="H859" t="str">
        <f>VLOOKUP(C859,[1]Orders!$A$5:$W$1043,6,0)</f>
        <v>NSW</v>
      </c>
      <c r="I859" t="str">
        <f>VLOOKUP(C859,[1]Orders!$A$5:$W$1043,7,0)</f>
        <v>Home Office</v>
      </c>
      <c r="J859" t="str">
        <f>VLOOKUP(C859,[1]Orders!$A$5:$W$1043,8,0)</f>
        <v>Aanya Zhang</v>
      </c>
      <c r="K859" t="str">
        <f>VLOOKUP(C859,[1]Orders!$A$5:$W$1043,9,0)</f>
        <v>Medium</v>
      </c>
    </row>
    <row r="860" spans="3:11" x14ac:dyDescent="0.25">
      <c r="C860" s="61" t="s">
        <v>952</v>
      </c>
      <c r="D860" t="str">
        <f>VLOOKUP(C860,[1]Orders!$A$5:$W$1043,3,0)</f>
        <v>Michelle Moray</v>
      </c>
      <c r="E860">
        <f>VLOOKUP(C860,[1]Orders!$A$5:$W$1043,23,0)</f>
        <v>108.22999999999999</v>
      </c>
      <c r="F860" t="str">
        <f>VLOOKUP(C860,[1]Orders!$A$5:$W$1043,5,0)</f>
        <v>Sydney</v>
      </c>
      <c r="G860" t="str">
        <f>VLOOKUP(C860,[1]Orders!$A$5:$W$1043,5,0)</f>
        <v>Sydney</v>
      </c>
      <c r="H860" t="str">
        <f>VLOOKUP(C860,[1]Orders!$A$5:$W$1043,6,0)</f>
        <v>NSW</v>
      </c>
      <c r="I860" t="str">
        <f>VLOOKUP(C860,[1]Orders!$A$5:$W$1043,7,0)</f>
        <v>Corporate</v>
      </c>
      <c r="J860" t="str">
        <f>VLOOKUP(C860,[1]Orders!$A$5:$W$1043,8,0)</f>
        <v>Aanya Zhang</v>
      </c>
      <c r="K860" t="str">
        <f>VLOOKUP(C860,[1]Orders!$A$5:$W$1043,9,0)</f>
        <v>Low</v>
      </c>
    </row>
    <row r="861" spans="3:11" x14ac:dyDescent="0.25">
      <c r="C861" s="61" t="s">
        <v>953</v>
      </c>
      <c r="D861" t="str">
        <f>VLOOKUP(C861,[1]Orders!$A$5:$W$1043,3,0)</f>
        <v>Quincy Jones</v>
      </c>
      <c r="E861">
        <f>VLOOKUP(C861,[1]Orders!$A$5:$W$1043,23,0)</f>
        <v>23.409999999999997</v>
      </c>
      <c r="F861" t="str">
        <f>VLOOKUP(C861,[1]Orders!$A$5:$W$1043,5,0)</f>
        <v>Sydney</v>
      </c>
      <c r="G861" t="str">
        <f>VLOOKUP(C861,[1]Orders!$A$5:$W$1043,5,0)</f>
        <v>Sydney</v>
      </c>
      <c r="H861" t="str">
        <f>VLOOKUP(C861,[1]Orders!$A$5:$W$1043,6,0)</f>
        <v>NSW</v>
      </c>
      <c r="I861" t="str">
        <f>VLOOKUP(C861,[1]Orders!$A$5:$W$1043,7,0)</f>
        <v>Corporate</v>
      </c>
      <c r="J861" t="str">
        <f>VLOOKUP(C861,[1]Orders!$A$5:$W$1043,8,0)</f>
        <v>Samantha Chairs</v>
      </c>
      <c r="K861" t="str">
        <f>VLOOKUP(C861,[1]Orders!$A$5:$W$1043,9,0)</f>
        <v>Low</v>
      </c>
    </row>
    <row r="862" spans="3:11" x14ac:dyDescent="0.25">
      <c r="C862" s="61" t="s">
        <v>954</v>
      </c>
      <c r="D862" t="str">
        <f>VLOOKUP(C862,[1]Orders!$A$5:$W$1043,3,0)</f>
        <v>Cindy Stewart</v>
      </c>
      <c r="E862">
        <f>VLOOKUP(C862,[1]Orders!$A$5:$W$1043,23,0)</f>
        <v>852.1400000000001</v>
      </c>
      <c r="F862" t="str">
        <f>VLOOKUP(C862,[1]Orders!$A$5:$W$1043,5,0)</f>
        <v>Sydney</v>
      </c>
      <c r="G862" t="str">
        <f>VLOOKUP(C862,[1]Orders!$A$5:$W$1043,5,0)</f>
        <v>Sydney</v>
      </c>
      <c r="H862" t="str">
        <f>VLOOKUP(C862,[1]Orders!$A$5:$W$1043,6,0)</f>
        <v>NSW</v>
      </c>
      <c r="I862" t="str">
        <f>VLOOKUP(C862,[1]Orders!$A$5:$W$1043,7,0)</f>
        <v>Corporate</v>
      </c>
      <c r="J862" t="str">
        <f>VLOOKUP(C862,[1]Orders!$A$5:$W$1043,8,0)</f>
        <v>Leighton Forrest</v>
      </c>
      <c r="K862" t="str">
        <f>VLOOKUP(C862,[1]Orders!$A$5:$W$1043,9,0)</f>
        <v>High</v>
      </c>
    </row>
    <row r="863" spans="3:11" x14ac:dyDescent="0.25">
      <c r="C863" s="61" t="s">
        <v>955</v>
      </c>
      <c r="D863" t="str">
        <f>VLOOKUP(C863,[1]Orders!$A$5:$W$1043,3,0)</f>
        <v>Roy Collins</v>
      </c>
      <c r="E863">
        <f>VLOOKUP(C863,[1]Orders!$A$5:$W$1043,23,0)</f>
        <v>194.45</v>
      </c>
      <c r="F863" t="str">
        <f>VLOOKUP(C863,[1]Orders!$A$5:$W$1043,5,0)</f>
        <v>Sydney</v>
      </c>
      <c r="G863" t="str">
        <f>VLOOKUP(C863,[1]Orders!$A$5:$W$1043,5,0)</f>
        <v>Sydney</v>
      </c>
      <c r="H863" t="str">
        <f>VLOOKUP(C863,[1]Orders!$A$5:$W$1043,6,0)</f>
        <v>NSW</v>
      </c>
      <c r="I863" t="str">
        <f>VLOOKUP(C863,[1]Orders!$A$5:$W$1043,7,0)</f>
        <v>Corporate</v>
      </c>
      <c r="J863" t="str">
        <f>VLOOKUP(C863,[1]Orders!$A$5:$W$1043,8,0)</f>
        <v>Natasha Song</v>
      </c>
      <c r="K863" t="str">
        <f>VLOOKUP(C863,[1]Orders!$A$5:$W$1043,9,0)</f>
        <v>Not Specified</v>
      </c>
    </row>
    <row r="864" spans="3:11" x14ac:dyDescent="0.25">
      <c r="C864" s="61" t="s">
        <v>956</v>
      </c>
      <c r="D864" t="str">
        <f>VLOOKUP(C864,[1]Orders!$A$5:$W$1043,3,0)</f>
        <v>John Lee</v>
      </c>
      <c r="E864">
        <f>VLOOKUP(C864,[1]Orders!$A$5:$W$1043,23,0)</f>
        <v>154.63000000000002</v>
      </c>
      <c r="F864" t="str">
        <f>VLOOKUP(C864,[1]Orders!$A$5:$W$1043,5,0)</f>
        <v>Melbourne</v>
      </c>
      <c r="G864" t="str">
        <f>VLOOKUP(C864,[1]Orders!$A$5:$W$1043,5,0)</f>
        <v>Melbourne</v>
      </c>
      <c r="H864" t="str">
        <f>VLOOKUP(C864,[1]Orders!$A$5:$W$1043,6,0)</f>
        <v>VIC</v>
      </c>
      <c r="I864" t="str">
        <f>VLOOKUP(C864,[1]Orders!$A$5:$W$1043,7,0)</f>
        <v>Corporate</v>
      </c>
      <c r="J864" t="str">
        <f>VLOOKUP(C864,[1]Orders!$A$5:$W$1043,8,0)</f>
        <v>Connor Betts</v>
      </c>
      <c r="K864" t="str">
        <f>VLOOKUP(C864,[1]Orders!$A$5:$W$1043,9,0)</f>
        <v>Critical</v>
      </c>
    </row>
    <row r="865" spans="3:11" x14ac:dyDescent="0.25">
      <c r="C865" s="61" t="s">
        <v>957</v>
      </c>
      <c r="D865" t="str">
        <f>VLOOKUP(C865,[1]Orders!$A$5:$W$1043,3,0)</f>
        <v>Sonia Sunley</v>
      </c>
      <c r="E865">
        <f>VLOOKUP(C865,[1]Orders!$A$5:$W$1043,23,0)</f>
        <v>173.88</v>
      </c>
      <c r="F865" t="str">
        <f>VLOOKUP(C865,[1]Orders!$A$5:$W$1043,5,0)</f>
        <v>Sydney</v>
      </c>
      <c r="G865" t="str">
        <f>VLOOKUP(C865,[1]Orders!$A$5:$W$1043,5,0)</f>
        <v>Sydney</v>
      </c>
      <c r="H865" t="str">
        <f>VLOOKUP(C865,[1]Orders!$A$5:$W$1043,6,0)</f>
        <v>NSW</v>
      </c>
      <c r="I865" t="str">
        <f>VLOOKUP(C865,[1]Orders!$A$5:$W$1043,7,0)</f>
        <v>Corporate</v>
      </c>
      <c r="J865" t="str">
        <f>VLOOKUP(C865,[1]Orders!$A$5:$W$1043,8,0)</f>
        <v>Preston Senome</v>
      </c>
      <c r="K865" t="str">
        <f>VLOOKUP(C865,[1]Orders!$A$5:$W$1043,9,0)</f>
        <v>Not Specified</v>
      </c>
    </row>
    <row r="866" spans="3:11" x14ac:dyDescent="0.25">
      <c r="C866" s="61" t="s">
        <v>958</v>
      </c>
      <c r="D866" t="str">
        <f>VLOOKUP(C866,[1]Orders!$A$5:$W$1043,3,0)</f>
        <v>George Ashbrook</v>
      </c>
      <c r="E866">
        <f>VLOOKUP(C866,[1]Orders!$A$5:$W$1043,23,0)</f>
        <v>90.88</v>
      </c>
      <c r="F866" t="str">
        <f>VLOOKUP(C866,[1]Orders!$A$5:$W$1043,5,0)</f>
        <v>Melbourne</v>
      </c>
      <c r="G866" t="str">
        <f>VLOOKUP(C866,[1]Orders!$A$5:$W$1043,5,0)</f>
        <v>Melbourne</v>
      </c>
      <c r="H866" t="str">
        <f>VLOOKUP(C866,[1]Orders!$A$5:$W$1043,6,0)</f>
        <v>VIC</v>
      </c>
      <c r="I866" t="str">
        <f>VLOOKUP(C866,[1]Orders!$A$5:$W$1043,7,0)</f>
        <v>Small Business</v>
      </c>
      <c r="J866" t="str">
        <f>VLOOKUP(C866,[1]Orders!$A$5:$W$1043,8,0)</f>
        <v>Connor Betts</v>
      </c>
      <c r="K866" t="str">
        <f>VLOOKUP(C866,[1]Orders!$A$5:$W$1043,9,0)</f>
        <v>Not Specified</v>
      </c>
    </row>
    <row r="867" spans="3:11" x14ac:dyDescent="0.25">
      <c r="C867" s="61" t="s">
        <v>959</v>
      </c>
      <c r="D867" t="str">
        <f>VLOOKUP(C867,[1]Orders!$A$5:$W$1043,3,0)</f>
        <v>Frank Price</v>
      </c>
      <c r="E867">
        <f>VLOOKUP(C867,[1]Orders!$A$5:$W$1043,23,0)</f>
        <v>286.3</v>
      </c>
      <c r="F867" t="str">
        <f>VLOOKUP(C867,[1]Orders!$A$5:$W$1043,5,0)</f>
        <v>Melbourne</v>
      </c>
      <c r="G867" t="str">
        <f>VLOOKUP(C867,[1]Orders!$A$5:$W$1043,5,0)</f>
        <v>Melbourne</v>
      </c>
      <c r="H867" t="str">
        <f>VLOOKUP(C867,[1]Orders!$A$5:$W$1043,6,0)</f>
        <v>VIC</v>
      </c>
      <c r="I867" t="str">
        <f>VLOOKUP(C867,[1]Orders!$A$5:$W$1043,7,0)</f>
        <v>Corporate</v>
      </c>
      <c r="J867" t="str">
        <f>VLOOKUP(C867,[1]Orders!$A$5:$W$1043,8,0)</f>
        <v>Connor Betts</v>
      </c>
      <c r="K867" t="str">
        <f>VLOOKUP(C867,[1]Orders!$A$5:$W$1043,9,0)</f>
        <v>Not Specified</v>
      </c>
    </row>
    <row r="868" spans="3:11" x14ac:dyDescent="0.25">
      <c r="C868" s="61" t="s">
        <v>960</v>
      </c>
      <c r="D868" t="str">
        <f>VLOOKUP(C868,[1]Orders!$A$5:$W$1043,3,0)</f>
        <v>Rose OBrian</v>
      </c>
      <c r="E868">
        <f>VLOOKUP(C868,[1]Orders!$A$5:$W$1043,23,0)</f>
        <v>91.91</v>
      </c>
      <c r="F868" t="str">
        <f>VLOOKUP(C868,[1]Orders!$A$5:$W$1043,5,0)</f>
        <v>Sydney</v>
      </c>
      <c r="G868" t="str">
        <f>VLOOKUP(C868,[1]Orders!$A$5:$W$1043,5,0)</f>
        <v>Sydney</v>
      </c>
      <c r="H868" t="str">
        <f>VLOOKUP(C868,[1]Orders!$A$5:$W$1043,6,0)</f>
        <v>NSW</v>
      </c>
      <c r="I868" t="str">
        <f>VLOOKUP(C868,[1]Orders!$A$5:$W$1043,7,0)</f>
        <v>Home Office</v>
      </c>
      <c r="J868" t="str">
        <f>VLOOKUP(C868,[1]Orders!$A$5:$W$1043,8,0)</f>
        <v>Stevie Bacata</v>
      </c>
      <c r="K868" t="str">
        <f>VLOOKUP(C868,[1]Orders!$A$5:$W$1043,9,0)</f>
        <v>Medium</v>
      </c>
    </row>
    <row r="869" spans="3:11" x14ac:dyDescent="0.25">
      <c r="C869" s="61" t="s">
        <v>961</v>
      </c>
      <c r="D869" t="str">
        <f>VLOOKUP(C869,[1]Orders!$A$5:$W$1043,3,0)</f>
        <v>Dana Kaydos</v>
      </c>
      <c r="E869">
        <f>VLOOKUP(C869,[1]Orders!$A$5:$W$1043,23,0)</f>
        <v>125.03999999999999</v>
      </c>
      <c r="F869" t="str">
        <f>VLOOKUP(C869,[1]Orders!$A$5:$W$1043,5,0)</f>
        <v>Sydney</v>
      </c>
      <c r="G869" t="str">
        <f>VLOOKUP(C869,[1]Orders!$A$5:$W$1043,5,0)</f>
        <v>Sydney</v>
      </c>
      <c r="H869" t="str">
        <f>VLOOKUP(C869,[1]Orders!$A$5:$W$1043,6,0)</f>
        <v>NSW</v>
      </c>
      <c r="I869" t="str">
        <f>VLOOKUP(C869,[1]Orders!$A$5:$W$1043,7,0)</f>
        <v>Corporate</v>
      </c>
      <c r="J869" t="str">
        <f>VLOOKUP(C869,[1]Orders!$A$5:$W$1043,8,0)</f>
        <v>Tina Carlton</v>
      </c>
      <c r="K869" t="str">
        <f>VLOOKUP(C869,[1]Orders!$A$5:$W$1043,9,0)</f>
        <v>Critical</v>
      </c>
    </row>
    <row r="870" spans="3:11" x14ac:dyDescent="0.25">
      <c r="C870" s="61" t="s">
        <v>962</v>
      </c>
      <c r="D870" t="str">
        <f>VLOOKUP(C870,[1]Orders!$A$5:$W$1043,3,0)</f>
        <v>Eric Barreto</v>
      </c>
      <c r="E870">
        <f>VLOOKUP(C870,[1]Orders!$A$5:$W$1043,23,0)</f>
        <v>3868.0300000000007</v>
      </c>
      <c r="F870" t="str">
        <f>VLOOKUP(C870,[1]Orders!$A$5:$W$1043,5,0)</f>
        <v>Sydney</v>
      </c>
      <c r="G870" t="str">
        <f>VLOOKUP(C870,[1]Orders!$A$5:$W$1043,5,0)</f>
        <v>Sydney</v>
      </c>
      <c r="H870" t="str">
        <f>VLOOKUP(C870,[1]Orders!$A$5:$W$1043,6,0)</f>
        <v>NSW</v>
      </c>
      <c r="I870" t="str">
        <f>VLOOKUP(C870,[1]Orders!$A$5:$W$1043,7,0)</f>
        <v>Small Business</v>
      </c>
      <c r="J870" t="str">
        <f>VLOOKUP(C870,[1]Orders!$A$5:$W$1043,8,0)</f>
        <v>Phoebe Gour</v>
      </c>
      <c r="K870" t="str">
        <f>VLOOKUP(C870,[1]Orders!$A$5:$W$1043,9,0)</f>
        <v>Critical</v>
      </c>
    </row>
    <row r="871" spans="3:11" x14ac:dyDescent="0.25">
      <c r="C871" s="61" t="s">
        <v>963</v>
      </c>
      <c r="D871" t="str">
        <f>VLOOKUP(C871,[1]Orders!$A$5:$W$1043,3,0)</f>
        <v>John Lucas</v>
      </c>
      <c r="E871">
        <f>VLOOKUP(C871,[1]Orders!$A$5:$W$1043,23,0)</f>
        <v>1641.85</v>
      </c>
      <c r="F871" t="str">
        <f>VLOOKUP(C871,[1]Orders!$A$5:$W$1043,5,0)</f>
        <v>Sydney</v>
      </c>
      <c r="G871" t="str">
        <f>VLOOKUP(C871,[1]Orders!$A$5:$W$1043,5,0)</f>
        <v>Sydney</v>
      </c>
      <c r="H871" t="str">
        <f>VLOOKUP(C871,[1]Orders!$A$5:$W$1043,6,0)</f>
        <v>NSW</v>
      </c>
      <c r="I871" t="str">
        <f>VLOOKUP(C871,[1]Orders!$A$5:$W$1043,7,0)</f>
        <v>Corporate</v>
      </c>
      <c r="J871" t="str">
        <f>VLOOKUP(C871,[1]Orders!$A$5:$W$1043,8,0)</f>
        <v>Tina Carlton</v>
      </c>
      <c r="K871" t="str">
        <f>VLOOKUP(C871,[1]Orders!$A$5:$W$1043,9,0)</f>
        <v>Critical</v>
      </c>
    </row>
    <row r="872" spans="3:11" x14ac:dyDescent="0.25">
      <c r="C872" s="61" t="s">
        <v>964</v>
      </c>
      <c r="D872" t="str">
        <f>VLOOKUP(C872,[1]Orders!$A$5:$W$1043,3,0)</f>
        <v>Thais Sissman</v>
      </c>
      <c r="E872">
        <f>VLOOKUP(C872,[1]Orders!$A$5:$W$1043,23,0)</f>
        <v>15.39</v>
      </c>
      <c r="F872" t="str">
        <f>VLOOKUP(C872,[1]Orders!$A$5:$W$1043,5,0)</f>
        <v>Sydney</v>
      </c>
      <c r="G872" t="str">
        <f>VLOOKUP(C872,[1]Orders!$A$5:$W$1043,5,0)</f>
        <v>Sydney</v>
      </c>
      <c r="H872" t="str">
        <f>VLOOKUP(C872,[1]Orders!$A$5:$W$1043,6,0)</f>
        <v>NSW</v>
      </c>
      <c r="I872" t="str">
        <f>VLOOKUP(C872,[1]Orders!$A$5:$W$1043,7,0)</f>
        <v>Corporate</v>
      </c>
      <c r="J872" t="str">
        <f>VLOOKUP(C872,[1]Orders!$A$5:$W$1043,8,0)</f>
        <v>Tina Carlton</v>
      </c>
      <c r="K872" t="str">
        <f>VLOOKUP(C872,[1]Orders!$A$5:$W$1043,9,0)</f>
        <v>Medium</v>
      </c>
    </row>
    <row r="873" spans="3:11" x14ac:dyDescent="0.25">
      <c r="C873" s="61" t="s">
        <v>965</v>
      </c>
      <c r="D873" t="str">
        <f>VLOOKUP(C873,[1]Orders!$A$5:$W$1043,3,0)</f>
        <v>Eva Jacobs</v>
      </c>
      <c r="E873">
        <f>VLOOKUP(C873,[1]Orders!$A$5:$W$1043,23,0)</f>
        <v>42.76</v>
      </c>
      <c r="F873" t="str">
        <f>VLOOKUP(C873,[1]Orders!$A$5:$W$1043,5,0)</f>
        <v>Sydney</v>
      </c>
      <c r="G873" t="str">
        <f>VLOOKUP(C873,[1]Orders!$A$5:$W$1043,5,0)</f>
        <v>Sydney</v>
      </c>
      <c r="H873" t="str">
        <f>VLOOKUP(C873,[1]Orders!$A$5:$W$1043,6,0)</f>
        <v>NSW</v>
      </c>
      <c r="I873" t="str">
        <f>VLOOKUP(C873,[1]Orders!$A$5:$W$1043,7,0)</f>
        <v>Home Office</v>
      </c>
      <c r="J873" t="str">
        <f>VLOOKUP(C873,[1]Orders!$A$5:$W$1043,8,0)</f>
        <v>Nicholas Fernandes</v>
      </c>
      <c r="K873" t="str">
        <f>VLOOKUP(C873,[1]Orders!$A$5:$W$1043,9,0)</f>
        <v>Not Specified</v>
      </c>
    </row>
    <row r="874" spans="3:11" x14ac:dyDescent="0.25">
      <c r="C874" s="61" t="s">
        <v>966</v>
      </c>
      <c r="D874" t="str">
        <f>VLOOKUP(C874,[1]Orders!$A$5:$W$1043,3,0)</f>
        <v>Daniel Lacy</v>
      </c>
      <c r="E874">
        <f>VLOOKUP(C874,[1]Orders!$A$5:$W$1043,23,0)</f>
        <v>22.489999999999995</v>
      </c>
      <c r="F874" t="str">
        <f>VLOOKUP(C874,[1]Orders!$A$5:$W$1043,5,0)</f>
        <v>Sydney</v>
      </c>
      <c r="G874" t="str">
        <f>VLOOKUP(C874,[1]Orders!$A$5:$W$1043,5,0)</f>
        <v>Sydney</v>
      </c>
      <c r="H874" t="str">
        <f>VLOOKUP(C874,[1]Orders!$A$5:$W$1043,6,0)</f>
        <v>NSW</v>
      </c>
      <c r="I874" t="str">
        <f>VLOOKUP(C874,[1]Orders!$A$5:$W$1043,7,0)</f>
        <v>Small Business</v>
      </c>
      <c r="J874" t="str">
        <f>VLOOKUP(C874,[1]Orders!$A$5:$W$1043,8,0)</f>
        <v>Mihael Khan</v>
      </c>
      <c r="K874" t="str">
        <f>VLOOKUP(C874,[1]Orders!$A$5:$W$1043,9,0)</f>
        <v>High</v>
      </c>
    </row>
    <row r="875" spans="3:11" x14ac:dyDescent="0.25">
      <c r="C875" s="61" t="s">
        <v>967</v>
      </c>
      <c r="D875" t="str">
        <f>VLOOKUP(C875,[1]Orders!$A$5:$W$1043,3,0)</f>
        <v>Jim Karlsson</v>
      </c>
      <c r="E875">
        <f>VLOOKUP(C875,[1]Orders!$A$5:$W$1043,23,0)</f>
        <v>439.6</v>
      </c>
      <c r="F875" t="str">
        <f>VLOOKUP(C875,[1]Orders!$A$5:$W$1043,5,0)</f>
        <v>Sydney</v>
      </c>
      <c r="G875" t="str">
        <f>VLOOKUP(C875,[1]Orders!$A$5:$W$1043,5,0)</f>
        <v>Sydney</v>
      </c>
      <c r="H875" t="str">
        <f>VLOOKUP(C875,[1]Orders!$A$5:$W$1043,6,0)</f>
        <v>NSW</v>
      </c>
      <c r="I875" t="str">
        <f>VLOOKUP(C875,[1]Orders!$A$5:$W$1043,7,0)</f>
        <v>Small Business</v>
      </c>
      <c r="J875" t="str">
        <f>VLOOKUP(C875,[1]Orders!$A$5:$W$1043,8,0)</f>
        <v>Aanya Zhang</v>
      </c>
      <c r="K875" t="str">
        <f>VLOOKUP(C875,[1]Orders!$A$5:$W$1043,9,0)</f>
        <v>Medium</v>
      </c>
    </row>
    <row r="876" spans="3:11" x14ac:dyDescent="0.25">
      <c r="C876" s="61" t="s">
        <v>968</v>
      </c>
      <c r="D876" t="str">
        <f>VLOOKUP(C876,[1]Orders!$A$5:$W$1043,3,0)</f>
        <v>Lela Donovan</v>
      </c>
      <c r="E876">
        <f>VLOOKUP(C876,[1]Orders!$A$5:$W$1043,23,0)</f>
        <v>14.73</v>
      </c>
      <c r="F876" t="str">
        <f>VLOOKUP(C876,[1]Orders!$A$5:$W$1043,5,0)</f>
        <v>Sydney</v>
      </c>
      <c r="G876" t="str">
        <f>VLOOKUP(C876,[1]Orders!$A$5:$W$1043,5,0)</f>
        <v>Sydney</v>
      </c>
      <c r="H876" t="str">
        <f>VLOOKUP(C876,[1]Orders!$A$5:$W$1043,6,0)</f>
        <v>NSW</v>
      </c>
      <c r="I876" t="str">
        <f>VLOOKUP(C876,[1]Orders!$A$5:$W$1043,7,0)</f>
        <v>Corporate</v>
      </c>
      <c r="J876" t="str">
        <f>VLOOKUP(C876,[1]Orders!$A$5:$W$1043,8,0)</f>
        <v>Aanya Zhang</v>
      </c>
      <c r="K876" t="str">
        <f>VLOOKUP(C876,[1]Orders!$A$5:$W$1043,9,0)</f>
        <v>Not Specified</v>
      </c>
    </row>
    <row r="877" spans="3:11" x14ac:dyDescent="0.25">
      <c r="C877" s="61" t="s">
        <v>969</v>
      </c>
      <c r="D877" t="str">
        <f>VLOOKUP(C877,[1]Orders!$A$5:$W$1043,3,0)</f>
        <v>Peter Buhler</v>
      </c>
      <c r="E877">
        <f>VLOOKUP(C877,[1]Orders!$A$5:$W$1043,23,0)</f>
        <v>1120.52</v>
      </c>
      <c r="F877" t="str">
        <f>VLOOKUP(C877,[1]Orders!$A$5:$W$1043,5,0)</f>
        <v>Sydney</v>
      </c>
      <c r="G877" t="str">
        <f>VLOOKUP(C877,[1]Orders!$A$5:$W$1043,5,0)</f>
        <v>Sydney</v>
      </c>
      <c r="H877" t="str">
        <f>VLOOKUP(C877,[1]Orders!$A$5:$W$1043,6,0)</f>
        <v>NSW</v>
      </c>
      <c r="I877" t="str">
        <f>VLOOKUP(C877,[1]Orders!$A$5:$W$1043,7,0)</f>
        <v>Consumer</v>
      </c>
      <c r="J877" t="str">
        <f>VLOOKUP(C877,[1]Orders!$A$5:$W$1043,8,0)</f>
        <v>Nicholas Fernandes</v>
      </c>
      <c r="K877" t="str">
        <f>VLOOKUP(C877,[1]Orders!$A$5:$W$1043,9,0)</f>
        <v>Medium</v>
      </c>
    </row>
    <row r="878" spans="3:11" x14ac:dyDescent="0.25">
      <c r="C878" s="61" t="s">
        <v>970</v>
      </c>
      <c r="D878" t="str">
        <f>VLOOKUP(C878,[1]Orders!$A$5:$W$1043,3,0)</f>
        <v>Emily Grady</v>
      </c>
      <c r="E878">
        <f>VLOOKUP(C878,[1]Orders!$A$5:$W$1043,23,0)</f>
        <v>747.43999999999994</v>
      </c>
      <c r="F878" t="str">
        <f>VLOOKUP(C878,[1]Orders!$A$5:$W$1043,5,0)</f>
        <v>Sydney</v>
      </c>
      <c r="G878" t="str">
        <f>VLOOKUP(C878,[1]Orders!$A$5:$W$1043,5,0)</f>
        <v>Sydney</v>
      </c>
      <c r="H878" t="str">
        <f>VLOOKUP(C878,[1]Orders!$A$5:$W$1043,6,0)</f>
        <v>NSW</v>
      </c>
      <c r="I878" t="str">
        <f>VLOOKUP(C878,[1]Orders!$A$5:$W$1043,7,0)</f>
        <v>Home Office</v>
      </c>
      <c r="J878" t="str">
        <f>VLOOKUP(C878,[1]Orders!$A$5:$W$1043,8,0)</f>
        <v>Phoebe Gour</v>
      </c>
      <c r="K878" t="str">
        <f>VLOOKUP(C878,[1]Orders!$A$5:$W$1043,9,0)</f>
        <v>Medium</v>
      </c>
    </row>
    <row r="879" spans="3:11" x14ac:dyDescent="0.25">
      <c r="C879" s="61" t="s">
        <v>971</v>
      </c>
      <c r="D879" t="str">
        <f>VLOOKUP(C879,[1]Orders!$A$5:$W$1043,3,0)</f>
        <v>Christy Brittain</v>
      </c>
      <c r="E879">
        <f>VLOOKUP(C879,[1]Orders!$A$5:$W$1043,23,0)</f>
        <v>104.4</v>
      </c>
      <c r="F879" t="str">
        <f>VLOOKUP(C879,[1]Orders!$A$5:$W$1043,5,0)</f>
        <v>Sydney</v>
      </c>
      <c r="G879" t="str">
        <f>VLOOKUP(C879,[1]Orders!$A$5:$W$1043,5,0)</f>
        <v>Sydney</v>
      </c>
      <c r="H879" t="str">
        <f>VLOOKUP(C879,[1]Orders!$A$5:$W$1043,6,0)</f>
        <v>NSW</v>
      </c>
      <c r="I879" t="str">
        <f>VLOOKUP(C879,[1]Orders!$A$5:$W$1043,7,0)</f>
        <v>Consumer</v>
      </c>
      <c r="J879" t="str">
        <f>VLOOKUP(C879,[1]Orders!$A$5:$W$1043,8,0)</f>
        <v>Mihael Khan</v>
      </c>
      <c r="K879" t="str">
        <f>VLOOKUP(C879,[1]Orders!$A$5:$W$1043,9,0)</f>
        <v>Low</v>
      </c>
    </row>
    <row r="880" spans="3:11" x14ac:dyDescent="0.25">
      <c r="C880" s="61" t="s">
        <v>972</v>
      </c>
      <c r="D880" t="str">
        <f>VLOOKUP(C880,[1]Orders!$A$5:$W$1043,3,0)</f>
        <v>Bill Donatelli</v>
      </c>
      <c r="E880">
        <f>VLOOKUP(C880,[1]Orders!$A$5:$W$1043,23,0)</f>
        <v>35.450000000000003</v>
      </c>
      <c r="F880" t="str">
        <f>VLOOKUP(C880,[1]Orders!$A$5:$W$1043,5,0)</f>
        <v>Sydney</v>
      </c>
      <c r="G880" t="str">
        <f>VLOOKUP(C880,[1]Orders!$A$5:$W$1043,5,0)</f>
        <v>Sydney</v>
      </c>
      <c r="H880" t="str">
        <f>VLOOKUP(C880,[1]Orders!$A$5:$W$1043,6,0)</f>
        <v>NSW</v>
      </c>
      <c r="I880" t="str">
        <f>VLOOKUP(C880,[1]Orders!$A$5:$W$1043,7,0)</f>
        <v>Small Business</v>
      </c>
      <c r="J880" t="str">
        <f>VLOOKUP(C880,[1]Orders!$A$5:$W$1043,8,0)</f>
        <v>Phoebe Gour</v>
      </c>
      <c r="K880" t="str">
        <f>VLOOKUP(C880,[1]Orders!$A$5:$W$1043,9,0)</f>
        <v>High</v>
      </c>
    </row>
    <row r="881" spans="3:11" x14ac:dyDescent="0.25">
      <c r="C881" s="61" t="s">
        <v>973</v>
      </c>
      <c r="D881" t="str">
        <f>VLOOKUP(C881,[1]Orders!$A$5:$W$1043,3,0)</f>
        <v>Jim Kriz</v>
      </c>
      <c r="E881">
        <f>VLOOKUP(C881,[1]Orders!$A$5:$W$1043,23,0)</f>
        <v>305.73</v>
      </c>
      <c r="F881" t="str">
        <f>VLOOKUP(C881,[1]Orders!$A$5:$W$1043,5,0)</f>
        <v>Sydney</v>
      </c>
      <c r="G881" t="str">
        <f>VLOOKUP(C881,[1]Orders!$A$5:$W$1043,5,0)</f>
        <v>Sydney</v>
      </c>
      <c r="H881" t="str">
        <f>VLOOKUP(C881,[1]Orders!$A$5:$W$1043,6,0)</f>
        <v>NSW</v>
      </c>
      <c r="I881" t="str">
        <f>VLOOKUP(C881,[1]Orders!$A$5:$W$1043,7,0)</f>
        <v>Consumer</v>
      </c>
      <c r="J881" t="str">
        <f>VLOOKUP(C881,[1]Orders!$A$5:$W$1043,8,0)</f>
        <v>Mihael Khan</v>
      </c>
      <c r="K881" t="str">
        <f>VLOOKUP(C881,[1]Orders!$A$5:$W$1043,9,0)</f>
        <v>Critical</v>
      </c>
    </row>
    <row r="882" spans="3:11" x14ac:dyDescent="0.25">
      <c r="C882" s="61" t="s">
        <v>974</v>
      </c>
      <c r="D882" t="str">
        <f>VLOOKUP(C882,[1]Orders!$A$5:$W$1043,3,0)</f>
        <v>Brad Eason</v>
      </c>
      <c r="E882">
        <f>VLOOKUP(C882,[1]Orders!$A$5:$W$1043,23,0)</f>
        <v>34.840000000000003</v>
      </c>
      <c r="F882" t="str">
        <f>VLOOKUP(C882,[1]Orders!$A$5:$W$1043,5,0)</f>
        <v>Sydney</v>
      </c>
      <c r="G882" t="str">
        <f>VLOOKUP(C882,[1]Orders!$A$5:$W$1043,5,0)</f>
        <v>Sydney</v>
      </c>
      <c r="H882" t="str">
        <f>VLOOKUP(C882,[1]Orders!$A$5:$W$1043,6,0)</f>
        <v>NSW</v>
      </c>
      <c r="I882" t="str">
        <f>VLOOKUP(C882,[1]Orders!$A$5:$W$1043,7,0)</f>
        <v>Small Business</v>
      </c>
      <c r="J882" t="str">
        <f>VLOOKUP(C882,[1]Orders!$A$5:$W$1043,8,0)</f>
        <v>Nicholas Fernandes</v>
      </c>
      <c r="K882" t="str">
        <f>VLOOKUP(C882,[1]Orders!$A$5:$W$1043,9,0)</f>
        <v>Critical</v>
      </c>
    </row>
    <row r="883" spans="3:11" x14ac:dyDescent="0.25">
      <c r="C883" s="61" t="s">
        <v>975</v>
      </c>
      <c r="D883" t="str">
        <f>VLOOKUP(C883,[1]Orders!$A$5:$W$1043,3,0)</f>
        <v>Jeremy Farry</v>
      </c>
      <c r="E883">
        <f>VLOOKUP(C883,[1]Orders!$A$5:$W$1043,23,0)</f>
        <v>4.0199999999999996</v>
      </c>
      <c r="F883" t="str">
        <f>VLOOKUP(C883,[1]Orders!$A$5:$W$1043,5,0)</f>
        <v>Sydney</v>
      </c>
      <c r="G883" t="str">
        <f>VLOOKUP(C883,[1]Orders!$A$5:$W$1043,5,0)</f>
        <v>Sydney</v>
      </c>
      <c r="H883" t="str">
        <f>VLOOKUP(C883,[1]Orders!$A$5:$W$1043,6,0)</f>
        <v>NSW</v>
      </c>
      <c r="I883" t="str">
        <f>VLOOKUP(C883,[1]Orders!$A$5:$W$1043,7,0)</f>
        <v>Small Business</v>
      </c>
      <c r="J883" t="str">
        <f>VLOOKUP(C883,[1]Orders!$A$5:$W$1043,8,0)</f>
        <v>Radhya Staples</v>
      </c>
      <c r="K883" t="str">
        <f>VLOOKUP(C883,[1]Orders!$A$5:$W$1043,9,0)</f>
        <v>Not Specified</v>
      </c>
    </row>
    <row r="884" spans="3:11" x14ac:dyDescent="0.25">
      <c r="C884" s="61" t="s">
        <v>976</v>
      </c>
      <c r="D884" t="str">
        <f>VLOOKUP(C884,[1]Orders!$A$5:$W$1043,3,0)</f>
        <v>Chuck Clark</v>
      </c>
      <c r="E884">
        <f>VLOOKUP(C884,[1]Orders!$A$5:$W$1043,23,0)</f>
        <v>26.41</v>
      </c>
      <c r="F884" t="str">
        <f>VLOOKUP(C884,[1]Orders!$A$5:$W$1043,5,0)</f>
        <v>Sydney</v>
      </c>
      <c r="G884" t="str">
        <f>VLOOKUP(C884,[1]Orders!$A$5:$W$1043,5,0)</f>
        <v>Sydney</v>
      </c>
      <c r="H884" t="str">
        <f>VLOOKUP(C884,[1]Orders!$A$5:$W$1043,6,0)</f>
        <v>NSW</v>
      </c>
      <c r="I884" t="str">
        <f>VLOOKUP(C884,[1]Orders!$A$5:$W$1043,7,0)</f>
        <v>Corporate</v>
      </c>
      <c r="J884" t="str">
        <f>VLOOKUP(C884,[1]Orders!$A$5:$W$1043,8,0)</f>
        <v>Tina Carlton</v>
      </c>
      <c r="K884" t="str">
        <f>VLOOKUP(C884,[1]Orders!$A$5:$W$1043,9,0)</f>
        <v>Critical</v>
      </c>
    </row>
    <row r="885" spans="3:11" x14ac:dyDescent="0.25">
      <c r="C885" s="61" t="s">
        <v>977</v>
      </c>
      <c r="D885" t="str">
        <f>VLOOKUP(C885,[1]Orders!$A$5:$W$1043,3,0)</f>
        <v>Vicky Freymann</v>
      </c>
      <c r="E885">
        <f>VLOOKUP(C885,[1]Orders!$A$5:$W$1043,23,0)</f>
        <v>1833.6599999999999</v>
      </c>
      <c r="F885" t="str">
        <f>VLOOKUP(C885,[1]Orders!$A$5:$W$1043,5,0)</f>
        <v>Sydney</v>
      </c>
      <c r="G885" t="str">
        <f>VLOOKUP(C885,[1]Orders!$A$5:$W$1043,5,0)</f>
        <v>Sydney</v>
      </c>
      <c r="H885" t="str">
        <f>VLOOKUP(C885,[1]Orders!$A$5:$W$1043,6,0)</f>
        <v>NSW</v>
      </c>
      <c r="I885" t="str">
        <f>VLOOKUP(C885,[1]Orders!$A$5:$W$1043,7,0)</f>
        <v>Home Office</v>
      </c>
      <c r="J885" t="str">
        <f>VLOOKUP(C885,[1]Orders!$A$5:$W$1043,8,0)</f>
        <v>Samantha Chairs</v>
      </c>
      <c r="K885" t="str">
        <f>VLOOKUP(C885,[1]Orders!$A$5:$W$1043,9,0)</f>
        <v>Critical</v>
      </c>
    </row>
    <row r="886" spans="3:11" x14ac:dyDescent="0.25">
      <c r="C886" s="61" t="s">
        <v>978</v>
      </c>
      <c r="D886" t="str">
        <f>VLOOKUP(C886,[1]Orders!$A$5:$W$1043,3,0)</f>
        <v>Christina Anderson</v>
      </c>
      <c r="E886">
        <f>VLOOKUP(C886,[1]Orders!$A$5:$W$1043,23,0)</f>
        <v>5885.42</v>
      </c>
      <c r="F886" t="str">
        <f>VLOOKUP(C886,[1]Orders!$A$5:$W$1043,5,0)</f>
        <v>Sydney</v>
      </c>
      <c r="G886" t="str">
        <f>VLOOKUP(C886,[1]Orders!$A$5:$W$1043,5,0)</f>
        <v>Sydney</v>
      </c>
      <c r="H886" t="str">
        <f>VLOOKUP(C886,[1]Orders!$A$5:$W$1043,6,0)</f>
        <v>NSW</v>
      </c>
      <c r="I886" t="str">
        <f>VLOOKUP(C886,[1]Orders!$A$5:$W$1043,7,0)</f>
        <v>Corporate</v>
      </c>
      <c r="J886" t="str">
        <f>VLOOKUP(C886,[1]Orders!$A$5:$W$1043,8,0)</f>
        <v>Natasha Song</v>
      </c>
      <c r="K886" t="str">
        <f>VLOOKUP(C886,[1]Orders!$A$5:$W$1043,9,0)</f>
        <v>Critical</v>
      </c>
    </row>
    <row r="887" spans="3:11" x14ac:dyDescent="0.25">
      <c r="C887" s="61" t="s">
        <v>979</v>
      </c>
      <c r="D887" t="str">
        <f>VLOOKUP(C887,[1]Orders!$A$5:$W$1043,3,0)</f>
        <v>Arthur Prichep</v>
      </c>
      <c r="E887">
        <f>VLOOKUP(C887,[1]Orders!$A$5:$W$1043,23,0)</f>
        <v>261.27</v>
      </c>
      <c r="F887" t="str">
        <f>VLOOKUP(C887,[1]Orders!$A$5:$W$1043,5,0)</f>
        <v>Sydney</v>
      </c>
      <c r="G887" t="str">
        <f>VLOOKUP(C887,[1]Orders!$A$5:$W$1043,5,0)</f>
        <v>Sydney</v>
      </c>
      <c r="H887" t="str">
        <f>VLOOKUP(C887,[1]Orders!$A$5:$W$1043,6,0)</f>
        <v>NSW</v>
      </c>
      <c r="I887" t="str">
        <f>VLOOKUP(C887,[1]Orders!$A$5:$W$1043,7,0)</f>
        <v>Home Office</v>
      </c>
      <c r="J887" t="str">
        <f>VLOOKUP(C887,[1]Orders!$A$5:$W$1043,8,0)</f>
        <v>Phoebe Gour</v>
      </c>
      <c r="K887" t="str">
        <f>VLOOKUP(C887,[1]Orders!$A$5:$W$1043,9,0)</f>
        <v>Low</v>
      </c>
    </row>
    <row r="888" spans="3:11" x14ac:dyDescent="0.25">
      <c r="C888" s="61" t="s">
        <v>980</v>
      </c>
      <c r="D888" t="str">
        <f>VLOOKUP(C888,[1]Orders!$A$5:$W$1043,3,0)</f>
        <v>Neil Knudson</v>
      </c>
      <c r="E888">
        <f>VLOOKUP(C888,[1]Orders!$A$5:$W$1043,23,0)</f>
        <v>65.720000000000013</v>
      </c>
      <c r="F888" t="str">
        <f>VLOOKUP(C888,[1]Orders!$A$5:$W$1043,5,0)</f>
        <v>Sydney</v>
      </c>
      <c r="G888" t="str">
        <f>VLOOKUP(C888,[1]Orders!$A$5:$W$1043,5,0)</f>
        <v>Sydney</v>
      </c>
      <c r="H888" t="str">
        <f>VLOOKUP(C888,[1]Orders!$A$5:$W$1043,6,0)</f>
        <v>NSW</v>
      </c>
      <c r="I888" t="str">
        <f>VLOOKUP(C888,[1]Orders!$A$5:$W$1043,7,0)</f>
        <v>Corporate</v>
      </c>
      <c r="J888" t="str">
        <f>VLOOKUP(C888,[1]Orders!$A$5:$W$1043,8,0)</f>
        <v>Tina Carlton</v>
      </c>
      <c r="K888" t="str">
        <f>VLOOKUP(C888,[1]Orders!$A$5:$W$1043,9,0)</f>
        <v>Not Specified</v>
      </c>
    </row>
    <row r="889" spans="3:11" x14ac:dyDescent="0.25">
      <c r="C889" s="61" t="s">
        <v>981</v>
      </c>
      <c r="D889" t="str">
        <f>VLOOKUP(C889,[1]Orders!$A$5:$W$1043,3,0)</f>
        <v>Shaun Weien</v>
      </c>
      <c r="E889">
        <f>VLOOKUP(C889,[1]Orders!$A$5:$W$1043,23,0)</f>
        <v>4965.18</v>
      </c>
      <c r="F889" t="str">
        <f>VLOOKUP(C889,[1]Orders!$A$5:$W$1043,5,0)</f>
        <v>Sydney</v>
      </c>
      <c r="G889" t="str">
        <f>VLOOKUP(C889,[1]Orders!$A$5:$W$1043,5,0)</f>
        <v>Sydney</v>
      </c>
      <c r="H889" t="str">
        <f>VLOOKUP(C889,[1]Orders!$A$5:$W$1043,6,0)</f>
        <v>NSW</v>
      </c>
      <c r="I889" t="str">
        <f>VLOOKUP(C889,[1]Orders!$A$5:$W$1043,7,0)</f>
        <v>Home Office</v>
      </c>
      <c r="J889" t="str">
        <f>VLOOKUP(C889,[1]Orders!$A$5:$W$1043,8,0)</f>
        <v>Aanya Zhang</v>
      </c>
      <c r="K889" t="str">
        <f>VLOOKUP(C889,[1]Orders!$A$5:$W$1043,9,0)</f>
        <v>Low</v>
      </c>
    </row>
    <row r="890" spans="3:11" x14ac:dyDescent="0.25">
      <c r="C890" s="61" t="s">
        <v>982</v>
      </c>
      <c r="D890" t="str">
        <f>VLOOKUP(C890,[1]Orders!$A$5:$W$1043,3,0)</f>
        <v>John Huston</v>
      </c>
      <c r="E890">
        <f>VLOOKUP(C890,[1]Orders!$A$5:$W$1043,23,0)</f>
        <v>156.92999999999998</v>
      </c>
      <c r="F890" t="str">
        <f>VLOOKUP(C890,[1]Orders!$A$5:$W$1043,5,0)</f>
        <v>Sydney</v>
      </c>
      <c r="G890" t="str">
        <f>VLOOKUP(C890,[1]Orders!$A$5:$W$1043,5,0)</f>
        <v>Sydney</v>
      </c>
      <c r="H890" t="str">
        <f>VLOOKUP(C890,[1]Orders!$A$5:$W$1043,6,0)</f>
        <v>NSW</v>
      </c>
      <c r="I890" t="str">
        <f>VLOOKUP(C890,[1]Orders!$A$5:$W$1043,7,0)</f>
        <v>Consumer</v>
      </c>
      <c r="J890" t="str">
        <f>VLOOKUP(C890,[1]Orders!$A$5:$W$1043,8,0)</f>
        <v>Samantha Chairs</v>
      </c>
      <c r="K890" t="str">
        <f>VLOOKUP(C890,[1]Orders!$A$5:$W$1043,9,0)</f>
        <v>Medium</v>
      </c>
    </row>
    <row r="891" spans="3:11" x14ac:dyDescent="0.25">
      <c r="C891" s="61" t="s">
        <v>983</v>
      </c>
      <c r="D891" t="str">
        <f>VLOOKUP(C891,[1]Orders!$A$5:$W$1043,3,0)</f>
        <v>Clay Ludtke</v>
      </c>
      <c r="E891">
        <f>VLOOKUP(C891,[1]Orders!$A$5:$W$1043,23,0)</f>
        <v>1256.49</v>
      </c>
      <c r="F891" t="str">
        <f>VLOOKUP(C891,[1]Orders!$A$5:$W$1043,5,0)</f>
        <v>Sydney</v>
      </c>
      <c r="G891" t="str">
        <f>VLOOKUP(C891,[1]Orders!$A$5:$W$1043,5,0)</f>
        <v>Sydney</v>
      </c>
      <c r="H891" t="str">
        <f>VLOOKUP(C891,[1]Orders!$A$5:$W$1043,6,0)</f>
        <v>NSW</v>
      </c>
      <c r="I891" t="str">
        <f>VLOOKUP(C891,[1]Orders!$A$5:$W$1043,7,0)</f>
        <v>Consumer</v>
      </c>
      <c r="J891" t="str">
        <f>VLOOKUP(C891,[1]Orders!$A$5:$W$1043,8,0)</f>
        <v>Preston Senome</v>
      </c>
      <c r="K891" t="str">
        <f>VLOOKUP(C891,[1]Orders!$A$5:$W$1043,9,0)</f>
        <v>High</v>
      </c>
    </row>
    <row r="892" spans="3:11" x14ac:dyDescent="0.25">
      <c r="C892" s="61" t="s">
        <v>984</v>
      </c>
      <c r="D892" t="str">
        <f>VLOOKUP(C892,[1]Orders!$A$5:$W$1043,3,0)</f>
        <v>Cindy Chapman</v>
      </c>
      <c r="E892">
        <f>VLOOKUP(C892,[1]Orders!$A$5:$W$1043,23,0)</f>
        <v>24.589999999999996</v>
      </c>
      <c r="F892" t="str">
        <f>VLOOKUP(C892,[1]Orders!$A$5:$W$1043,5,0)</f>
        <v>Sydney</v>
      </c>
      <c r="G892" t="str">
        <f>VLOOKUP(C892,[1]Orders!$A$5:$W$1043,5,0)</f>
        <v>Sydney</v>
      </c>
      <c r="H892" t="str">
        <f>VLOOKUP(C892,[1]Orders!$A$5:$W$1043,6,0)</f>
        <v>NSW</v>
      </c>
      <c r="I892" t="str">
        <f>VLOOKUP(C892,[1]Orders!$A$5:$W$1043,7,0)</f>
        <v>Corporate</v>
      </c>
      <c r="J892" t="str">
        <f>VLOOKUP(C892,[1]Orders!$A$5:$W$1043,8,0)</f>
        <v>Tina Carlton</v>
      </c>
      <c r="K892" t="str">
        <f>VLOOKUP(C892,[1]Orders!$A$5:$W$1043,9,0)</f>
        <v>Not Specified</v>
      </c>
    </row>
    <row r="893" spans="3:11" x14ac:dyDescent="0.25">
      <c r="C893" s="61" t="s">
        <v>985</v>
      </c>
      <c r="D893" t="str">
        <f>VLOOKUP(C893,[1]Orders!$A$5:$W$1043,3,0)</f>
        <v>Brian DeCherney</v>
      </c>
      <c r="E893">
        <f>VLOOKUP(C893,[1]Orders!$A$5:$W$1043,23,0)</f>
        <v>137.9</v>
      </c>
      <c r="F893" t="str">
        <f>VLOOKUP(C893,[1]Orders!$A$5:$W$1043,5,0)</f>
        <v>Sydney</v>
      </c>
      <c r="G893" t="str">
        <f>VLOOKUP(C893,[1]Orders!$A$5:$W$1043,5,0)</f>
        <v>Sydney</v>
      </c>
      <c r="H893" t="str">
        <f>VLOOKUP(C893,[1]Orders!$A$5:$W$1043,6,0)</f>
        <v>NSW</v>
      </c>
      <c r="I893" t="str">
        <f>VLOOKUP(C893,[1]Orders!$A$5:$W$1043,7,0)</f>
        <v>Corporate</v>
      </c>
      <c r="J893" t="str">
        <f>VLOOKUP(C893,[1]Orders!$A$5:$W$1043,8,0)</f>
        <v>Aanya Zhang</v>
      </c>
      <c r="K893" t="str">
        <f>VLOOKUP(C893,[1]Orders!$A$5:$W$1043,9,0)</f>
        <v>Critical</v>
      </c>
    </row>
    <row r="894" spans="3:11" x14ac:dyDescent="0.25">
      <c r="C894" s="61" t="s">
        <v>986</v>
      </c>
      <c r="D894" t="str">
        <f>VLOOKUP(C894,[1]Orders!$A$5:$W$1043,3,0)</f>
        <v>Matthew Clasen</v>
      </c>
      <c r="E894">
        <f>VLOOKUP(C894,[1]Orders!$A$5:$W$1043,23,0)</f>
        <v>216.48999999999998</v>
      </c>
      <c r="F894" t="str">
        <f>VLOOKUP(C894,[1]Orders!$A$5:$W$1043,5,0)</f>
        <v>Sydney</v>
      </c>
      <c r="G894" t="str">
        <f>VLOOKUP(C894,[1]Orders!$A$5:$W$1043,5,0)</f>
        <v>Sydney</v>
      </c>
      <c r="H894" t="str">
        <f>VLOOKUP(C894,[1]Orders!$A$5:$W$1043,6,0)</f>
        <v>NSW</v>
      </c>
      <c r="I894" t="str">
        <f>VLOOKUP(C894,[1]Orders!$A$5:$W$1043,7,0)</f>
        <v>Consumer</v>
      </c>
      <c r="J894" t="str">
        <f>VLOOKUP(C894,[1]Orders!$A$5:$W$1043,8,0)</f>
        <v>Nicholas Fernandes</v>
      </c>
      <c r="K894" t="str">
        <f>VLOOKUP(C894,[1]Orders!$A$5:$W$1043,9,0)</f>
        <v>Low</v>
      </c>
    </row>
    <row r="895" spans="3:11" x14ac:dyDescent="0.25">
      <c r="C895" s="61" t="s">
        <v>987</v>
      </c>
      <c r="D895" t="str">
        <f>VLOOKUP(C895,[1]Orders!$A$5:$W$1043,3,0)</f>
        <v>Lindsay Castell</v>
      </c>
      <c r="E895">
        <f>VLOOKUP(C895,[1]Orders!$A$5:$W$1043,23,0)</f>
        <v>59.92</v>
      </c>
      <c r="F895" t="str">
        <f>VLOOKUP(C895,[1]Orders!$A$5:$W$1043,5,0)</f>
        <v>Sydney</v>
      </c>
      <c r="G895" t="str">
        <f>VLOOKUP(C895,[1]Orders!$A$5:$W$1043,5,0)</f>
        <v>Sydney</v>
      </c>
      <c r="H895" t="str">
        <f>VLOOKUP(C895,[1]Orders!$A$5:$W$1043,6,0)</f>
        <v>NSW</v>
      </c>
      <c r="I895" t="str">
        <f>VLOOKUP(C895,[1]Orders!$A$5:$W$1043,7,0)</f>
        <v>Corporate</v>
      </c>
      <c r="J895" t="str">
        <f>VLOOKUP(C895,[1]Orders!$A$5:$W$1043,8,0)</f>
        <v>Phoebe Gour</v>
      </c>
      <c r="K895" t="str">
        <f>VLOOKUP(C895,[1]Orders!$A$5:$W$1043,9,0)</f>
        <v>High</v>
      </c>
    </row>
    <row r="896" spans="3:11" x14ac:dyDescent="0.25">
      <c r="C896" s="61" t="s">
        <v>988</v>
      </c>
      <c r="D896" t="str">
        <f>VLOOKUP(C896,[1]Orders!$A$5:$W$1043,3,0)</f>
        <v>Susan Pistek</v>
      </c>
      <c r="E896">
        <f>VLOOKUP(C896,[1]Orders!$A$5:$W$1043,23,0)</f>
        <v>52.8</v>
      </c>
      <c r="F896" t="str">
        <f>VLOOKUP(C896,[1]Orders!$A$5:$W$1043,5,0)</f>
        <v>Sydney</v>
      </c>
      <c r="G896" t="str">
        <f>VLOOKUP(C896,[1]Orders!$A$5:$W$1043,5,0)</f>
        <v>Sydney</v>
      </c>
      <c r="H896" t="str">
        <f>VLOOKUP(C896,[1]Orders!$A$5:$W$1043,6,0)</f>
        <v>NSW</v>
      </c>
      <c r="I896" t="str">
        <f>VLOOKUP(C896,[1]Orders!$A$5:$W$1043,7,0)</f>
        <v>Home Office</v>
      </c>
      <c r="J896" t="str">
        <f>VLOOKUP(C896,[1]Orders!$A$5:$W$1043,8,0)</f>
        <v>Phoebe Gour</v>
      </c>
      <c r="K896" t="str">
        <f>VLOOKUP(C896,[1]Orders!$A$5:$W$1043,9,0)</f>
        <v>High</v>
      </c>
    </row>
    <row r="897" spans="3:11" x14ac:dyDescent="0.25">
      <c r="C897" s="61" t="s">
        <v>989</v>
      </c>
      <c r="D897" t="str">
        <f>VLOOKUP(C897,[1]Orders!$A$5:$W$1043,3,0)</f>
        <v>Astrea Jones</v>
      </c>
      <c r="E897">
        <f>VLOOKUP(C897,[1]Orders!$A$5:$W$1043,23,0)</f>
        <v>42.629999999999995</v>
      </c>
      <c r="F897" t="str">
        <f>VLOOKUP(C897,[1]Orders!$A$5:$W$1043,5,0)</f>
        <v>Sydney</v>
      </c>
      <c r="G897" t="str">
        <f>VLOOKUP(C897,[1]Orders!$A$5:$W$1043,5,0)</f>
        <v>Sydney</v>
      </c>
      <c r="H897" t="str">
        <f>VLOOKUP(C897,[1]Orders!$A$5:$W$1043,6,0)</f>
        <v>NSW</v>
      </c>
      <c r="I897" t="str">
        <f>VLOOKUP(C897,[1]Orders!$A$5:$W$1043,7,0)</f>
        <v>Corporate</v>
      </c>
      <c r="J897" t="str">
        <f>VLOOKUP(C897,[1]Orders!$A$5:$W$1043,8,0)</f>
        <v>Leighton Forrest</v>
      </c>
      <c r="K897" t="str">
        <f>VLOOKUP(C897,[1]Orders!$A$5:$W$1043,9,0)</f>
        <v>Critical</v>
      </c>
    </row>
    <row r="898" spans="3:11" x14ac:dyDescent="0.25">
      <c r="C898" s="61" t="s">
        <v>990</v>
      </c>
      <c r="D898" t="str">
        <f>VLOOKUP(C898,[1]Orders!$A$5:$W$1043,3,0)</f>
        <v>Philip Fox</v>
      </c>
      <c r="E898">
        <f>VLOOKUP(C898,[1]Orders!$A$5:$W$1043,23,0)</f>
        <v>91.17</v>
      </c>
      <c r="F898" t="str">
        <f>VLOOKUP(C898,[1]Orders!$A$5:$W$1043,5,0)</f>
        <v>Sydney</v>
      </c>
      <c r="G898" t="str">
        <f>VLOOKUP(C898,[1]Orders!$A$5:$W$1043,5,0)</f>
        <v>Sydney</v>
      </c>
      <c r="H898" t="str">
        <f>VLOOKUP(C898,[1]Orders!$A$5:$W$1043,6,0)</f>
        <v>NSW</v>
      </c>
      <c r="I898" t="str">
        <f>VLOOKUP(C898,[1]Orders!$A$5:$W$1043,7,0)</f>
        <v>Home Office</v>
      </c>
      <c r="J898" t="str">
        <f>VLOOKUP(C898,[1]Orders!$A$5:$W$1043,8,0)</f>
        <v>Tina Carlton</v>
      </c>
      <c r="K898" t="str">
        <f>VLOOKUP(C898,[1]Orders!$A$5:$W$1043,9,0)</f>
        <v>Medium</v>
      </c>
    </row>
    <row r="899" spans="3:11" x14ac:dyDescent="0.25">
      <c r="C899" s="61" t="s">
        <v>991</v>
      </c>
      <c r="D899" t="str">
        <f>VLOOKUP(C899,[1]Orders!$A$5:$W$1043,3,0)</f>
        <v>Denise Monton</v>
      </c>
      <c r="E899">
        <f>VLOOKUP(C899,[1]Orders!$A$5:$W$1043,23,0)</f>
        <v>134.31</v>
      </c>
      <c r="F899" t="str">
        <f>VLOOKUP(C899,[1]Orders!$A$5:$W$1043,5,0)</f>
        <v>Sydney</v>
      </c>
      <c r="G899" t="str">
        <f>VLOOKUP(C899,[1]Orders!$A$5:$W$1043,5,0)</f>
        <v>Sydney</v>
      </c>
      <c r="H899" t="str">
        <f>VLOOKUP(C899,[1]Orders!$A$5:$W$1043,6,0)</f>
        <v>NSW</v>
      </c>
      <c r="I899" t="str">
        <f>VLOOKUP(C899,[1]Orders!$A$5:$W$1043,7,0)</f>
        <v>Home Office</v>
      </c>
      <c r="J899" t="str">
        <f>VLOOKUP(C899,[1]Orders!$A$5:$W$1043,8,0)</f>
        <v>Samantha Chairs</v>
      </c>
      <c r="K899" t="str">
        <f>VLOOKUP(C899,[1]Orders!$A$5:$W$1043,9,0)</f>
        <v>Not Specified</v>
      </c>
    </row>
    <row r="900" spans="3:11" x14ac:dyDescent="0.25">
      <c r="C900" s="61" t="s">
        <v>992</v>
      </c>
      <c r="D900" t="str">
        <f>VLOOKUP(C900,[1]Orders!$A$5:$W$1043,3,0)</f>
        <v>Thea Hendricks</v>
      </c>
      <c r="E900">
        <f>VLOOKUP(C900,[1]Orders!$A$5:$W$1043,23,0)</f>
        <v>84.91</v>
      </c>
      <c r="F900" t="str">
        <f>VLOOKUP(C900,[1]Orders!$A$5:$W$1043,5,0)</f>
        <v>Melbourne</v>
      </c>
      <c r="G900" t="str">
        <f>VLOOKUP(C900,[1]Orders!$A$5:$W$1043,5,0)</f>
        <v>Melbourne</v>
      </c>
      <c r="H900" t="str">
        <f>VLOOKUP(C900,[1]Orders!$A$5:$W$1043,6,0)</f>
        <v>VIC</v>
      </c>
      <c r="I900" t="str">
        <f>VLOOKUP(C900,[1]Orders!$A$5:$W$1043,7,0)</f>
        <v>Home Office</v>
      </c>
      <c r="J900" t="str">
        <f>VLOOKUP(C900,[1]Orders!$A$5:$W$1043,8,0)</f>
        <v>Connor Betts</v>
      </c>
      <c r="K900" t="str">
        <f>VLOOKUP(C900,[1]Orders!$A$5:$W$1043,9,0)</f>
        <v>High</v>
      </c>
    </row>
    <row r="901" spans="3:11" x14ac:dyDescent="0.25">
      <c r="C901" s="61" t="s">
        <v>993</v>
      </c>
      <c r="D901" t="str">
        <f>VLOOKUP(C901,[1]Orders!$A$5:$W$1043,3,0)</f>
        <v>Katherine Murray</v>
      </c>
      <c r="E901">
        <f>VLOOKUP(C901,[1]Orders!$A$5:$W$1043,23,0)</f>
        <v>11.78</v>
      </c>
      <c r="F901" t="str">
        <f>VLOOKUP(C901,[1]Orders!$A$5:$W$1043,5,0)</f>
        <v>Sydney</v>
      </c>
      <c r="G901" t="str">
        <f>VLOOKUP(C901,[1]Orders!$A$5:$W$1043,5,0)</f>
        <v>Sydney</v>
      </c>
      <c r="H901" t="str">
        <f>VLOOKUP(C901,[1]Orders!$A$5:$W$1043,6,0)</f>
        <v>NSW</v>
      </c>
      <c r="I901" t="str">
        <f>VLOOKUP(C901,[1]Orders!$A$5:$W$1043,7,0)</f>
        <v>Home Office</v>
      </c>
      <c r="J901" t="str">
        <f>VLOOKUP(C901,[1]Orders!$A$5:$W$1043,8,0)</f>
        <v>Nicholas Fernandes</v>
      </c>
      <c r="K901" t="str">
        <f>VLOOKUP(C901,[1]Orders!$A$5:$W$1043,9,0)</f>
        <v>Medium</v>
      </c>
    </row>
    <row r="902" spans="3:11" x14ac:dyDescent="0.25">
      <c r="C902" s="61" t="s">
        <v>994</v>
      </c>
      <c r="D902" t="str">
        <f>VLOOKUP(C902,[1]Orders!$A$5:$W$1043,3,0)</f>
        <v>Debra Catini</v>
      </c>
      <c r="E902">
        <f>VLOOKUP(C902,[1]Orders!$A$5:$W$1043,23,0)</f>
        <v>132.98000000000002</v>
      </c>
      <c r="F902" t="str">
        <f>VLOOKUP(C902,[1]Orders!$A$5:$W$1043,5,0)</f>
        <v>Melbourne</v>
      </c>
      <c r="G902" t="str">
        <f>VLOOKUP(C902,[1]Orders!$A$5:$W$1043,5,0)</f>
        <v>Melbourne</v>
      </c>
      <c r="H902" t="str">
        <f>VLOOKUP(C902,[1]Orders!$A$5:$W$1043,6,0)</f>
        <v>VIC</v>
      </c>
      <c r="I902" t="str">
        <f>VLOOKUP(C902,[1]Orders!$A$5:$W$1043,7,0)</f>
        <v>Small Business</v>
      </c>
      <c r="J902" t="str">
        <f>VLOOKUP(C902,[1]Orders!$A$5:$W$1043,8,0)</f>
        <v>Connor Betts</v>
      </c>
      <c r="K902" t="str">
        <f>VLOOKUP(C902,[1]Orders!$A$5:$W$1043,9,0)</f>
        <v>Medium</v>
      </c>
    </row>
    <row r="903" spans="3:11" x14ac:dyDescent="0.25">
      <c r="C903" s="61" t="s">
        <v>995</v>
      </c>
      <c r="D903" t="str">
        <f>VLOOKUP(C903,[1]Orders!$A$5:$W$1043,3,0)</f>
        <v>Maribeth Dona</v>
      </c>
      <c r="E903">
        <f>VLOOKUP(C903,[1]Orders!$A$5:$W$1043,23,0)</f>
        <v>308.93</v>
      </c>
      <c r="F903" t="str">
        <f>VLOOKUP(C903,[1]Orders!$A$5:$W$1043,5,0)</f>
        <v>Melbourne</v>
      </c>
      <c r="G903" t="str">
        <f>VLOOKUP(C903,[1]Orders!$A$5:$W$1043,5,0)</f>
        <v>Melbourne</v>
      </c>
      <c r="H903" t="str">
        <f>VLOOKUP(C903,[1]Orders!$A$5:$W$1043,6,0)</f>
        <v>VIC</v>
      </c>
      <c r="I903" t="str">
        <f>VLOOKUP(C903,[1]Orders!$A$5:$W$1043,7,0)</f>
        <v>Home Office</v>
      </c>
      <c r="J903" t="str">
        <f>VLOOKUP(C903,[1]Orders!$A$5:$W$1043,8,0)</f>
        <v>Connor Betts</v>
      </c>
      <c r="K903" t="str">
        <f>VLOOKUP(C903,[1]Orders!$A$5:$W$1043,9,0)</f>
        <v>High</v>
      </c>
    </row>
    <row r="904" spans="3:11" x14ac:dyDescent="0.25">
      <c r="C904" s="61" t="s">
        <v>996</v>
      </c>
      <c r="D904" t="str">
        <f>VLOOKUP(C904,[1]Orders!$A$5:$W$1043,3,0)</f>
        <v>Kean Thornton</v>
      </c>
      <c r="E904">
        <f>VLOOKUP(C904,[1]Orders!$A$5:$W$1043,23,0)</f>
        <v>63.59</v>
      </c>
      <c r="F904" t="str">
        <f>VLOOKUP(C904,[1]Orders!$A$5:$W$1043,5,0)</f>
        <v>Sydney</v>
      </c>
      <c r="G904" t="str">
        <f>VLOOKUP(C904,[1]Orders!$A$5:$W$1043,5,0)</f>
        <v>Sydney</v>
      </c>
      <c r="H904" t="str">
        <f>VLOOKUP(C904,[1]Orders!$A$5:$W$1043,6,0)</f>
        <v>NSW</v>
      </c>
      <c r="I904" t="str">
        <f>VLOOKUP(C904,[1]Orders!$A$5:$W$1043,7,0)</f>
        <v>Corporate</v>
      </c>
      <c r="J904" t="str">
        <f>VLOOKUP(C904,[1]Orders!$A$5:$W$1043,8,0)</f>
        <v>Natasha Song</v>
      </c>
      <c r="K904" t="str">
        <f>VLOOKUP(C904,[1]Orders!$A$5:$W$1043,9,0)</f>
        <v>Not Specified</v>
      </c>
    </row>
    <row r="905" spans="3:11" x14ac:dyDescent="0.25">
      <c r="C905" s="61" t="s">
        <v>997</v>
      </c>
      <c r="D905" t="str">
        <f>VLOOKUP(C905,[1]Orders!$A$5:$W$1043,3,0)</f>
        <v>Michelle Huthwaite</v>
      </c>
      <c r="E905">
        <f>VLOOKUP(C905,[1]Orders!$A$5:$W$1043,23,0)</f>
        <v>1374.4</v>
      </c>
      <c r="F905" t="str">
        <f>VLOOKUP(C905,[1]Orders!$A$5:$W$1043,5,0)</f>
        <v>Sydney</v>
      </c>
      <c r="G905" t="str">
        <f>VLOOKUP(C905,[1]Orders!$A$5:$W$1043,5,0)</f>
        <v>Sydney</v>
      </c>
      <c r="H905" t="str">
        <f>VLOOKUP(C905,[1]Orders!$A$5:$W$1043,6,0)</f>
        <v>NSW</v>
      </c>
      <c r="I905" t="str">
        <f>VLOOKUP(C905,[1]Orders!$A$5:$W$1043,7,0)</f>
        <v>Home Office</v>
      </c>
      <c r="J905" t="str">
        <f>VLOOKUP(C905,[1]Orders!$A$5:$W$1043,8,0)</f>
        <v>Samantha Chairs</v>
      </c>
      <c r="K905" t="str">
        <f>VLOOKUP(C905,[1]Orders!$A$5:$W$1043,9,0)</f>
        <v>Critical</v>
      </c>
    </row>
    <row r="906" spans="3:11" x14ac:dyDescent="0.25">
      <c r="C906" s="61" t="s">
        <v>998</v>
      </c>
      <c r="D906" t="str">
        <f>VLOOKUP(C906,[1]Orders!$A$5:$W$1043,3,0)</f>
        <v>Nicole Brennan</v>
      </c>
      <c r="E906">
        <f>VLOOKUP(C906,[1]Orders!$A$5:$W$1043,23,0)</f>
        <v>417.89</v>
      </c>
      <c r="F906" t="str">
        <f>VLOOKUP(C906,[1]Orders!$A$5:$W$1043,5,0)</f>
        <v>Sydney</v>
      </c>
      <c r="G906" t="str">
        <f>VLOOKUP(C906,[1]Orders!$A$5:$W$1043,5,0)</f>
        <v>Sydney</v>
      </c>
      <c r="H906" t="str">
        <f>VLOOKUP(C906,[1]Orders!$A$5:$W$1043,6,0)</f>
        <v>NSW</v>
      </c>
      <c r="I906" t="str">
        <f>VLOOKUP(C906,[1]Orders!$A$5:$W$1043,7,0)</f>
        <v>Home Office</v>
      </c>
      <c r="J906" t="str">
        <f>VLOOKUP(C906,[1]Orders!$A$5:$W$1043,8,0)</f>
        <v>Aanya Zhang</v>
      </c>
      <c r="K906" t="str">
        <f>VLOOKUP(C906,[1]Orders!$A$5:$W$1043,9,0)</f>
        <v>Medium</v>
      </c>
    </row>
    <row r="907" spans="3:11" x14ac:dyDescent="0.25">
      <c r="C907" s="61" t="s">
        <v>999</v>
      </c>
      <c r="D907" t="str">
        <f>VLOOKUP(C907,[1]Orders!$A$5:$W$1043,3,0)</f>
        <v>Dean Percer</v>
      </c>
      <c r="E907">
        <f>VLOOKUP(C907,[1]Orders!$A$5:$W$1043,23,0)</f>
        <v>1674.85</v>
      </c>
      <c r="F907" t="str">
        <f>VLOOKUP(C907,[1]Orders!$A$5:$W$1043,5,0)</f>
        <v>Melbourne</v>
      </c>
      <c r="G907" t="str">
        <f>VLOOKUP(C907,[1]Orders!$A$5:$W$1043,5,0)</f>
        <v>Melbourne</v>
      </c>
      <c r="H907" t="str">
        <f>VLOOKUP(C907,[1]Orders!$A$5:$W$1043,6,0)</f>
        <v>VIC</v>
      </c>
      <c r="I907" t="str">
        <f>VLOOKUP(C907,[1]Orders!$A$5:$W$1043,7,0)</f>
        <v>Home Office</v>
      </c>
      <c r="J907" t="str">
        <f>VLOOKUP(C907,[1]Orders!$A$5:$W$1043,8,0)</f>
        <v>Yvette Biti</v>
      </c>
      <c r="K907" t="str">
        <f>VLOOKUP(C907,[1]Orders!$A$5:$W$1043,9,0)</f>
        <v>Not Specified</v>
      </c>
    </row>
    <row r="908" spans="3:11" x14ac:dyDescent="0.25">
      <c r="C908" s="61" t="s">
        <v>1000</v>
      </c>
      <c r="D908" t="str">
        <f>VLOOKUP(C908,[1]Orders!$A$5:$W$1043,3,0)</f>
        <v>Michael Stewart</v>
      </c>
      <c r="E908">
        <f>VLOOKUP(C908,[1]Orders!$A$5:$W$1043,23,0)</f>
        <v>592.25</v>
      </c>
      <c r="F908" t="str">
        <f>VLOOKUP(C908,[1]Orders!$A$5:$W$1043,5,0)</f>
        <v>Sydney</v>
      </c>
      <c r="G908" t="str">
        <f>VLOOKUP(C908,[1]Orders!$A$5:$W$1043,5,0)</f>
        <v>Sydney</v>
      </c>
      <c r="H908" t="str">
        <f>VLOOKUP(C908,[1]Orders!$A$5:$W$1043,6,0)</f>
        <v>NSW</v>
      </c>
      <c r="I908" t="str">
        <f>VLOOKUP(C908,[1]Orders!$A$5:$W$1043,7,0)</f>
        <v>Small Business</v>
      </c>
      <c r="J908" t="str">
        <f>VLOOKUP(C908,[1]Orders!$A$5:$W$1043,8,0)</f>
        <v>Aanya Zhang</v>
      </c>
      <c r="K908" t="str">
        <f>VLOOKUP(C908,[1]Orders!$A$5:$W$1043,9,0)</f>
        <v>Not Specified</v>
      </c>
    </row>
    <row r="909" spans="3:11" x14ac:dyDescent="0.25">
      <c r="C909" s="61" t="s">
        <v>1001</v>
      </c>
      <c r="D909" t="str">
        <f>VLOOKUP(C909,[1]Orders!$A$5:$W$1043,3,0)</f>
        <v>Bruce Stewart</v>
      </c>
      <c r="E909">
        <f>VLOOKUP(C909,[1]Orders!$A$5:$W$1043,23,0)</f>
        <v>4146.92</v>
      </c>
      <c r="F909" t="str">
        <f>VLOOKUP(C909,[1]Orders!$A$5:$W$1043,5,0)</f>
        <v>Sydney</v>
      </c>
      <c r="G909" t="str">
        <f>VLOOKUP(C909,[1]Orders!$A$5:$W$1043,5,0)</f>
        <v>Sydney</v>
      </c>
      <c r="H909" t="str">
        <f>VLOOKUP(C909,[1]Orders!$A$5:$W$1043,6,0)</f>
        <v>NSW</v>
      </c>
      <c r="I909" t="str">
        <f>VLOOKUP(C909,[1]Orders!$A$5:$W$1043,7,0)</f>
        <v>Corporate</v>
      </c>
      <c r="J909" t="str">
        <f>VLOOKUP(C909,[1]Orders!$A$5:$W$1043,8,0)</f>
        <v>Natasha Song</v>
      </c>
      <c r="K909" t="str">
        <f>VLOOKUP(C909,[1]Orders!$A$5:$W$1043,9,0)</f>
        <v>High</v>
      </c>
    </row>
    <row r="910" spans="3:11" x14ac:dyDescent="0.25">
      <c r="C910" s="61" t="s">
        <v>1002</v>
      </c>
      <c r="D910" t="str">
        <f>VLOOKUP(C910,[1]Orders!$A$5:$W$1043,3,0)</f>
        <v>Beth Thompson</v>
      </c>
      <c r="E910">
        <f>VLOOKUP(C910,[1]Orders!$A$5:$W$1043,23,0)</f>
        <v>17.869999999999997</v>
      </c>
      <c r="F910" t="str">
        <f>VLOOKUP(C910,[1]Orders!$A$5:$W$1043,5,0)</f>
        <v>Sydney</v>
      </c>
      <c r="G910" t="str">
        <f>VLOOKUP(C910,[1]Orders!$A$5:$W$1043,5,0)</f>
        <v>Sydney</v>
      </c>
      <c r="H910" t="str">
        <f>VLOOKUP(C910,[1]Orders!$A$5:$W$1043,6,0)</f>
        <v>NSW</v>
      </c>
      <c r="I910" t="str">
        <f>VLOOKUP(C910,[1]Orders!$A$5:$W$1043,7,0)</f>
        <v>Corporate</v>
      </c>
      <c r="J910" t="str">
        <f>VLOOKUP(C910,[1]Orders!$A$5:$W$1043,8,0)</f>
        <v>Mihael Khan</v>
      </c>
      <c r="K910" t="str">
        <f>VLOOKUP(C910,[1]Orders!$A$5:$W$1043,9,0)</f>
        <v>High</v>
      </c>
    </row>
    <row r="911" spans="3:11" x14ac:dyDescent="0.25">
      <c r="C911" s="61" t="s">
        <v>1003</v>
      </c>
      <c r="D911" t="str">
        <f>VLOOKUP(C911,[1]Orders!$A$5:$W$1043,3,0)</f>
        <v>Maureen Gastineau</v>
      </c>
      <c r="E911">
        <f>VLOOKUP(C911,[1]Orders!$A$5:$W$1043,23,0)</f>
        <v>3125.37</v>
      </c>
      <c r="F911" t="str">
        <f>VLOOKUP(C911,[1]Orders!$A$5:$W$1043,5,0)</f>
        <v>Sydney</v>
      </c>
      <c r="G911" t="str">
        <f>VLOOKUP(C911,[1]Orders!$A$5:$W$1043,5,0)</f>
        <v>Sydney</v>
      </c>
      <c r="H911" t="str">
        <f>VLOOKUP(C911,[1]Orders!$A$5:$W$1043,6,0)</f>
        <v>NSW</v>
      </c>
      <c r="I911" t="str">
        <f>VLOOKUP(C911,[1]Orders!$A$5:$W$1043,7,0)</f>
        <v>Consumer</v>
      </c>
      <c r="J911" t="str">
        <f>VLOOKUP(C911,[1]Orders!$A$5:$W$1043,8,0)</f>
        <v>Aanya Zhang</v>
      </c>
      <c r="K911" t="str">
        <f>VLOOKUP(C911,[1]Orders!$A$5:$W$1043,9,0)</f>
        <v>Not Specified</v>
      </c>
    </row>
    <row r="912" spans="3:11" x14ac:dyDescent="0.25">
      <c r="C912" s="61" t="s">
        <v>1004</v>
      </c>
      <c r="D912" t="str">
        <f>VLOOKUP(C912,[1]Orders!$A$5:$W$1043,3,0)</f>
        <v>Michelle Arnett</v>
      </c>
      <c r="E912">
        <f>VLOOKUP(C912,[1]Orders!$A$5:$W$1043,23,0)</f>
        <v>76.989999999999995</v>
      </c>
      <c r="F912" t="str">
        <f>VLOOKUP(C912,[1]Orders!$A$5:$W$1043,5,0)</f>
        <v>Sydney</v>
      </c>
      <c r="G912" t="str">
        <f>VLOOKUP(C912,[1]Orders!$A$5:$W$1043,5,0)</f>
        <v>Sydney</v>
      </c>
      <c r="H912" t="str">
        <f>VLOOKUP(C912,[1]Orders!$A$5:$W$1043,6,0)</f>
        <v>NSW</v>
      </c>
      <c r="I912" t="str">
        <f>VLOOKUP(C912,[1]Orders!$A$5:$W$1043,7,0)</f>
        <v>Home Office</v>
      </c>
      <c r="J912" t="str">
        <f>VLOOKUP(C912,[1]Orders!$A$5:$W$1043,8,0)</f>
        <v>Aanya Zhang</v>
      </c>
      <c r="K912" t="str">
        <f>VLOOKUP(C912,[1]Orders!$A$5:$W$1043,9,0)</f>
        <v>High</v>
      </c>
    </row>
    <row r="913" spans="3:11" x14ac:dyDescent="0.25">
      <c r="C913" s="61" t="s">
        <v>1005</v>
      </c>
      <c r="D913" t="str">
        <f>VLOOKUP(C913,[1]Orders!$A$5:$W$1043,3,0)</f>
        <v>Dennis Bolton</v>
      </c>
      <c r="E913">
        <f>VLOOKUP(C913,[1]Orders!$A$5:$W$1043,23,0)</f>
        <v>48.43</v>
      </c>
      <c r="F913" t="str">
        <f>VLOOKUP(C913,[1]Orders!$A$5:$W$1043,5,0)</f>
        <v>Sydney</v>
      </c>
      <c r="G913" t="str">
        <f>VLOOKUP(C913,[1]Orders!$A$5:$W$1043,5,0)</f>
        <v>Sydney</v>
      </c>
      <c r="H913" t="str">
        <f>VLOOKUP(C913,[1]Orders!$A$5:$W$1043,6,0)</f>
        <v>NSW</v>
      </c>
      <c r="I913" t="str">
        <f>VLOOKUP(C913,[1]Orders!$A$5:$W$1043,7,0)</f>
        <v>Consumer</v>
      </c>
      <c r="J913" t="str">
        <f>VLOOKUP(C913,[1]Orders!$A$5:$W$1043,8,0)</f>
        <v>Leighton Forrest</v>
      </c>
      <c r="K913" t="str">
        <f>VLOOKUP(C913,[1]Orders!$A$5:$W$1043,9,0)</f>
        <v>High</v>
      </c>
    </row>
    <row r="914" spans="3:11" x14ac:dyDescent="0.25">
      <c r="C914" s="61" t="s">
        <v>1006</v>
      </c>
      <c r="D914" t="str">
        <f>VLOOKUP(C914,[1]Orders!$A$5:$W$1043,3,0)</f>
        <v>Sung Shariari</v>
      </c>
      <c r="E914">
        <f>VLOOKUP(C914,[1]Orders!$A$5:$W$1043,23,0)</f>
        <v>43.540000000000006</v>
      </c>
      <c r="F914" t="str">
        <f>VLOOKUP(C914,[1]Orders!$A$5:$W$1043,5,0)</f>
        <v>Sydney</v>
      </c>
      <c r="G914" t="str">
        <f>VLOOKUP(C914,[1]Orders!$A$5:$W$1043,5,0)</f>
        <v>Sydney</v>
      </c>
      <c r="H914" t="str">
        <f>VLOOKUP(C914,[1]Orders!$A$5:$W$1043,6,0)</f>
        <v>NSW</v>
      </c>
      <c r="I914" t="str">
        <f>VLOOKUP(C914,[1]Orders!$A$5:$W$1043,7,0)</f>
        <v>Corporate</v>
      </c>
      <c r="J914" t="str">
        <f>VLOOKUP(C914,[1]Orders!$A$5:$W$1043,8,0)</f>
        <v>Leighton Forrest</v>
      </c>
      <c r="K914" t="str">
        <f>VLOOKUP(C914,[1]Orders!$A$5:$W$1043,9,0)</f>
        <v>Medium</v>
      </c>
    </row>
    <row r="915" spans="3:11" x14ac:dyDescent="0.25">
      <c r="C915" s="61" t="s">
        <v>1007</v>
      </c>
      <c r="D915" t="str">
        <f>VLOOKUP(C915,[1]Orders!$A$5:$W$1043,3,0)</f>
        <v>Dave Hallsten</v>
      </c>
      <c r="E915">
        <f>VLOOKUP(C915,[1]Orders!$A$5:$W$1043,23,0)</f>
        <v>123.62</v>
      </c>
      <c r="F915" t="str">
        <f>VLOOKUP(C915,[1]Orders!$A$5:$W$1043,5,0)</f>
        <v>Sydney</v>
      </c>
      <c r="G915" t="str">
        <f>VLOOKUP(C915,[1]Orders!$A$5:$W$1043,5,0)</f>
        <v>Sydney</v>
      </c>
      <c r="H915" t="str">
        <f>VLOOKUP(C915,[1]Orders!$A$5:$W$1043,6,0)</f>
        <v>NSW</v>
      </c>
      <c r="I915" t="str">
        <f>VLOOKUP(C915,[1]Orders!$A$5:$W$1043,7,0)</f>
        <v>Corporate</v>
      </c>
      <c r="J915" t="str">
        <f>VLOOKUP(C915,[1]Orders!$A$5:$W$1043,8,0)</f>
        <v>Charlie Bui</v>
      </c>
      <c r="K915" t="str">
        <f>VLOOKUP(C915,[1]Orders!$A$5:$W$1043,9,0)</f>
        <v>Low</v>
      </c>
    </row>
    <row r="916" spans="3:11" x14ac:dyDescent="0.25">
      <c r="C916" s="61" t="s">
        <v>1008</v>
      </c>
      <c r="D916" t="str">
        <f>VLOOKUP(C916,[1]Orders!$A$5:$W$1043,3,0)</f>
        <v>Pete Armstrong</v>
      </c>
      <c r="E916">
        <f>VLOOKUP(C916,[1]Orders!$A$5:$W$1043,23,0)</f>
        <v>5.62</v>
      </c>
      <c r="F916" t="str">
        <f>VLOOKUP(C916,[1]Orders!$A$5:$W$1043,5,0)</f>
        <v>Melbourne</v>
      </c>
      <c r="G916" t="str">
        <f>VLOOKUP(C916,[1]Orders!$A$5:$W$1043,5,0)</f>
        <v>Melbourne</v>
      </c>
      <c r="H916" t="str">
        <f>VLOOKUP(C916,[1]Orders!$A$5:$W$1043,6,0)</f>
        <v>VIC</v>
      </c>
      <c r="I916" t="str">
        <f>VLOOKUP(C916,[1]Orders!$A$5:$W$1043,7,0)</f>
        <v>Consumer</v>
      </c>
      <c r="J916" t="str">
        <f>VLOOKUP(C916,[1]Orders!$A$5:$W$1043,8,0)</f>
        <v>Connor Betts</v>
      </c>
      <c r="K916" t="str">
        <f>VLOOKUP(C916,[1]Orders!$A$5:$W$1043,9,0)</f>
        <v>High</v>
      </c>
    </row>
    <row r="917" spans="3:11" x14ac:dyDescent="0.25">
      <c r="C917" s="61" t="s">
        <v>1009</v>
      </c>
      <c r="D917" t="str">
        <f>VLOOKUP(C917,[1]Orders!$A$5:$W$1043,3,0)</f>
        <v>Emily Grady</v>
      </c>
      <c r="E917">
        <f>VLOOKUP(C917,[1]Orders!$A$5:$W$1043,23,0)</f>
        <v>306.97000000000003</v>
      </c>
      <c r="F917" t="str">
        <f>VLOOKUP(C917,[1]Orders!$A$5:$W$1043,5,0)</f>
        <v>Sydney</v>
      </c>
      <c r="G917" t="str">
        <f>VLOOKUP(C917,[1]Orders!$A$5:$W$1043,5,0)</f>
        <v>Sydney</v>
      </c>
      <c r="H917" t="str">
        <f>VLOOKUP(C917,[1]Orders!$A$5:$W$1043,6,0)</f>
        <v>NSW</v>
      </c>
      <c r="I917" t="str">
        <f>VLOOKUP(C917,[1]Orders!$A$5:$W$1043,7,0)</f>
        <v>Home Office</v>
      </c>
      <c r="J917" t="str">
        <f>VLOOKUP(C917,[1]Orders!$A$5:$W$1043,8,0)</f>
        <v>Phoebe Gour</v>
      </c>
      <c r="K917" t="str">
        <f>VLOOKUP(C917,[1]Orders!$A$5:$W$1043,9,0)</f>
        <v>High</v>
      </c>
    </row>
    <row r="918" spans="3:11" x14ac:dyDescent="0.25">
      <c r="C918" s="61" t="s">
        <v>1010</v>
      </c>
      <c r="D918" t="str">
        <f>VLOOKUP(C918,[1]Orders!$A$5:$W$1043,3,0)</f>
        <v>Vivek Grady</v>
      </c>
      <c r="E918">
        <f>VLOOKUP(C918,[1]Orders!$A$5:$W$1043,23,0)</f>
        <v>61.519999999999996</v>
      </c>
      <c r="F918" t="str">
        <f>VLOOKUP(C918,[1]Orders!$A$5:$W$1043,5,0)</f>
        <v>Melbourne</v>
      </c>
      <c r="G918" t="str">
        <f>VLOOKUP(C918,[1]Orders!$A$5:$W$1043,5,0)</f>
        <v>Melbourne</v>
      </c>
      <c r="H918" t="str">
        <f>VLOOKUP(C918,[1]Orders!$A$5:$W$1043,6,0)</f>
        <v>VIC</v>
      </c>
      <c r="I918" t="str">
        <f>VLOOKUP(C918,[1]Orders!$A$5:$W$1043,7,0)</f>
        <v>Home Office</v>
      </c>
      <c r="J918" t="str">
        <f>VLOOKUP(C918,[1]Orders!$A$5:$W$1043,8,0)</f>
        <v>Connor Betts</v>
      </c>
      <c r="K918" t="str">
        <f>VLOOKUP(C918,[1]Orders!$A$5:$W$1043,9,0)</f>
        <v>Low</v>
      </c>
    </row>
    <row r="919" spans="3:11" x14ac:dyDescent="0.25">
      <c r="C919" s="61" t="s">
        <v>1011</v>
      </c>
      <c r="D919" t="str">
        <f>VLOOKUP(C919,[1]Orders!$A$5:$W$1043,3,0)</f>
        <v>Ed Ludwig</v>
      </c>
      <c r="E919">
        <f>VLOOKUP(C919,[1]Orders!$A$5:$W$1043,23,0)</f>
        <v>106.48999999999998</v>
      </c>
      <c r="F919" t="str">
        <f>VLOOKUP(C919,[1]Orders!$A$5:$W$1043,5,0)</f>
        <v>Melbourne</v>
      </c>
      <c r="G919" t="str">
        <f>VLOOKUP(C919,[1]Orders!$A$5:$W$1043,5,0)</f>
        <v>Melbourne</v>
      </c>
      <c r="H919" t="str">
        <f>VLOOKUP(C919,[1]Orders!$A$5:$W$1043,6,0)</f>
        <v>VIC</v>
      </c>
      <c r="I919" t="str">
        <f>VLOOKUP(C919,[1]Orders!$A$5:$W$1043,7,0)</f>
        <v>Consumer</v>
      </c>
      <c r="J919" t="str">
        <f>VLOOKUP(C919,[1]Orders!$A$5:$W$1043,8,0)</f>
        <v>Yvette Biti</v>
      </c>
      <c r="K919" t="str">
        <f>VLOOKUP(C919,[1]Orders!$A$5:$W$1043,9,0)</f>
        <v>Low</v>
      </c>
    </row>
    <row r="920" spans="3:11" x14ac:dyDescent="0.25">
      <c r="C920" s="61" t="s">
        <v>1012</v>
      </c>
      <c r="D920" t="str">
        <f>VLOOKUP(C920,[1]Orders!$A$5:$W$1043,3,0)</f>
        <v>Maria Zettner</v>
      </c>
      <c r="E920">
        <f>VLOOKUP(C920,[1]Orders!$A$5:$W$1043,23,0)</f>
        <v>440.52000000000004</v>
      </c>
      <c r="F920" t="str">
        <f>VLOOKUP(C920,[1]Orders!$A$5:$W$1043,5,0)</f>
        <v>Sydney</v>
      </c>
      <c r="G920" t="str">
        <f>VLOOKUP(C920,[1]Orders!$A$5:$W$1043,5,0)</f>
        <v>Sydney</v>
      </c>
      <c r="H920" t="str">
        <f>VLOOKUP(C920,[1]Orders!$A$5:$W$1043,6,0)</f>
        <v>NSW</v>
      </c>
      <c r="I920" t="str">
        <f>VLOOKUP(C920,[1]Orders!$A$5:$W$1043,7,0)</f>
        <v>Corporate</v>
      </c>
      <c r="J920" t="str">
        <f>VLOOKUP(C920,[1]Orders!$A$5:$W$1043,8,0)</f>
        <v>Mihael Khan</v>
      </c>
      <c r="K920" t="str">
        <f>VLOOKUP(C920,[1]Orders!$A$5:$W$1043,9,0)</f>
        <v>Not Specified</v>
      </c>
    </row>
    <row r="921" spans="3:11" x14ac:dyDescent="0.25">
      <c r="C921" s="61" t="s">
        <v>1013</v>
      </c>
      <c r="D921" t="str">
        <f>VLOOKUP(C921,[1]Orders!$A$5:$W$1043,3,0)</f>
        <v>Lindsay Shagiari</v>
      </c>
      <c r="E921">
        <f>VLOOKUP(C921,[1]Orders!$A$5:$W$1043,23,0)</f>
        <v>2120.4299999999998</v>
      </c>
      <c r="F921" t="str">
        <f>VLOOKUP(C921,[1]Orders!$A$5:$W$1043,5,0)</f>
        <v>Sydney</v>
      </c>
      <c r="G921" t="str">
        <f>VLOOKUP(C921,[1]Orders!$A$5:$W$1043,5,0)</f>
        <v>Sydney</v>
      </c>
      <c r="H921" t="str">
        <f>VLOOKUP(C921,[1]Orders!$A$5:$W$1043,6,0)</f>
        <v>NSW</v>
      </c>
      <c r="I921" t="str">
        <f>VLOOKUP(C921,[1]Orders!$A$5:$W$1043,7,0)</f>
        <v>Home Office</v>
      </c>
      <c r="J921" t="str">
        <f>VLOOKUP(C921,[1]Orders!$A$5:$W$1043,8,0)</f>
        <v>Nicholas Fernandes</v>
      </c>
      <c r="K921" t="str">
        <f>VLOOKUP(C921,[1]Orders!$A$5:$W$1043,9,0)</f>
        <v>Low</v>
      </c>
    </row>
    <row r="922" spans="3:11" x14ac:dyDescent="0.25">
      <c r="C922" s="61" t="s">
        <v>1014</v>
      </c>
      <c r="D922" t="str">
        <f>VLOOKUP(C922,[1]Orders!$A$5:$W$1043,3,0)</f>
        <v>Henry Goldwyn</v>
      </c>
      <c r="E922">
        <f>VLOOKUP(C922,[1]Orders!$A$5:$W$1043,23,0)</f>
        <v>89.24</v>
      </c>
      <c r="F922" t="str">
        <f>VLOOKUP(C922,[1]Orders!$A$5:$W$1043,5,0)</f>
        <v>Melbourne</v>
      </c>
      <c r="G922" t="str">
        <f>VLOOKUP(C922,[1]Orders!$A$5:$W$1043,5,0)</f>
        <v>Melbourne</v>
      </c>
      <c r="H922" t="str">
        <f>VLOOKUP(C922,[1]Orders!$A$5:$W$1043,6,0)</f>
        <v>VIC</v>
      </c>
      <c r="I922" t="str">
        <f>VLOOKUP(C922,[1]Orders!$A$5:$W$1043,7,0)</f>
        <v>Small Business</v>
      </c>
      <c r="J922" t="str">
        <f>VLOOKUP(C922,[1]Orders!$A$5:$W$1043,8,0)</f>
        <v>Yvette Biti</v>
      </c>
      <c r="K922" t="str">
        <f>VLOOKUP(C922,[1]Orders!$A$5:$W$1043,9,0)</f>
        <v>Not Specified</v>
      </c>
    </row>
    <row r="923" spans="3:11" x14ac:dyDescent="0.25">
      <c r="C923" s="61" t="s">
        <v>1015</v>
      </c>
      <c r="D923" t="str">
        <f>VLOOKUP(C923,[1]Orders!$A$5:$W$1043,3,0)</f>
        <v>Quincy Jones</v>
      </c>
      <c r="E923">
        <f>VLOOKUP(C923,[1]Orders!$A$5:$W$1043,23,0)</f>
        <v>65.27</v>
      </c>
      <c r="F923" t="str">
        <f>VLOOKUP(C923,[1]Orders!$A$5:$W$1043,5,0)</f>
        <v>Sydney</v>
      </c>
      <c r="G923" t="str">
        <f>VLOOKUP(C923,[1]Orders!$A$5:$W$1043,5,0)</f>
        <v>Sydney</v>
      </c>
      <c r="H923" t="str">
        <f>VLOOKUP(C923,[1]Orders!$A$5:$W$1043,6,0)</f>
        <v>NSW</v>
      </c>
      <c r="I923" t="str">
        <f>VLOOKUP(C923,[1]Orders!$A$5:$W$1043,7,0)</f>
        <v>Small Business</v>
      </c>
      <c r="J923" t="str">
        <f>VLOOKUP(C923,[1]Orders!$A$5:$W$1043,8,0)</f>
        <v>Samantha Chairs</v>
      </c>
      <c r="K923" t="str">
        <f>VLOOKUP(C923,[1]Orders!$A$5:$W$1043,9,0)</f>
        <v>Medium</v>
      </c>
    </row>
    <row r="924" spans="3:11" x14ac:dyDescent="0.25">
      <c r="C924" s="61" t="s">
        <v>1016</v>
      </c>
      <c r="D924" t="str">
        <f>VLOOKUP(C924,[1]Orders!$A$5:$W$1043,3,0)</f>
        <v>Kelly Williams</v>
      </c>
      <c r="E924">
        <f>VLOOKUP(C924,[1]Orders!$A$5:$W$1043,23,0)</f>
        <v>1367.21</v>
      </c>
      <c r="F924" t="str">
        <f>VLOOKUP(C924,[1]Orders!$A$5:$W$1043,5,0)</f>
        <v>Melbourne</v>
      </c>
      <c r="G924" t="str">
        <f>VLOOKUP(C924,[1]Orders!$A$5:$W$1043,5,0)</f>
        <v>Melbourne</v>
      </c>
      <c r="H924" t="str">
        <f>VLOOKUP(C924,[1]Orders!$A$5:$W$1043,6,0)</f>
        <v>VIC</v>
      </c>
      <c r="I924" t="str">
        <f>VLOOKUP(C924,[1]Orders!$A$5:$W$1043,7,0)</f>
        <v>Corporate</v>
      </c>
      <c r="J924" t="str">
        <f>VLOOKUP(C924,[1]Orders!$A$5:$W$1043,8,0)</f>
        <v>Yvette Biti</v>
      </c>
      <c r="K924" t="str">
        <f>VLOOKUP(C924,[1]Orders!$A$5:$W$1043,9,0)</f>
        <v>Medium</v>
      </c>
    </row>
    <row r="925" spans="3:11" x14ac:dyDescent="0.25">
      <c r="C925" s="61" t="s">
        <v>1017</v>
      </c>
      <c r="D925" t="str">
        <f>VLOOKUP(C925,[1]Orders!$A$5:$W$1043,3,0)</f>
        <v>Clay Ludtke</v>
      </c>
      <c r="E925">
        <f>VLOOKUP(C925,[1]Orders!$A$5:$W$1043,23,0)</f>
        <v>167.73999999999998</v>
      </c>
      <c r="F925" t="str">
        <f>VLOOKUP(C925,[1]Orders!$A$5:$W$1043,5,0)</f>
        <v>Sydney</v>
      </c>
      <c r="G925" t="str">
        <f>VLOOKUP(C925,[1]Orders!$A$5:$W$1043,5,0)</f>
        <v>Sydney</v>
      </c>
      <c r="H925" t="str">
        <f>VLOOKUP(C925,[1]Orders!$A$5:$W$1043,6,0)</f>
        <v>NSW</v>
      </c>
      <c r="I925" t="str">
        <f>VLOOKUP(C925,[1]Orders!$A$5:$W$1043,7,0)</f>
        <v>Consumer</v>
      </c>
      <c r="J925" t="str">
        <f>VLOOKUP(C925,[1]Orders!$A$5:$W$1043,8,0)</f>
        <v>Preston Senome</v>
      </c>
      <c r="K925" t="str">
        <f>VLOOKUP(C925,[1]Orders!$A$5:$W$1043,9,0)</f>
        <v>Critical</v>
      </c>
    </row>
    <row r="926" spans="3:11" x14ac:dyDescent="0.25">
      <c r="C926" s="61" t="s">
        <v>1018</v>
      </c>
      <c r="D926" t="str">
        <f>VLOOKUP(C926,[1]Orders!$A$5:$W$1043,3,0)</f>
        <v>Cynthia Voltz</v>
      </c>
      <c r="E926">
        <f>VLOOKUP(C926,[1]Orders!$A$5:$W$1043,23,0)</f>
        <v>483.32000000000005</v>
      </c>
      <c r="F926" t="str">
        <f>VLOOKUP(C926,[1]Orders!$A$5:$W$1043,5,0)</f>
        <v>Sydney</v>
      </c>
      <c r="G926" t="str">
        <f>VLOOKUP(C926,[1]Orders!$A$5:$W$1043,5,0)</f>
        <v>Sydney</v>
      </c>
      <c r="H926" t="str">
        <f>VLOOKUP(C926,[1]Orders!$A$5:$W$1043,6,0)</f>
        <v>NSW</v>
      </c>
      <c r="I926" t="str">
        <f>VLOOKUP(C926,[1]Orders!$A$5:$W$1043,7,0)</f>
        <v>Corporate</v>
      </c>
      <c r="J926" t="str">
        <f>VLOOKUP(C926,[1]Orders!$A$5:$W$1043,8,0)</f>
        <v>Preston Senome</v>
      </c>
      <c r="K926" t="str">
        <f>VLOOKUP(C926,[1]Orders!$A$5:$W$1043,9,0)</f>
        <v>Not Specified</v>
      </c>
    </row>
    <row r="927" spans="3:11" x14ac:dyDescent="0.25">
      <c r="C927" s="61" t="s">
        <v>1019</v>
      </c>
      <c r="D927" t="str">
        <f>VLOOKUP(C927,[1]Orders!$A$5:$W$1043,3,0)</f>
        <v>Kristina Nunn</v>
      </c>
      <c r="E927">
        <f>VLOOKUP(C927,[1]Orders!$A$5:$W$1043,23,0)</f>
        <v>144.32</v>
      </c>
      <c r="F927" t="str">
        <f>VLOOKUP(C927,[1]Orders!$A$5:$W$1043,5,0)</f>
        <v>Sydney</v>
      </c>
      <c r="G927" t="str">
        <f>VLOOKUP(C927,[1]Orders!$A$5:$W$1043,5,0)</f>
        <v>Sydney</v>
      </c>
      <c r="H927" t="str">
        <f>VLOOKUP(C927,[1]Orders!$A$5:$W$1043,6,0)</f>
        <v>NSW</v>
      </c>
      <c r="I927" t="str">
        <f>VLOOKUP(C927,[1]Orders!$A$5:$W$1043,7,0)</f>
        <v>Consumer</v>
      </c>
      <c r="J927" t="str">
        <f>VLOOKUP(C927,[1]Orders!$A$5:$W$1043,8,0)</f>
        <v>Mihael Khan</v>
      </c>
      <c r="K927" t="str">
        <f>VLOOKUP(C927,[1]Orders!$A$5:$W$1043,9,0)</f>
        <v>Medium</v>
      </c>
    </row>
    <row r="928" spans="3:11" x14ac:dyDescent="0.25">
      <c r="C928" s="61" t="s">
        <v>1020</v>
      </c>
      <c r="D928" t="str">
        <f>VLOOKUP(C928,[1]Orders!$A$5:$W$1043,3,0)</f>
        <v>Darrin Van Huff</v>
      </c>
      <c r="E928">
        <f>VLOOKUP(C928,[1]Orders!$A$5:$W$1043,23,0)</f>
        <v>3439.84</v>
      </c>
      <c r="F928" t="str">
        <f>VLOOKUP(C928,[1]Orders!$A$5:$W$1043,5,0)</f>
        <v>Sydney</v>
      </c>
      <c r="G928" t="str">
        <f>VLOOKUP(C928,[1]Orders!$A$5:$W$1043,5,0)</f>
        <v>Sydney</v>
      </c>
      <c r="H928" t="str">
        <f>VLOOKUP(C928,[1]Orders!$A$5:$W$1043,6,0)</f>
        <v>NSW</v>
      </c>
      <c r="I928" t="str">
        <f>VLOOKUP(C928,[1]Orders!$A$5:$W$1043,7,0)</f>
        <v>Home Office</v>
      </c>
      <c r="J928" t="str">
        <f>VLOOKUP(C928,[1]Orders!$A$5:$W$1043,8,0)</f>
        <v>Tina Carlton</v>
      </c>
      <c r="K928" t="str">
        <f>VLOOKUP(C928,[1]Orders!$A$5:$W$1043,9,0)</f>
        <v>Medium</v>
      </c>
    </row>
    <row r="929" spans="3:11" x14ac:dyDescent="0.25">
      <c r="C929" s="61" t="s">
        <v>1021</v>
      </c>
      <c r="D929" t="str">
        <f>VLOOKUP(C929,[1]Orders!$A$5:$W$1043,3,0)</f>
        <v>Raymond Fair</v>
      </c>
      <c r="E929">
        <f>VLOOKUP(C929,[1]Orders!$A$5:$W$1043,23,0)</f>
        <v>125.72</v>
      </c>
      <c r="F929" t="str">
        <f>VLOOKUP(C929,[1]Orders!$A$5:$W$1043,5,0)</f>
        <v>Sydney</v>
      </c>
      <c r="G929" t="str">
        <f>VLOOKUP(C929,[1]Orders!$A$5:$W$1043,5,0)</f>
        <v>Sydney</v>
      </c>
      <c r="H929" t="str">
        <f>VLOOKUP(C929,[1]Orders!$A$5:$W$1043,6,0)</f>
        <v>NSW</v>
      </c>
      <c r="I929" t="str">
        <f>VLOOKUP(C929,[1]Orders!$A$5:$W$1043,7,0)</f>
        <v>Small Business</v>
      </c>
      <c r="J929" t="str">
        <f>VLOOKUP(C929,[1]Orders!$A$5:$W$1043,8,0)</f>
        <v>Tina Carlton</v>
      </c>
      <c r="K929" t="str">
        <f>VLOOKUP(C929,[1]Orders!$A$5:$W$1043,9,0)</f>
        <v>High</v>
      </c>
    </row>
    <row r="930" spans="3:11" x14ac:dyDescent="0.25">
      <c r="C930" s="61" t="s">
        <v>1022</v>
      </c>
      <c r="D930" t="str">
        <f>VLOOKUP(C930,[1]Orders!$A$5:$W$1043,3,0)</f>
        <v>Christina Vanderzanden</v>
      </c>
      <c r="E930">
        <f>VLOOKUP(C930,[1]Orders!$A$5:$W$1043,23,0)</f>
        <v>438.67</v>
      </c>
      <c r="F930" t="str">
        <f>VLOOKUP(C930,[1]Orders!$A$5:$W$1043,5,0)</f>
        <v>Sydney</v>
      </c>
      <c r="G930" t="str">
        <f>VLOOKUP(C930,[1]Orders!$A$5:$W$1043,5,0)</f>
        <v>Sydney</v>
      </c>
      <c r="H930" t="str">
        <f>VLOOKUP(C930,[1]Orders!$A$5:$W$1043,6,0)</f>
        <v>NSW</v>
      </c>
      <c r="I930" t="str">
        <f>VLOOKUP(C930,[1]Orders!$A$5:$W$1043,7,0)</f>
        <v>Small Business</v>
      </c>
      <c r="J930" t="str">
        <f>VLOOKUP(C930,[1]Orders!$A$5:$W$1043,8,0)</f>
        <v>Tina Carlton</v>
      </c>
      <c r="K930" t="str">
        <f>VLOOKUP(C930,[1]Orders!$A$5:$W$1043,9,0)</f>
        <v>Low</v>
      </c>
    </row>
    <row r="931" spans="3:11" x14ac:dyDescent="0.25">
      <c r="C931" s="61" t="s">
        <v>1023</v>
      </c>
      <c r="D931" t="str">
        <f>VLOOKUP(C931,[1]Orders!$A$5:$W$1043,3,0)</f>
        <v>Nathan Gelder</v>
      </c>
      <c r="E931">
        <f>VLOOKUP(C931,[1]Orders!$A$5:$W$1043,23,0)</f>
        <v>77.22</v>
      </c>
      <c r="F931" t="str">
        <f>VLOOKUP(C931,[1]Orders!$A$5:$W$1043,5,0)</f>
        <v>Melbourne</v>
      </c>
      <c r="G931" t="str">
        <f>VLOOKUP(C931,[1]Orders!$A$5:$W$1043,5,0)</f>
        <v>Melbourne</v>
      </c>
      <c r="H931" t="str">
        <f>VLOOKUP(C931,[1]Orders!$A$5:$W$1043,6,0)</f>
        <v>VIC</v>
      </c>
      <c r="I931" t="str">
        <f>VLOOKUP(C931,[1]Orders!$A$5:$W$1043,7,0)</f>
        <v>Home Office</v>
      </c>
      <c r="J931" t="str">
        <f>VLOOKUP(C931,[1]Orders!$A$5:$W$1043,8,0)</f>
        <v>Yvette Biti</v>
      </c>
      <c r="K931" t="str">
        <f>VLOOKUP(C931,[1]Orders!$A$5:$W$1043,9,0)</f>
        <v>High</v>
      </c>
    </row>
    <row r="932" spans="3:11" x14ac:dyDescent="0.25">
      <c r="C932" s="61" t="s">
        <v>1024</v>
      </c>
      <c r="D932" t="str">
        <f>VLOOKUP(C932,[1]Orders!$A$5:$W$1043,3,0)</f>
        <v>Brooke Gillingham</v>
      </c>
      <c r="E932">
        <f>VLOOKUP(C932,[1]Orders!$A$5:$W$1043,23,0)</f>
        <v>23582.83</v>
      </c>
      <c r="F932" t="str">
        <f>VLOOKUP(C932,[1]Orders!$A$5:$W$1043,5,0)</f>
        <v>Sydney</v>
      </c>
      <c r="G932" t="str">
        <f>VLOOKUP(C932,[1]Orders!$A$5:$W$1043,5,0)</f>
        <v>Sydney</v>
      </c>
      <c r="H932" t="str">
        <f>VLOOKUP(C932,[1]Orders!$A$5:$W$1043,6,0)</f>
        <v>NSW</v>
      </c>
      <c r="I932" t="str">
        <f>VLOOKUP(C932,[1]Orders!$A$5:$W$1043,7,0)</f>
        <v>Small Business</v>
      </c>
      <c r="J932" t="str">
        <f>VLOOKUP(C932,[1]Orders!$A$5:$W$1043,8,0)</f>
        <v>Aanya Zhang</v>
      </c>
      <c r="K932" t="str">
        <f>VLOOKUP(C932,[1]Orders!$A$5:$W$1043,9,0)</f>
        <v>High</v>
      </c>
    </row>
    <row r="933" spans="3:11" x14ac:dyDescent="0.25">
      <c r="C933" s="61" t="s">
        <v>1025</v>
      </c>
      <c r="D933" t="str">
        <f>VLOOKUP(C933,[1]Orders!$A$5:$W$1043,3,0)</f>
        <v>Giulietta Baptist</v>
      </c>
      <c r="E933">
        <f>VLOOKUP(C933,[1]Orders!$A$5:$W$1043,23,0)</f>
        <v>883.09</v>
      </c>
      <c r="F933" t="str">
        <f>VLOOKUP(C933,[1]Orders!$A$5:$W$1043,5,0)</f>
        <v>Sydney</v>
      </c>
      <c r="G933" t="str">
        <f>VLOOKUP(C933,[1]Orders!$A$5:$W$1043,5,0)</f>
        <v>Sydney</v>
      </c>
      <c r="H933" t="str">
        <f>VLOOKUP(C933,[1]Orders!$A$5:$W$1043,6,0)</f>
        <v>NSW</v>
      </c>
      <c r="I933" t="str">
        <f>VLOOKUP(C933,[1]Orders!$A$5:$W$1043,7,0)</f>
        <v>Home Office</v>
      </c>
      <c r="J933" t="str">
        <f>VLOOKUP(C933,[1]Orders!$A$5:$W$1043,8,0)</f>
        <v>Tina Carlton</v>
      </c>
      <c r="K933" t="str">
        <f>VLOOKUP(C933,[1]Orders!$A$5:$W$1043,9,0)</f>
        <v>Low</v>
      </c>
    </row>
    <row r="934" spans="3:11" x14ac:dyDescent="0.25">
      <c r="C934" s="61" t="s">
        <v>1026</v>
      </c>
      <c r="D934" t="str">
        <f>VLOOKUP(C934,[1]Orders!$A$5:$W$1043,3,0)</f>
        <v>John Castell</v>
      </c>
      <c r="E934">
        <f>VLOOKUP(C934,[1]Orders!$A$5:$W$1043,23,0)</f>
        <v>64.319999999999993</v>
      </c>
      <c r="F934" t="str">
        <f>VLOOKUP(C934,[1]Orders!$A$5:$W$1043,5,0)</f>
        <v>Sydney</v>
      </c>
      <c r="G934" t="str">
        <f>VLOOKUP(C934,[1]Orders!$A$5:$W$1043,5,0)</f>
        <v>Sydney</v>
      </c>
      <c r="H934" t="str">
        <f>VLOOKUP(C934,[1]Orders!$A$5:$W$1043,6,0)</f>
        <v>NSW</v>
      </c>
      <c r="I934" t="str">
        <f>VLOOKUP(C934,[1]Orders!$A$5:$W$1043,7,0)</f>
        <v>Consumer</v>
      </c>
      <c r="J934" t="str">
        <f>VLOOKUP(C934,[1]Orders!$A$5:$W$1043,8,0)</f>
        <v>Natasha Song</v>
      </c>
      <c r="K934" t="str">
        <f>VLOOKUP(C934,[1]Orders!$A$5:$W$1043,9,0)</f>
        <v>Low</v>
      </c>
    </row>
    <row r="935" spans="3:11" x14ac:dyDescent="0.25">
      <c r="C935" s="61" t="s">
        <v>1027</v>
      </c>
      <c r="D935" t="str">
        <f>VLOOKUP(C935,[1]Orders!$A$5:$W$1043,3,0)</f>
        <v>Ashley Jarboe</v>
      </c>
      <c r="E935">
        <f>VLOOKUP(C935,[1]Orders!$A$5:$W$1043,23,0)</f>
        <v>460.65000000000003</v>
      </c>
      <c r="F935" t="str">
        <f>VLOOKUP(C935,[1]Orders!$A$5:$W$1043,5,0)</f>
        <v>Melbourne</v>
      </c>
      <c r="G935" t="str">
        <f>VLOOKUP(C935,[1]Orders!$A$5:$W$1043,5,0)</f>
        <v>Melbourne</v>
      </c>
      <c r="H935" t="str">
        <f>VLOOKUP(C935,[1]Orders!$A$5:$W$1043,6,0)</f>
        <v>VIC</v>
      </c>
      <c r="I935" t="str">
        <f>VLOOKUP(C935,[1]Orders!$A$5:$W$1043,7,0)</f>
        <v>Small Business</v>
      </c>
      <c r="J935" t="str">
        <f>VLOOKUP(C935,[1]Orders!$A$5:$W$1043,8,0)</f>
        <v>Connor Betts</v>
      </c>
      <c r="K935" t="str">
        <f>VLOOKUP(C935,[1]Orders!$A$5:$W$1043,9,0)</f>
        <v>Low</v>
      </c>
    </row>
    <row r="936" spans="3:11" x14ac:dyDescent="0.25">
      <c r="C936" s="61" t="s">
        <v>1028</v>
      </c>
      <c r="D936" t="str">
        <f>VLOOKUP(C936,[1]Orders!$A$5:$W$1043,3,0)</f>
        <v>Matthew Clasen</v>
      </c>
      <c r="E936">
        <f>VLOOKUP(C936,[1]Orders!$A$5:$W$1043,23,0)</f>
        <v>66.099999999999994</v>
      </c>
      <c r="F936" t="str">
        <f>VLOOKUP(C936,[1]Orders!$A$5:$W$1043,5,0)</f>
        <v>Sydney</v>
      </c>
      <c r="G936" t="str">
        <f>VLOOKUP(C936,[1]Orders!$A$5:$W$1043,5,0)</f>
        <v>Sydney</v>
      </c>
      <c r="H936" t="str">
        <f>VLOOKUP(C936,[1]Orders!$A$5:$W$1043,6,0)</f>
        <v>NSW</v>
      </c>
      <c r="I936" t="str">
        <f>VLOOKUP(C936,[1]Orders!$A$5:$W$1043,7,0)</f>
        <v>Consumer</v>
      </c>
      <c r="J936" t="str">
        <f>VLOOKUP(C936,[1]Orders!$A$5:$W$1043,8,0)</f>
        <v>Nicholas Fernandes</v>
      </c>
      <c r="K936" t="str">
        <f>VLOOKUP(C936,[1]Orders!$A$5:$W$1043,9,0)</f>
        <v>Low</v>
      </c>
    </row>
    <row r="937" spans="3:11" x14ac:dyDescent="0.25">
      <c r="C937" s="61" t="s">
        <v>1029</v>
      </c>
      <c r="D937" t="str">
        <f>VLOOKUP(C937,[1]Orders!$A$5:$W$1043,3,0)</f>
        <v>Dan Campbell</v>
      </c>
      <c r="E937">
        <f>VLOOKUP(C937,[1]Orders!$A$5:$W$1043,23,0)</f>
        <v>201.42999999999998</v>
      </c>
      <c r="F937" t="str">
        <f>VLOOKUP(C937,[1]Orders!$A$5:$W$1043,5,0)</f>
        <v>Sydney</v>
      </c>
      <c r="G937" t="str">
        <f>VLOOKUP(C937,[1]Orders!$A$5:$W$1043,5,0)</f>
        <v>Sydney</v>
      </c>
      <c r="H937" t="str">
        <f>VLOOKUP(C937,[1]Orders!$A$5:$W$1043,6,0)</f>
        <v>NSW</v>
      </c>
      <c r="I937" t="str">
        <f>VLOOKUP(C937,[1]Orders!$A$5:$W$1043,7,0)</f>
        <v>Corporate</v>
      </c>
      <c r="J937" t="str">
        <f>VLOOKUP(C937,[1]Orders!$A$5:$W$1043,8,0)</f>
        <v>Leighton Forrest</v>
      </c>
      <c r="K937" t="str">
        <f>VLOOKUP(C937,[1]Orders!$A$5:$W$1043,9,0)</f>
        <v>Medium</v>
      </c>
    </row>
    <row r="938" spans="3:11" x14ac:dyDescent="0.25">
      <c r="C938" s="61" t="s">
        <v>1030</v>
      </c>
      <c r="D938" t="str">
        <f>VLOOKUP(C938,[1]Orders!$A$5:$W$1043,3,0)</f>
        <v>Richard Bierner</v>
      </c>
      <c r="E938">
        <f>VLOOKUP(C938,[1]Orders!$A$5:$W$1043,23,0)</f>
        <v>89.21</v>
      </c>
      <c r="F938" t="str">
        <f>VLOOKUP(C938,[1]Orders!$A$5:$W$1043,5,0)</f>
        <v>Melbourne</v>
      </c>
      <c r="G938" t="str">
        <f>VLOOKUP(C938,[1]Orders!$A$5:$W$1043,5,0)</f>
        <v>Melbourne</v>
      </c>
      <c r="H938" t="str">
        <f>VLOOKUP(C938,[1]Orders!$A$5:$W$1043,6,0)</f>
        <v>VIC</v>
      </c>
      <c r="I938" t="str">
        <f>VLOOKUP(C938,[1]Orders!$A$5:$W$1043,7,0)</f>
        <v>Small Business</v>
      </c>
      <c r="J938" t="str">
        <f>VLOOKUP(C938,[1]Orders!$A$5:$W$1043,8,0)</f>
        <v>Connor Betts</v>
      </c>
      <c r="K938" t="str">
        <f>VLOOKUP(C938,[1]Orders!$A$5:$W$1043,9,0)</f>
        <v>Medium</v>
      </c>
    </row>
    <row r="939" spans="3:11" x14ac:dyDescent="0.25">
      <c r="C939" s="61" t="s">
        <v>1031</v>
      </c>
      <c r="D939" t="str">
        <f>VLOOKUP(C939,[1]Orders!$A$5:$W$1043,3,0)</f>
        <v>Christine Phan</v>
      </c>
      <c r="E939">
        <f>VLOOKUP(C939,[1]Orders!$A$5:$W$1043,23,0)</f>
        <v>212.95000000000002</v>
      </c>
      <c r="F939" t="str">
        <f>VLOOKUP(C939,[1]Orders!$A$5:$W$1043,5,0)</f>
        <v>Sydney</v>
      </c>
      <c r="G939" t="str">
        <f>VLOOKUP(C939,[1]Orders!$A$5:$W$1043,5,0)</f>
        <v>Sydney</v>
      </c>
      <c r="H939" t="str">
        <f>VLOOKUP(C939,[1]Orders!$A$5:$W$1043,6,0)</f>
        <v>NSW</v>
      </c>
      <c r="I939" t="str">
        <f>VLOOKUP(C939,[1]Orders!$A$5:$W$1043,7,0)</f>
        <v>Small Business</v>
      </c>
      <c r="J939" t="str">
        <f>VLOOKUP(C939,[1]Orders!$A$5:$W$1043,8,0)</f>
        <v>Aanya Zhang</v>
      </c>
      <c r="K939" t="str">
        <f>VLOOKUP(C939,[1]Orders!$A$5:$W$1043,9,0)</f>
        <v>Medium</v>
      </c>
    </row>
    <row r="940" spans="3:11" x14ac:dyDescent="0.25">
      <c r="C940" s="61" t="s">
        <v>1032</v>
      </c>
      <c r="D940" t="str">
        <f>VLOOKUP(C940,[1]Orders!$A$5:$W$1043,3,0)</f>
        <v>Valerie Dominguez</v>
      </c>
      <c r="E940">
        <f>VLOOKUP(C940,[1]Orders!$A$5:$W$1043,23,0)</f>
        <v>211.34000000000003</v>
      </c>
      <c r="F940" t="str">
        <f>VLOOKUP(C940,[1]Orders!$A$5:$W$1043,5,0)</f>
        <v>Sydney</v>
      </c>
      <c r="G940" t="str">
        <f>VLOOKUP(C940,[1]Orders!$A$5:$W$1043,5,0)</f>
        <v>Sydney</v>
      </c>
      <c r="H940" t="str">
        <f>VLOOKUP(C940,[1]Orders!$A$5:$W$1043,6,0)</f>
        <v>NSW</v>
      </c>
      <c r="I940" t="str">
        <f>VLOOKUP(C940,[1]Orders!$A$5:$W$1043,7,0)</f>
        <v>Corporate</v>
      </c>
      <c r="J940" t="str">
        <f>VLOOKUP(C940,[1]Orders!$A$5:$W$1043,8,0)</f>
        <v>Tina Carlton</v>
      </c>
      <c r="K940" t="str">
        <f>VLOOKUP(C940,[1]Orders!$A$5:$W$1043,9,0)</f>
        <v>Critical</v>
      </c>
    </row>
    <row r="941" spans="3:11" x14ac:dyDescent="0.25">
      <c r="C941" s="61" t="s">
        <v>1033</v>
      </c>
      <c r="D941" t="str">
        <f>VLOOKUP(C941,[1]Orders!$A$5:$W$1043,3,0)</f>
        <v>Mike Kennedy</v>
      </c>
      <c r="E941">
        <f>VLOOKUP(C941,[1]Orders!$A$5:$W$1043,23,0)</f>
        <v>1564.27</v>
      </c>
      <c r="F941" t="str">
        <f>VLOOKUP(C941,[1]Orders!$A$5:$W$1043,5,0)</f>
        <v>Melbourne</v>
      </c>
      <c r="G941" t="str">
        <f>VLOOKUP(C941,[1]Orders!$A$5:$W$1043,5,0)</f>
        <v>Melbourne</v>
      </c>
      <c r="H941" t="str">
        <f>VLOOKUP(C941,[1]Orders!$A$5:$W$1043,6,0)</f>
        <v>VIC</v>
      </c>
      <c r="I941" t="str">
        <f>VLOOKUP(C941,[1]Orders!$A$5:$W$1043,7,0)</f>
        <v>Corporate</v>
      </c>
      <c r="J941" t="str">
        <f>VLOOKUP(C941,[1]Orders!$A$5:$W$1043,8,0)</f>
        <v>Connor Betts</v>
      </c>
      <c r="K941" t="str">
        <f>VLOOKUP(C941,[1]Orders!$A$5:$W$1043,9,0)</f>
        <v>Low</v>
      </c>
    </row>
    <row r="942" spans="3:11" x14ac:dyDescent="0.25">
      <c r="C942" s="61" t="s">
        <v>1034</v>
      </c>
      <c r="D942" t="str">
        <f>VLOOKUP(C942,[1]Orders!$A$5:$W$1043,3,0)</f>
        <v>Troy Staebel</v>
      </c>
      <c r="E942">
        <f>VLOOKUP(C942,[1]Orders!$A$5:$W$1043,23,0)</f>
        <v>948.88</v>
      </c>
      <c r="F942" t="str">
        <f>VLOOKUP(C942,[1]Orders!$A$5:$W$1043,5,0)</f>
        <v>Sydney</v>
      </c>
      <c r="G942" t="str">
        <f>VLOOKUP(C942,[1]Orders!$A$5:$W$1043,5,0)</f>
        <v>Sydney</v>
      </c>
      <c r="H942" t="str">
        <f>VLOOKUP(C942,[1]Orders!$A$5:$W$1043,6,0)</f>
        <v>NSW</v>
      </c>
      <c r="I942" t="str">
        <f>VLOOKUP(C942,[1]Orders!$A$5:$W$1043,7,0)</f>
        <v>Small Business</v>
      </c>
      <c r="J942" t="str">
        <f>VLOOKUP(C942,[1]Orders!$A$5:$W$1043,8,0)</f>
        <v>Aanya Zhang</v>
      </c>
      <c r="K942" t="str">
        <f>VLOOKUP(C942,[1]Orders!$A$5:$W$1043,9,0)</f>
        <v>High</v>
      </c>
    </row>
    <row r="943" spans="3:11" x14ac:dyDescent="0.25">
      <c r="C943" s="61" t="s">
        <v>1035</v>
      </c>
      <c r="D943" t="str">
        <f>VLOOKUP(C943,[1]Orders!$A$5:$W$1043,3,0)</f>
        <v>Laura Armstrong</v>
      </c>
      <c r="E943">
        <f>VLOOKUP(C943,[1]Orders!$A$5:$W$1043,23,0)</f>
        <v>375.14</v>
      </c>
      <c r="F943" t="str">
        <f>VLOOKUP(C943,[1]Orders!$A$5:$W$1043,5,0)</f>
        <v>Melbourne</v>
      </c>
      <c r="G943" t="str">
        <f>VLOOKUP(C943,[1]Orders!$A$5:$W$1043,5,0)</f>
        <v>Melbourne</v>
      </c>
      <c r="H943" t="str">
        <f>VLOOKUP(C943,[1]Orders!$A$5:$W$1043,6,0)</f>
        <v>VIC</v>
      </c>
      <c r="I943" t="str">
        <f>VLOOKUP(C943,[1]Orders!$A$5:$W$1043,7,0)</f>
        <v>Small Business</v>
      </c>
      <c r="J943" t="str">
        <f>VLOOKUP(C943,[1]Orders!$A$5:$W$1043,8,0)</f>
        <v>Connor Betts</v>
      </c>
      <c r="K943" t="str">
        <f>VLOOKUP(C943,[1]Orders!$A$5:$W$1043,9,0)</f>
        <v>High</v>
      </c>
    </row>
    <row r="944" spans="3:11" x14ac:dyDescent="0.25">
      <c r="C944" s="61" t="s">
        <v>1036</v>
      </c>
      <c r="D944" t="str">
        <f>VLOOKUP(C944,[1]Orders!$A$5:$W$1043,3,0)</f>
        <v>Phillip Flathmann</v>
      </c>
      <c r="E944">
        <f>VLOOKUP(C944,[1]Orders!$A$5:$W$1043,23,0)</f>
        <v>1165.76</v>
      </c>
      <c r="F944" t="str">
        <f>VLOOKUP(C944,[1]Orders!$A$5:$W$1043,5,0)</f>
        <v>Sydney</v>
      </c>
      <c r="G944" t="str">
        <f>VLOOKUP(C944,[1]Orders!$A$5:$W$1043,5,0)</f>
        <v>Sydney</v>
      </c>
      <c r="H944" t="str">
        <f>VLOOKUP(C944,[1]Orders!$A$5:$W$1043,6,0)</f>
        <v>NSW</v>
      </c>
      <c r="I944" t="str">
        <f>VLOOKUP(C944,[1]Orders!$A$5:$W$1043,7,0)</f>
        <v>Small Business</v>
      </c>
      <c r="J944" t="str">
        <f>VLOOKUP(C944,[1]Orders!$A$5:$W$1043,8,0)</f>
        <v>Nicholas Fernandes</v>
      </c>
      <c r="K944" t="str">
        <f>VLOOKUP(C944,[1]Orders!$A$5:$W$1043,9,0)</f>
        <v>Medium</v>
      </c>
    </row>
    <row r="945" spans="3:11" x14ac:dyDescent="0.25">
      <c r="C945" s="61" t="s">
        <v>1037</v>
      </c>
      <c r="D945" t="str">
        <f>VLOOKUP(C945,[1]Orders!$A$5:$W$1043,3,0)</f>
        <v>David Flashing</v>
      </c>
      <c r="E945">
        <f>VLOOKUP(C945,[1]Orders!$A$5:$W$1043,23,0)</f>
        <v>133.43999999999997</v>
      </c>
      <c r="F945" t="str">
        <f>VLOOKUP(C945,[1]Orders!$A$5:$W$1043,5,0)</f>
        <v>Sydney</v>
      </c>
      <c r="G945" t="str">
        <f>VLOOKUP(C945,[1]Orders!$A$5:$W$1043,5,0)</f>
        <v>Sydney</v>
      </c>
      <c r="H945" t="str">
        <f>VLOOKUP(C945,[1]Orders!$A$5:$W$1043,6,0)</f>
        <v>NSW</v>
      </c>
      <c r="I945" t="str">
        <f>VLOOKUP(C945,[1]Orders!$A$5:$W$1043,7,0)</f>
        <v>Home Office</v>
      </c>
      <c r="J945" t="str">
        <f>VLOOKUP(C945,[1]Orders!$A$5:$W$1043,8,0)</f>
        <v>Nicholas Fernandes</v>
      </c>
      <c r="K945" t="str">
        <f>VLOOKUP(C945,[1]Orders!$A$5:$W$1043,9,0)</f>
        <v>Medium</v>
      </c>
    </row>
    <row r="946" spans="3:11" x14ac:dyDescent="0.25">
      <c r="C946" s="61" t="s">
        <v>1038</v>
      </c>
      <c r="D946" t="str">
        <f>VLOOKUP(C946,[1]Orders!$A$5:$W$1043,3,0)</f>
        <v>Katherine Ducich</v>
      </c>
      <c r="E946">
        <f>VLOOKUP(C946,[1]Orders!$A$5:$W$1043,23,0)</f>
        <v>132.00999999999996</v>
      </c>
      <c r="F946" t="str">
        <f>VLOOKUP(C946,[1]Orders!$A$5:$W$1043,5,0)</f>
        <v>Sydney</v>
      </c>
      <c r="G946" t="str">
        <f>VLOOKUP(C946,[1]Orders!$A$5:$W$1043,5,0)</f>
        <v>Sydney</v>
      </c>
      <c r="H946" t="str">
        <f>VLOOKUP(C946,[1]Orders!$A$5:$W$1043,6,0)</f>
        <v>NSW</v>
      </c>
      <c r="I946" t="str">
        <f>VLOOKUP(C946,[1]Orders!$A$5:$W$1043,7,0)</f>
        <v>Corporate</v>
      </c>
      <c r="J946" t="str">
        <f>VLOOKUP(C946,[1]Orders!$A$5:$W$1043,8,0)</f>
        <v>Samantha Chairs</v>
      </c>
      <c r="K946" t="str">
        <f>VLOOKUP(C946,[1]Orders!$A$5:$W$1043,9,0)</f>
        <v>High</v>
      </c>
    </row>
    <row r="947" spans="3:11" x14ac:dyDescent="0.25">
      <c r="C947" s="61" t="s">
        <v>1039</v>
      </c>
      <c r="D947" t="str">
        <f>VLOOKUP(C947,[1]Orders!$A$5:$W$1043,3,0)</f>
        <v>Sylvia Foulston</v>
      </c>
      <c r="E947">
        <f>VLOOKUP(C947,[1]Orders!$A$5:$W$1043,23,0)</f>
        <v>742.43999999999994</v>
      </c>
      <c r="F947" t="str">
        <f>VLOOKUP(C947,[1]Orders!$A$5:$W$1043,5,0)</f>
        <v>Sydney</v>
      </c>
      <c r="G947" t="str">
        <f>VLOOKUP(C947,[1]Orders!$A$5:$W$1043,5,0)</f>
        <v>Sydney</v>
      </c>
      <c r="H947" t="str">
        <f>VLOOKUP(C947,[1]Orders!$A$5:$W$1043,6,0)</f>
        <v>NSW</v>
      </c>
      <c r="I947" t="str">
        <f>VLOOKUP(C947,[1]Orders!$A$5:$W$1043,7,0)</f>
        <v>Corporate</v>
      </c>
      <c r="J947" t="str">
        <f>VLOOKUP(C947,[1]Orders!$A$5:$W$1043,8,0)</f>
        <v>Tina Carlton</v>
      </c>
      <c r="K947" t="str">
        <f>VLOOKUP(C947,[1]Orders!$A$5:$W$1043,9,0)</f>
        <v>High</v>
      </c>
    </row>
    <row r="948" spans="3:11" x14ac:dyDescent="0.25">
      <c r="C948" s="61" t="s">
        <v>1040</v>
      </c>
      <c r="D948" t="str">
        <f>VLOOKUP(C948,[1]Orders!$A$5:$W$1043,3,0)</f>
        <v>Tony Sayre</v>
      </c>
      <c r="E948">
        <f>VLOOKUP(C948,[1]Orders!$A$5:$W$1043,23,0)</f>
        <v>83.77</v>
      </c>
      <c r="F948" t="str">
        <f>VLOOKUP(C948,[1]Orders!$A$5:$W$1043,5,0)</f>
        <v>Melbourne</v>
      </c>
      <c r="G948" t="str">
        <f>VLOOKUP(C948,[1]Orders!$A$5:$W$1043,5,0)</f>
        <v>Melbourne</v>
      </c>
      <c r="H948" t="str">
        <f>VLOOKUP(C948,[1]Orders!$A$5:$W$1043,6,0)</f>
        <v>VIC</v>
      </c>
      <c r="I948" t="str">
        <f>VLOOKUP(C948,[1]Orders!$A$5:$W$1043,7,0)</f>
        <v>Small Business</v>
      </c>
      <c r="J948" t="str">
        <f>VLOOKUP(C948,[1]Orders!$A$5:$W$1043,8,0)</f>
        <v>Yvette Biti</v>
      </c>
      <c r="K948" t="str">
        <f>VLOOKUP(C948,[1]Orders!$A$5:$W$1043,9,0)</f>
        <v>Low</v>
      </c>
    </row>
    <row r="949" spans="3:11" x14ac:dyDescent="0.25">
      <c r="C949" s="61" t="s">
        <v>1041</v>
      </c>
      <c r="D949" t="str">
        <f>VLOOKUP(C949,[1]Orders!$A$5:$W$1043,3,0)</f>
        <v>Thea Hendricks</v>
      </c>
      <c r="E949">
        <f>VLOOKUP(C949,[1]Orders!$A$5:$W$1043,23,0)</f>
        <v>2281.9699999999998</v>
      </c>
      <c r="F949" t="str">
        <f>VLOOKUP(C949,[1]Orders!$A$5:$W$1043,5,0)</f>
        <v>Melbourne</v>
      </c>
      <c r="G949" t="str">
        <f>VLOOKUP(C949,[1]Orders!$A$5:$W$1043,5,0)</f>
        <v>Melbourne</v>
      </c>
      <c r="H949" t="str">
        <f>VLOOKUP(C949,[1]Orders!$A$5:$W$1043,6,0)</f>
        <v>VIC</v>
      </c>
      <c r="I949" t="str">
        <f>VLOOKUP(C949,[1]Orders!$A$5:$W$1043,7,0)</f>
        <v>Home Office</v>
      </c>
      <c r="J949" t="str">
        <f>VLOOKUP(C949,[1]Orders!$A$5:$W$1043,8,0)</f>
        <v>Connor Betts</v>
      </c>
      <c r="K949" t="str">
        <f>VLOOKUP(C949,[1]Orders!$A$5:$W$1043,9,0)</f>
        <v>Not Specified</v>
      </c>
    </row>
    <row r="950" spans="3:11" x14ac:dyDescent="0.25">
      <c r="C950" s="61" t="s">
        <v>1042</v>
      </c>
      <c r="D950" t="str">
        <f>VLOOKUP(C950,[1]Orders!$A$5:$W$1043,3,0)</f>
        <v>Naresj Patel</v>
      </c>
      <c r="E950">
        <f>VLOOKUP(C950,[1]Orders!$A$5:$W$1043,23,0)</f>
        <v>1041.06</v>
      </c>
      <c r="F950" t="str">
        <f>VLOOKUP(C950,[1]Orders!$A$5:$W$1043,5,0)</f>
        <v>Sydney</v>
      </c>
      <c r="G950" t="str">
        <f>VLOOKUP(C950,[1]Orders!$A$5:$W$1043,5,0)</f>
        <v>Sydney</v>
      </c>
      <c r="H950" t="str">
        <f>VLOOKUP(C950,[1]Orders!$A$5:$W$1043,6,0)</f>
        <v>NSW</v>
      </c>
      <c r="I950" t="str">
        <f>VLOOKUP(C950,[1]Orders!$A$5:$W$1043,7,0)</f>
        <v>Corporate</v>
      </c>
      <c r="J950" t="str">
        <f>VLOOKUP(C950,[1]Orders!$A$5:$W$1043,8,0)</f>
        <v>Leighton Forrest</v>
      </c>
      <c r="K950" t="str">
        <f>VLOOKUP(C950,[1]Orders!$A$5:$W$1043,9,0)</f>
        <v>Low</v>
      </c>
    </row>
    <row r="951" spans="3:11" x14ac:dyDescent="0.25">
      <c r="C951" s="61" t="s">
        <v>1043</v>
      </c>
      <c r="D951" t="str">
        <f>VLOOKUP(C951,[1]Orders!$A$5:$W$1043,3,0)</f>
        <v>Cynthia Arntzen</v>
      </c>
      <c r="E951">
        <f>VLOOKUP(C951,[1]Orders!$A$5:$W$1043,23,0)</f>
        <v>183.76</v>
      </c>
      <c r="F951" t="str">
        <f>VLOOKUP(C951,[1]Orders!$A$5:$W$1043,5,0)</f>
        <v>Sydney</v>
      </c>
      <c r="G951" t="str">
        <f>VLOOKUP(C951,[1]Orders!$A$5:$W$1043,5,0)</f>
        <v>Sydney</v>
      </c>
      <c r="H951" t="str">
        <f>VLOOKUP(C951,[1]Orders!$A$5:$W$1043,6,0)</f>
        <v>NSW</v>
      </c>
      <c r="I951" t="str">
        <f>VLOOKUP(C951,[1]Orders!$A$5:$W$1043,7,0)</f>
        <v>Small Business</v>
      </c>
      <c r="J951" t="str">
        <f>VLOOKUP(C951,[1]Orders!$A$5:$W$1043,8,0)</f>
        <v>Tina Carlton</v>
      </c>
      <c r="K951" t="str">
        <f>VLOOKUP(C951,[1]Orders!$A$5:$W$1043,9,0)</f>
        <v>Medium</v>
      </c>
    </row>
    <row r="952" spans="3:11" x14ac:dyDescent="0.25">
      <c r="C952" s="61" t="s">
        <v>1044</v>
      </c>
      <c r="D952" t="str">
        <f>VLOOKUP(C952,[1]Orders!$A$5:$W$1043,3,0)</f>
        <v>Barry Franz</v>
      </c>
      <c r="E952">
        <f>VLOOKUP(C952,[1]Orders!$A$5:$W$1043,23,0)</f>
        <v>3722.8599999999992</v>
      </c>
      <c r="F952" t="str">
        <f>VLOOKUP(C952,[1]Orders!$A$5:$W$1043,5,0)</f>
        <v>Melbourne</v>
      </c>
      <c r="G952" t="str">
        <f>VLOOKUP(C952,[1]Orders!$A$5:$W$1043,5,0)</f>
        <v>Melbourne</v>
      </c>
      <c r="H952" t="str">
        <f>VLOOKUP(C952,[1]Orders!$A$5:$W$1043,6,0)</f>
        <v>VIC</v>
      </c>
      <c r="I952" t="str">
        <f>VLOOKUP(C952,[1]Orders!$A$5:$W$1043,7,0)</f>
        <v>Corporate</v>
      </c>
      <c r="J952" t="str">
        <f>VLOOKUP(C952,[1]Orders!$A$5:$W$1043,8,0)</f>
        <v>Yvette Biti</v>
      </c>
      <c r="K952" t="str">
        <f>VLOOKUP(C952,[1]Orders!$A$5:$W$1043,9,0)</f>
        <v>Not Specified</v>
      </c>
    </row>
    <row r="953" spans="3:11" x14ac:dyDescent="0.25">
      <c r="C953" s="61" t="s">
        <v>1045</v>
      </c>
      <c r="D953" t="str">
        <f>VLOOKUP(C953,[1]Orders!$A$5:$W$1043,3,0)</f>
        <v>Odella Nelson</v>
      </c>
      <c r="E953">
        <f>VLOOKUP(C953,[1]Orders!$A$5:$W$1043,23,0)</f>
        <v>33.550000000000004</v>
      </c>
      <c r="F953" t="str">
        <f>VLOOKUP(C953,[1]Orders!$A$5:$W$1043,5,0)</f>
        <v>Sydney</v>
      </c>
      <c r="G953" t="str">
        <f>VLOOKUP(C953,[1]Orders!$A$5:$W$1043,5,0)</f>
        <v>Sydney</v>
      </c>
      <c r="H953" t="str">
        <f>VLOOKUP(C953,[1]Orders!$A$5:$W$1043,6,0)</f>
        <v>NSW</v>
      </c>
      <c r="I953" t="str">
        <f>VLOOKUP(C953,[1]Orders!$A$5:$W$1043,7,0)</f>
        <v>Small Business</v>
      </c>
      <c r="J953" t="str">
        <f>VLOOKUP(C953,[1]Orders!$A$5:$W$1043,8,0)</f>
        <v>Aanya Zhang</v>
      </c>
      <c r="K953" t="str">
        <f>VLOOKUP(C953,[1]Orders!$A$5:$W$1043,9,0)</f>
        <v>Medium</v>
      </c>
    </row>
    <row r="954" spans="3:11" x14ac:dyDescent="0.25">
      <c r="C954" s="61" t="s">
        <v>1046</v>
      </c>
      <c r="D954" t="str">
        <f>VLOOKUP(C954,[1]Orders!$A$5:$W$1043,3,0)</f>
        <v>Doug Jacobs</v>
      </c>
      <c r="E954">
        <f>VLOOKUP(C954,[1]Orders!$A$5:$W$1043,23,0)</f>
        <v>2901.0199999999995</v>
      </c>
      <c r="F954" t="str">
        <f>VLOOKUP(C954,[1]Orders!$A$5:$W$1043,5,0)</f>
        <v>Sydney</v>
      </c>
      <c r="G954" t="str">
        <f>VLOOKUP(C954,[1]Orders!$A$5:$W$1043,5,0)</f>
        <v>Sydney</v>
      </c>
      <c r="H954" t="str">
        <f>VLOOKUP(C954,[1]Orders!$A$5:$W$1043,6,0)</f>
        <v>NSW</v>
      </c>
      <c r="I954" t="str">
        <f>VLOOKUP(C954,[1]Orders!$A$5:$W$1043,7,0)</f>
        <v>Home Office</v>
      </c>
      <c r="J954" t="str">
        <f>VLOOKUP(C954,[1]Orders!$A$5:$W$1043,8,0)</f>
        <v>Natasha Song</v>
      </c>
      <c r="K954" t="str">
        <f>VLOOKUP(C954,[1]Orders!$A$5:$W$1043,9,0)</f>
        <v>Medium</v>
      </c>
    </row>
    <row r="955" spans="3:11" x14ac:dyDescent="0.25">
      <c r="C955" s="61" t="s">
        <v>1047</v>
      </c>
      <c r="D955" t="str">
        <f>VLOOKUP(C955,[1]Orders!$A$5:$W$1043,3,0)</f>
        <v>Chuck Clark</v>
      </c>
      <c r="E955">
        <f>VLOOKUP(C955,[1]Orders!$A$5:$W$1043,23,0)</f>
        <v>639.06999999999994</v>
      </c>
      <c r="F955" t="str">
        <f>VLOOKUP(C955,[1]Orders!$A$5:$W$1043,5,0)</f>
        <v>Sydney</v>
      </c>
      <c r="G955" t="str">
        <f>VLOOKUP(C955,[1]Orders!$A$5:$W$1043,5,0)</f>
        <v>Sydney</v>
      </c>
      <c r="H955" t="str">
        <f>VLOOKUP(C955,[1]Orders!$A$5:$W$1043,6,0)</f>
        <v>NSW</v>
      </c>
      <c r="I955" t="str">
        <f>VLOOKUP(C955,[1]Orders!$A$5:$W$1043,7,0)</f>
        <v>Corporate</v>
      </c>
      <c r="J955" t="str">
        <f>VLOOKUP(C955,[1]Orders!$A$5:$W$1043,8,0)</f>
        <v>Tina Carlton</v>
      </c>
      <c r="K955" t="str">
        <f>VLOOKUP(C955,[1]Orders!$A$5:$W$1043,9,0)</f>
        <v>Critical</v>
      </c>
    </row>
    <row r="956" spans="3:11" x14ac:dyDescent="0.25">
      <c r="C956" s="61" t="s">
        <v>1048</v>
      </c>
      <c r="D956" t="str">
        <f>VLOOKUP(C956,[1]Orders!$A$5:$W$1043,3,0)</f>
        <v>Edward Nazzal</v>
      </c>
      <c r="E956">
        <f>VLOOKUP(C956,[1]Orders!$A$5:$W$1043,23,0)</f>
        <v>127.12</v>
      </c>
      <c r="F956" t="str">
        <f>VLOOKUP(C956,[1]Orders!$A$5:$W$1043,5,0)</f>
        <v>Sydney</v>
      </c>
      <c r="G956" t="str">
        <f>VLOOKUP(C956,[1]Orders!$A$5:$W$1043,5,0)</f>
        <v>Sydney</v>
      </c>
      <c r="H956" t="str">
        <f>VLOOKUP(C956,[1]Orders!$A$5:$W$1043,6,0)</f>
        <v>NSW</v>
      </c>
      <c r="I956" t="str">
        <f>VLOOKUP(C956,[1]Orders!$A$5:$W$1043,7,0)</f>
        <v>Home Office</v>
      </c>
      <c r="J956" t="str">
        <f>VLOOKUP(C956,[1]Orders!$A$5:$W$1043,8,0)</f>
        <v>Phoebe Gour</v>
      </c>
      <c r="K956" t="str">
        <f>VLOOKUP(C956,[1]Orders!$A$5:$W$1043,9,0)</f>
        <v>Not Specified</v>
      </c>
    </row>
    <row r="957" spans="3:11" x14ac:dyDescent="0.25">
      <c r="C957" s="61" t="s">
        <v>1049</v>
      </c>
      <c r="D957" t="str">
        <f>VLOOKUP(C957,[1]Orders!$A$5:$W$1043,3,0)</f>
        <v>Todd Boyes</v>
      </c>
      <c r="E957">
        <f>VLOOKUP(C957,[1]Orders!$A$5:$W$1043,23,0)</f>
        <v>115.27</v>
      </c>
      <c r="F957" t="str">
        <f>VLOOKUP(C957,[1]Orders!$A$5:$W$1043,5,0)</f>
        <v>Sydney</v>
      </c>
      <c r="G957" t="str">
        <f>VLOOKUP(C957,[1]Orders!$A$5:$W$1043,5,0)</f>
        <v>Sydney</v>
      </c>
      <c r="H957" t="str">
        <f>VLOOKUP(C957,[1]Orders!$A$5:$W$1043,6,0)</f>
        <v>NSW</v>
      </c>
      <c r="I957" t="str">
        <f>VLOOKUP(C957,[1]Orders!$A$5:$W$1043,7,0)</f>
        <v>Small Business</v>
      </c>
      <c r="J957" t="str">
        <f>VLOOKUP(C957,[1]Orders!$A$5:$W$1043,8,0)</f>
        <v>Preston Senome</v>
      </c>
      <c r="K957" t="str">
        <f>VLOOKUP(C957,[1]Orders!$A$5:$W$1043,9,0)</f>
        <v>Not Specified</v>
      </c>
    </row>
    <row r="958" spans="3:11" x14ac:dyDescent="0.25">
      <c r="C958" s="61" t="s">
        <v>1050</v>
      </c>
      <c r="D958" t="str">
        <f>VLOOKUP(C958,[1]Orders!$A$5:$W$1043,3,0)</f>
        <v>Nicole Brennan</v>
      </c>
      <c r="E958">
        <f>VLOOKUP(C958,[1]Orders!$A$5:$W$1043,23,0)</f>
        <v>361.64</v>
      </c>
      <c r="F958" t="str">
        <f>VLOOKUP(C958,[1]Orders!$A$5:$W$1043,5,0)</f>
        <v>Sydney</v>
      </c>
      <c r="G958" t="str">
        <f>VLOOKUP(C958,[1]Orders!$A$5:$W$1043,5,0)</f>
        <v>Sydney</v>
      </c>
      <c r="H958" t="str">
        <f>VLOOKUP(C958,[1]Orders!$A$5:$W$1043,6,0)</f>
        <v>NSW</v>
      </c>
      <c r="I958" t="str">
        <f>VLOOKUP(C958,[1]Orders!$A$5:$W$1043,7,0)</f>
        <v>Consumer</v>
      </c>
      <c r="J958" t="str">
        <f>VLOOKUP(C958,[1]Orders!$A$5:$W$1043,8,0)</f>
        <v>Aanya Zhang</v>
      </c>
      <c r="K958" t="str">
        <f>VLOOKUP(C958,[1]Orders!$A$5:$W$1043,9,0)</f>
        <v>Critical</v>
      </c>
    </row>
    <row r="959" spans="3:11" x14ac:dyDescent="0.25">
      <c r="C959" s="61" t="s">
        <v>1051</v>
      </c>
      <c r="D959" t="str">
        <f>VLOOKUP(C959,[1]Orders!$A$5:$W$1043,3,0)</f>
        <v>Sean ODonnell</v>
      </c>
      <c r="E959">
        <f>VLOOKUP(C959,[1]Orders!$A$5:$W$1043,23,0)</f>
        <v>435.32999999999993</v>
      </c>
      <c r="F959" t="str">
        <f>VLOOKUP(C959,[1]Orders!$A$5:$W$1043,5,0)</f>
        <v>Melbourne</v>
      </c>
      <c r="G959" t="str">
        <f>VLOOKUP(C959,[1]Orders!$A$5:$W$1043,5,0)</f>
        <v>Melbourne</v>
      </c>
      <c r="H959" t="str">
        <f>VLOOKUP(C959,[1]Orders!$A$5:$W$1043,6,0)</f>
        <v>VIC</v>
      </c>
      <c r="I959" t="str">
        <f>VLOOKUP(C959,[1]Orders!$A$5:$W$1043,7,0)</f>
        <v>Corporate</v>
      </c>
      <c r="J959" t="str">
        <f>VLOOKUP(C959,[1]Orders!$A$5:$W$1043,8,0)</f>
        <v>Yvette Biti</v>
      </c>
      <c r="K959" t="str">
        <f>VLOOKUP(C959,[1]Orders!$A$5:$W$1043,9,0)</f>
        <v>Low</v>
      </c>
    </row>
    <row r="960" spans="3:11" x14ac:dyDescent="0.25">
      <c r="C960" s="61" t="s">
        <v>1052</v>
      </c>
      <c r="D960" t="str">
        <f>VLOOKUP(C960,[1]Orders!$A$5:$W$1043,3,0)</f>
        <v>Patrick Bzostek</v>
      </c>
      <c r="E960">
        <f>VLOOKUP(C960,[1]Orders!$A$5:$W$1043,23,0)</f>
        <v>93.639999999999986</v>
      </c>
      <c r="F960" t="str">
        <f>VLOOKUP(C960,[1]Orders!$A$5:$W$1043,5,0)</f>
        <v>Sydney</v>
      </c>
      <c r="G960" t="str">
        <f>VLOOKUP(C960,[1]Orders!$A$5:$W$1043,5,0)</f>
        <v>Sydney</v>
      </c>
      <c r="H960" t="str">
        <f>VLOOKUP(C960,[1]Orders!$A$5:$W$1043,6,0)</f>
        <v>NSW</v>
      </c>
      <c r="I960" t="str">
        <f>VLOOKUP(C960,[1]Orders!$A$5:$W$1043,7,0)</f>
        <v>Consumer</v>
      </c>
      <c r="J960" t="str">
        <f>VLOOKUP(C960,[1]Orders!$A$5:$W$1043,8,0)</f>
        <v>Preston Senome</v>
      </c>
      <c r="K960" t="str">
        <f>VLOOKUP(C960,[1]Orders!$A$5:$W$1043,9,0)</f>
        <v>Medium</v>
      </c>
    </row>
    <row r="961" spans="3:11" x14ac:dyDescent="0.25">
      <c r="C961" s="61" t="s">
        <v>1053</v>
      </c>
      <c r="D961" t="str">
        <f>VLOOKUP(C961,[1]Orders!$A$5:$W$1043,3,0)</f>
        <v>Tanja Norvell</v>
      </c>
      <c r="E961">
        <f>VLOOKUP(C961,[1]Orders!$A$5:$W$1043,23,0)</f>
        <v>65.709999999999994</v>
      </c>
      <c r="F961" t="str">
        <f>VLOOKUP(C961,[1]Orders!$A$5:$W$1043,5,0)</f>
        <v>Melbourne</v>
      </c>
      <c r="G961" t="str">
        <f>VLOOKUP(C961,[1]Orders!$A$5:$W$1043,5,0)</f>
        <v>Melbourne</v>
      </c>
      <c r="H961" t="str">
        <f>VLOOKUP(C961,[1]Orders!$A$5:$W$1043,6,0)</f>
        <v>VIC</v>
      </c>
      <c r="I961" t="str">
        <f>VLOOKUP(C961,[1]Orders!$A$5:$W$1043,7,0)</f>
        <v>Corporate</v>
      </c>
      <c r="J961" t="str">
        <f>VLOOKUP(C961,[1]Orders!$A$5:$W$1043,8,0)</f>
        <v>Yvette Biti</v>
      </c>
      <c r="K961" t="str">
        <f>VLOOKUP(C961,[1]Orders!$A$5:$W$1043,9,0)</f>
        <v>Critical</v>
      </c>
    </row>
    <row r="962" spans="3:11" x14ac:dyDescent="0.25">
      <c r="C962" s="61" t="s">
        <v>1054</v>
      </c>
      <c r="D962" t="str">
        <f>VLOOKUP(C962,[1]Orders!$A$5:$W$1043,3,0)</f>
        <v>Caroline Jumper</v>
      </c>
      <c r="E962">
        <f>VLOOKUP(C962,[1]Orders!$A$5:$W$1043,23,0)</f>
        <v>69.95</v>
      </c>
      <c r="F962" t="str">
        <f>VLOOKUP(C962,[1]Orders!$A$5:$W$1043,5,0)</f>
        <v>Sydney</v>
      </c>
      <c r="G962" t="str">
        <f>VLOOKUP(C962,[1]Orders!$A$5:$W$1043,5,0)</f>
        <v>Sydney</v>
      </c>
      <c r="H962" t="str">
        <f>VLOOKUP(C962,[1]Orders!$A$5:$W$1043,6,0)</f>
        <v>NSW</v>
      </c>
      <c r="I962" t="str">
        <f>VLOOKUP(C962,[1]Orders!$A$5:$W$1043,7,0)</f>
        <v>Corporate</v>
      </c>
      <c r="J962" t="str">
        <f>VLOOKUP(C962,[1]Orders!$A$5:$W$1043,8,0)</f>
        <v>Phoebe Gour</v>
      </c>
      <c r="K962" t="str">
        <f>VLOOKUP(C962,[1]Orders!$A$5:$W$1043,9,0)</f>
        <v>High</v>
      </c>
    </row>
    <row r="963" spans="3:11" x14ac:dyDescent="0.25">
      <c r="C963" s="61" t="s">
        <v>1055</v>
      </c>
      <c r="D963" t="str">
        <f>VLOOKUP(C963,[1]Orders!$A$5:$W$1043,3,0)</f>
        <v>Joni Sundaresam</v>
      </c>
      <c r="E963">
        <f>VLOOKUP(C963,[1]Orders!$A$5:$W$1043,23,0)</f>
        <v>331.12000000000006</v>
      </c>
      <c r="F963" t="str">
        <f>VLOOKUP(C963,[1]Orders!$A$5:$W$1043,5,0)</f>
        <v>Melbourne</v>
      </c>
      <c r="G963" t="str">
        <f>VLOOKUP(C963,[1]Orders!$A$5:$W$1043,5,0)</f>
        <v>Melbourne</v>
      </c>
      <c r="H963" t="str">
        <f>VLOOKUP(C963,[1]Orders!$A$5:$W$1043,6,0)</f>
        <v>VIC</v>
      </c>
      <c r="I963" t="str">
        <f>VLOOKUP(C963,[1]Orders!$A$5:$W$1043,7,0)</f>
        <v>Home Office</v>
      </c>
      <c r="J963" t="str">
        <f>VLOOKUP(C963,[1]Orders!$A$5:$W$1043,8,0)</f>
        <v>Connor Betts</v>
      </c>
      <c r="K963" t="str">
        <f>VLOOKUP(C963,[1]Orders!$A$5:$W$1043,9,0)</f>
        <v>Low</v>
      </c>
    </row>
    <row r="964" spans="3:11" x14ac:dyDescent="0.25">
      <c r="C964" s="61" t="s">
        <v>1056</v>
      </c>
      <c r="D964" t="str">
        <f>VLOOKUP(C964,[1]Orders!$A$5:$W$1043,3,0)</f>
        <v>Logan Haushalter</v>
      </c>
      <c r="E964">
        <f>VLOOKUP(C964,[1]Orders!$A$5:$W$1043,23,0)</f>
        <v>76.069999999999993</v>
      </c>
      <c r="F964" t="str">
        <f>VLOOKUP(C964,[1]Orders!$A$5:$W$1043,5,0)</f>
        <v>Melbourne</v>
      </c>
      <c r="G964" t="str">
        <f>VLOOKUP(C964,[1]Orders!$A$5:$W$1043,5,0)</f>
        <v>Melbourne</v>
      </c>
      <c r="H964" t="str">
        <f>VLOOKUP(C964,[1]Orders!$A$5:$W$1043,6,0)</f>
        <v>VIC</v>
      </c>
      <c r="I964" t="str">
        <f>VLOOKUP(C964,[1]Orders!$A$5:$W$1043,7,0)</f>
        <v>Corporate</v>
      </c>
      <c r="J964" t="str">
        <f>VLOOKUP(C964,[1]Orders!$A$5:$W$1043,8,0)</f>
        <v>Yvette Biti</v>
      </c>
      <c r="K964" t="str">
        <f>VLOOKUP(C964,[1]Orders!$A$5:$W$1043,9,0)</f>
        <v>Critical</v>
      </c>
    </row>
    <row r="965" spans="3:11" x14ac:dyDescent="0.25">
      <c r="C965" s="61" t="s">
        <v>1057</v>
      </c>
      <c r="D965" t="str">
        <f>VLOOKUP(C965,[1]Orders!$A$5:$W$1043,3,0)</f>
        <v>Pierre Wener</v>
      </c>
      <c r="E965">
        <f>VLOOKUP(C965,[1]Orders!$A$5:$W$1043,23,0)</f>
        <v>183.73</v>
      </c>
      <c r="F965" t="str">
        <f>VLOOKUP(C965,[1]Orders!$A$5:$W$1043,5,0)</f>
        <v>Sydney</v>
      </c>
      <c r="G965" t="str">
        <f>VLOOKUP(C965,[1]Orders!$A$5:$W$1043,5,0)</f>
        <v>Sydney</v>
      </c>
      <c r="H965" t="str">
        <f>VLOOKUP(C965,[1]Orders!$A$5:$W$1043,6,0)</f>
        <v>NSW</v>
      </c>
      <c r="I965" t="str">
        <f>VLOOKUP(C965,[1]Orders!$A$5:$W$1043,7,0)</f>
        <v>Home Office</v>
      </c>
      <c r="J965" t="str">
        <f>VLOOKUP(C965,[1]Orders!$A$5:$W$1043,8,0)</f>
        <v>Mihael Khan</v>
      </c>
      <c r="K965" t="str">
        <f>VLOOKUP(C965,[1]Orders!$A$5:$W$1043,9,0)</f>
        <v>Critical</v>
      </c>
    </row>
    <row r="966" spans="3:11" x14ac:dyDescent="0.25">
      <c r="C966" s="61" t="s">
        <v>1058</v>
      </c>
      <c r="D966" t="str">
        <f>VLOOKUP(C966,[1]Orders!$A$5:$W$1043,3,0)</f>
        <v>Rick Wilson</v>
      </c>
      <c r="E966">
        <f>VLOOKUP(C966,[1]Orders!$A$5:$W$1043,23,0)</f>
        <v>538.93999999999994</v>
      </c>
      <c r="F966" t="str">
        <f>VLOOKUP(C966,[1]Orders!$A$5:$W$1043,5,0)</f>
        <v>Sydney</v>
      </c>
      <c r="G966" t="str">
        <f>VLOOKUP(C966,[1]Orders!$A$5:$W$1043,5,0)</f>
        <v>Sydney</v>
      </c>
      <c r="H966" t="str">
        <f>VLOOKUP(C966,[1]Orders!$A$5:$W$1043,6,0)</f>
        <v>NSW</v>
      </c>
      <c r="I966" t="str">
        <f>VLOOKUP(C966,[1]Orders!$A$5:$W$1043,7,0)</f>
        <v>Corporate</v>
      </c>
      <c r="J966" t="str">
        <f>VLOOKUP(C966,[1]Orders!$A$5:$W$1043,8,0)</f>
        <v>Samantha Chairs</v>
      </c>
      <c r="K966" t="str">
        <f>VLOOKUP(C966,[1]Orders!$A$5:$W$1043,9,0)</f>
        <v>Medium</v>
      </c>
    </row>
    <row r="967" spans="3:11" x14ac:dyDescent="0.25">
      <c r="C967" s="61" t="s">
        <v>1059</v>
      </c>
      <c r="D967" t="str">
        <f>VLOOKUP(C967,[1]Orders!$A$5:$W$1043,3,0)</f>
        <v>Roy Phan</v>
      </c>
      <c r="E967">
        <f>VLOOKUP(C967,[1]Orders!$A$5:$W$1043,23,0)</f>
        <v>139.02000000000004</v>
      </c>
      <c r="F967" t="str">
        <f>VLOOKUP(C967,[1]Orders!$A$5:$W$1043,5,0)</f>
        <v>Melbourne</v>
      </c>
      <c r="G967" t="str">
        <f>VLOOKUP(C967,[1]Orders!$A$5:$W$1043,5,0)</f>
        <v>Melbourne</v>
      </c>
      <c r="H967" t="str">
        <f>VLOOKUP(C967,[1]Orders!$A$5:$W$1043,6,0)</f>
        <v>VIC</v>
      </c>
      <c r="I967" t="str">
        <f>VLOOKUP(C967,[1]Orders!$A$5:$W$1043,7,0)</f>
        <v>Corporate</v>
      </c>
      <c r="J967" t="str">
        <f>VLOOKUP(C967,[1]Orders!$A$5:$W$1043,8,0)</f>
        <v>Connor Betts</v>
      </c>
      <c r="K967" t="str">
        <f>VLOOKUP(C967,[1]Orders!$A$5:$W$1043,9,0)</f>
        <v>Medium</v>
      </c>
    </row>
    <row r="968" spans="3:11" x14ac:dyDescent="0.25">
      <c r="C968" s="61" t="s">
        <v>1060</v>
      </c>
      <c r="D968" t="str">
        <f>VLOOKUP(C968,[1]Orders!$A$5:$W$1043,3,0)</f>
        <v>George Zrebassa</v>
      </c>
      <c r="E968">
        <f>VLOOKUP(C968,[1]Orders!$A$5:$W$1043,23,0)</f>
        <v>280.47999999999996</v>
      </c>
      <c r="F968" t="str">
        <f>VLOOKUP(C968,[1]Orders!$A$5:$W$1043,5,0)</f>
        <v>Sydney</v>
      </c>
      <c r="G968" t="str">
        <f>VLOOKUP(C968,[1]Orders!$A$5:$W$1043,5,0)</f>
        <v>Sydney</v>
      </c>
      <c r="H968" t="str">
        <f>VLOOKUP(C968,[1]Orders!$A$5:$W$1043,6,0)</f>
        <v>NSW</v>
      </c>
      <c r="I968" t="str">
        <f>VLOOKUP(C968,[1]Orders!$A$5:$W$1043,7,0)</f>
        <v>Home Office</v>
      </c>
      <c r="J968" t="str">
        <f>VLOOKUP(C968,[1]Orders!$A$5:$W$1043,8,0)</f>
        <v>Samantha Chairs</v>
      </c>
      <c r="K968" t="str">
        <f>VLOOKUP(C968,[1]Orders!$A$5:$W$1043,9,0)</f>
        <v>Not Specified</v>
      </c>
    </row>
    <row r="969" spans="3:11" x14ac:dyDescent="0.25">
      <c r="C969" s="61" t="s">
        <v>1061</v>
      </c>
      <c r="D969" t="str">
        <f>VLOOKUP(C969,[1]Orders!$A$5:$W$1043,3,0)</f>
        <v>Liz Carlisle</v>
      </c>
      <c r="E969">
        <f>VLOOKUP(C969,[1]Orders!$A$5:$W$1043,23,0)</f>
        <v>6715.59</v>
      </c>
      <c r="F969" t="str">
        <f>VLOOKUP(C969,[1]Orders!$A$5:$W$1043,5,0)</f>
        <v>Sydney</v>
      </c>
      <c r="G969" t="str">
        <f>VLOOKUP(C969,[1]Orders!$A$5:$W$1043,5,0)</f>
        <v>Sydney</v>
      </c>
      <c r="H969" t="str">
        <f>VLOOKUP(C969,[1]Orders!$A$5:$W$1043,6,0)</f>
        <v>NSW</v>
      </c>
      <c r="I969" t="str">
        <f>VLOOKUP(C969,[1]Orders!$A$5:$W$1043,7,0)</f>
        <v>Corporate</v>
      </c>
      <c r="J969" t="str">
        <f>VLOOKUP(C969,[1]Orders!$A$5:$W$1043,8,0)</f>
        <v>Phoebe Gour</v>
      </c>
      <c r="K969" t="str">
        <f>VLOOKUP(C969,[1]Orders!$A$5:$W$1043,9,0)</f>
        <v>Critical</v>
      </c>
    </row>
    <row r="970" spans="3:11" x14ac:dyDescent="0.25">
      <c r="C970" s="61" t="s">
        <v>1062</v>
      </c>
      <c r="D970" t="str">
        <f>VLOOKUP(C970,[1]Orders!$A$5:$W$1043,3,0)</f>
        <v>Cassandra Brandow</v>
      </c>
      <c r="E970">
        <f>VLOOKUP(C970,[1]Orders!$A$5:$W$1043,23,0)</f>
        <v>196.72</v>
      </c>
      <c r="F970" t="str">
        <f>VLOOKUP(C970,[1]Orders!$A$5:$W$1043,5,0)</f>
        <v>Sydney</v>
      </c>
      <c r="G970" t="str">
        <f>VLOOKUP(C970,[1]Orders!$A$5:$W$1043,5,0)</f>
        <v>Sydney</v>
      </c>
      <c r="H970" t="str">
        <f>VLOOKUP(C970,[1]Orders!$A$5:$W$1043,6,0)</f>
        <v>NSW</v>
      </c>
      <c r="I970" t="str">
        <f>VLOOKUP(C970,[1]Orders!$A$5:$W$1043,7,0)</f>
        <v>Home Office</v>
      </c>
      <c r="J970" t="str">
        <f>VLOOKUP(C970,[1]Orders!$A$5:$W$1043,8,0)</f>
        <v>Leighton Forrest</v>
      </c>
      <c r="K970" t="str">
        <f>VLOOKUP(C970,[1]Orders!$A$5:$W$1043,9,0)</f>
        <v>Not Specified</v>
      </c>
    </row>
    <row r="971" spans="3:11" x14ac:dyDescent="0.25">
      <c r="C971" s="61" t="s">
        <v>1063</v>
      </c>
      <c r="D971" t="str">
        <f>VLOOKUP(C971,[1]Orders!$A$5:$W$1043,3,0)</f>
        <v>Valerie Mitchum</v>
      </c>
      <c r="E971">
        <f>VLOOKUP(C971,[1]Orders!$A$5:$W$1043,23,0)</f>
        <v>1074.1500000000001</v>
      </c>
      <c r="F971" t="str">
        <f>VLOOKUP(C971,[1]Orders!$A$5:$W$1043,5,0)</f>
        <v>Sydney</v>
      </c>
      <c r="G971" t="str">
        <f>VLOOKUP(C971,[1]Orders!$A$5:$W$1043,5,0)</f>
        <v>Sydney</v>
      </c>
      <c r="H971" t="str">
        <f>VLOOKUP(C971,[1]Orders!$A$5:$W$1043,6,0)</f>
        <v>NSW</v>
      </c>
      <c r="I971" t="str">
        <f>VLOOKUP(C971,[1]Orders!$A$5:$W$1043,7,0)</f>
        <v>Home Office</v>
      </c>
      <c r="J971" t="str">
        <f>VLOOKUP(C971,[1]Orders!$A$5:$W$1043,8,0)</f>
        <v>Natasha Song</v>
      </c>
      <c r="K971" t="str">
        <f>VLOOKUP(C971,[1]Orders!$A$5:$W$1043,9,0)</f>
        <v>Not Specified</v>
      </c>
    </row>
    <row r="972" spans="3:11" x14ac:dyDescent="0.25">
      <c r="C972" s="61" t="s">
        <v>1064</v>
      </c>
      <c r="D972" t="str">
        <f>VLOOKUP(C972,[1]Orders!$A$5:$W$1043,3,0)</f>
        <v>Roland Murray</v>
      </c>
      <c r="E972">
        <f>VLOOKUP(C972,[1]Orders!$A$5:$W$1043,23,0)</f>
        <v>118.99000000000001</v>
      </c>
      <c r="F972" t="str">
        <f>VLOOKUP(C972,[1]Orders!$A$5:$W$1043,5,0)</f>
        <v>Sydney</v>
      </c>
      <c r="G972" t="str">
        <f>VLOOKUP(C972,[1]Orders!$A$5:$W$1043,5,0)</f>
        <v>Sydney</v>
      </c>
      <c r="H972" t="str">
        <f>VLOOKUP(C972,[1]Orders!$A$5:$W$1043,6,0)</f>
        <v>NSW</v>
      </c>
      <c r="I972" t="str">
        <f>VLOOKUP(C972,[1]Orders!$A$5:$W$1043,7,0)</f>
        <v>Home Office</v>
      </c>
      <c r="J972" t="str">
        <f>VLOOKUP(C972,[1]Orders!$A$5:$W$1043,8,0)</f>
        <v>Nicholas Fernandes</v>
      </c>
      <c r="K972" t="str">
        <f>VLOOKUP(C972,[1]Orders!$A$5:$W$1043,9,0)</f>
        <v>Low</v>
      </c>
    </row>
    <row r="973" spans="3:11" x14ac:dyDescent="0.25">
      <c r="C973" s="61" t="s">
        <v>1065</v>
      </c>
      <c r="D973" t="str">
        <f>VLOOKUP(C973,[1]Orders!$A$5:$W$1043,3,0)</f>
        <v>Sheri Gordon</v>
      </c>
      <c r="E973">
        <f>VLOOKUP(C973,[1]Orders!$A$5:$W$1043,23,0)</f>
        <v>220.97</v>
      </c>
      <c r="F973" t="str">
        <f>VLOOKUP(C973,[1]Orders!$A$5:$W$1043,5,0)</f>
        <v>Sydney</v>
      </c>
      <c r="G973" t="str">
        <f>VLOOKUP(C973,[1]Orders!$A$5:$W$1043,5,0)</f>
        <v>Sydney</v>
      </c>
      <c r="H973" t="str">
        <f>VLOOKUP(C973,[1]Orders!$A$5:$W$1043,6,0)</f>
        <v>NSW</v>
      </c>
      <c r="I973" t="str">
        <f>VLOOKUP(C973,[1]Orders!$A$5:$W$1043,7,0)</f>
        <v>Corporate</v>
      </c>
      <c r="J973" t="str">
        <f>VLOOKUP(C973,[1]Orders!$A$5:$W$1043,8,0)</f>
        <v>Tina Carlton</v>
      </c>
      <c r="K973" t="str">
        <f>VLOOKUP(C973,[1]Orders!$A$5:$W$1043,9,0)</f>
        <v>Not Specified</v>
      </c>
    </row>
    <row r="974" spans="3:11" x14ac:dyDescent="0.25">
      <c r="C974" s="61" t="s">
        <v>1066</v>
      </c>
      <c r="D974" t="str">
        <f>VLOOKUP(C974,[1]Orders!$A$5:$W$1043,3,0)</f>
        <v>Bill Shonely</v>
      </c>
      <c r="E974">
        <f>VLOOKUP(C974,[1]Orders!$A$5:$W$1043,23,0)</f>
        <v>33.64</v>
      </c>
      <c r="F974" t="str">
        <f>VLOOKUP(C974,[1]Orders!$A$5:$W$1043,5,0)</f>
        <v>Sydney</v>
      </c>
      <c r="G974" t="str">
        <f>VLOOKUP(C974,[1]Orders!$A$5:$W$1043,5,0)</f>
        <v>Sydney</v>
      </c>
      <c r="H974" t="str">
        <f>VLOOKUP(C974,[1]Orders!$A$5:$W$1043,6,0)</f>
        <v>NSW</v>
      </c>
      <c r="I974" t="str">
        <f>VLOOKUP(C974,[1]Orders!$A$5:$W$1043,7,0)</f>
        <v>Small Business</v>
      </c>
      <c r="J974" t="str">
        <f>VLOOKUP(C974,[1]Orders!$A$5:$W$1043,8,0)</f>
        <v>Natasha Song</v>
      </c>
      <c r="K974" t="str">
        <f>VLOOKUP(C974,[1]Orders!$A$5:$W$1043,9,0)</f>
        <v>Low</v>
      </c>
    </row>
    <row r="975" spans="3:11" x14ac:dyDescent="0.25">
      <c r="C975" s="61" t="s">
        <v>1067</v>
      </c>
      <c r="D975" t="str">
        <f>VLOOKUP(C975,[1]Orders!$A$5:$W$1043,3,0)</f>
        <v>Ken Black</v>
      </c>
      <c r="E975">
        <f>VLOOKUP(C975,[1]Orders!$A$5:$W$1043,23,0)</f>
        <v>928.57999999999993</v>
      </c>
      <c r="F975" t="str">
        <f>VLOOKUP(C975,[1]Orders!$A$5:$W$1043,5,0)</f>
        <v>Sydney</v>
      </c>
      <c r="G975" t="str">
        <f>VLOOKUP(C975,[1]Orders!$A$5:$W$1043,5,0)</f>
        <v>Sydney</v>
      </c>
      <c r="H975" t="str">
        <f>VLOOKUP(C975,[1]Orders!$A$5:$W$1043,6,0)</f>
        <v>NSW</v>
      </c>
      <c r="I975" t="str">
        <f>VLOOKUP(C975,[1]Orders!$A$5:$W$1043,7,0)</f>
        <v>Consumer</v>
      </c>
      <c r="J975" t="str">
        <f>VLOOKUP(C975,[1]Orders!$A$5:$W$1043,8,0)</f>
        <v>Natasha Song</v>
      </c>
      <c r="K975" t="str">
        <f>VLOOKUP(C975,[1]Orders!$A$5:$W$1043,9,0)</f>
        <v>Low</v>
      </c>
    </row>
    <row r="976" spans="3:11" x14ac:dyDescent="0.25">
      <c r="C976" s="61" t="s">
        <v>1068</v>
      </c>
      <c r="D976" t="str">
        <f>VLOOKUP(C976,[1]Orders!$A$5:$W$1043,3,0)</f>
        <v>Carol Triggs</v>
      </c>
      <c r="E976">
        <f>VLOOKUP(C976,[1]Orders!$A$5:$W$1043,23,0)</f>
        <v>73.75</v>
      </c>
      <c r="F976" t="str">
        <f>VLOOKUP(C976,[1]Orders!$A$5:$W$1043,5,0)</f>
        <v>Sydney</v>
      </c>
      <c r="G976" t="str">
        <f>VLOOKUP(C976,[1]Orders!$A$5:$W$1043,5,0)</f>
        <v>Sydney</v>
      </c>
      <c r="H976" t="str">
        <f>VLOOKUP(C976,[1]Orders!$A$5:$W$1043,6,0)</f>
        <v>NSW</v>
      </c>
      <c r="I976" t="str">
        <f>VLOOKUP(C976,[1]Orders!$A$5:$W$1043,7,0)</f>
        <v>Home Office</v>
      </c>
      <c r="J976" t="str">
        <f>VLOOKUP(C976,[1]Orders!$A$5:$W$1043,8,0)</f>
        <v>Radhya Staples</v>
      </c>
      <c r="K976" t="str">
        <f>VLOOKUP(C976,[1]Orders!$A$5:$W$1043,9,0)</f>
        <v>Low</v>
      </c>
    </row>
    <row r="977" spans="3:11" x14ac:dyDescent="0.25">
      <c r="C977" s="61" t="s">
        <v>1069</v>
      </c>
      <c r="D977" t="str">
        <f>VLOOKUP(C977,[1]Orders!$A$5:$W$1043,3,0)</f>
        <v>Stephanie Ulpright</v>
      </c>
      <c r="E977">
        <f>VLOOKUP(C977,[1]Orders!$A$5:$W$1043,23,0)</f>
        <v>57.360000000000007</v>
      </c>
      <c r="F977" t="str">
        <f>VLOOKUP(C977,[1]Orders!$A$5:$W$1043,5,0)</f>
        <v>Melbourne</v>
      </c>
      <c r="G977" t="str">
        <f>VLOOKUP(C977,[1]Orders!$A$5:$W$1043,5,0)</f>
        <v>Melbourne</v>
      </c>
      <c r="H977" t="str">
        <f>VLOOKUP(C977,[1]Orders!$A$5:$W$1043,6,0)</f>
        <v>VIC</v>
      </c>
      <c r="I977" t="str">
        <f>VLOOKUP(C977,[1]Orders!$A$5:$W$1043,7,0)</f>
        <v>Consumer</v>
      </c>
      <c r="J977" t="str">
        <f>VLOOKUP(C977,[1]Orders!$A$5:$W$1043,8,0)</f>
        <v>Yvette Biti</v>
      </c>
      <c r="K977" t="str">
        <f>VLOOKUP(C977,[1]Orders!$A$5:$W$1043,9,0)</f>
        <v>Not Specified</v>
      </c>
    </row>
    <row r="978" spans="3:11" x14ac:dyDescent="0.25">
      <c r="C978" s="61" t="s">
        <v>1070</v>
      </c>
      <c r="D978" t="str">
        <f>VLOOKUP(C978,[1]Orders!$A$5:$W$1043,3,0)</f>
        <v>Luke Foster</v>
      </c>
      <c r="E978">
        <f>VLOOKUP(C978,[1]Orders!$A$5:$W$1043,23,0)</f>
        <v>83.64</v>
      </c>
      <c r="F978" t="str">
        <f>VLOOKUP(C978,[1]Orders!$A$5:$W$1043,5,0)</f>
        <v>Sydney</v>
      </c>
      <c r="G978" t="str">
        <f>VLOOKUP(C978,[1]Orders!$A$5:$W$1043,5,0)</f>
        <v>Sydney</v>
      </c>
      <c r="H978" t="str">
        <f>VLOOKUP(C978,[1]Orders!$A$5:$W$1043,6,0)</f>
        <v>NSW</v>
      </c>
      <c r="I978" t="str">
        <f>VLOOKUP(C978,[1]Orders!$A$5:$W$1043,7,0)</f>
        <v>Corporate</v>
      </c>
      <c r="J978" t="str">
        <f>VLOOKUP(C978,[1]Orders!$A$5:$W$1043,8,0)</f>
        <v>Nicholas Fernandes</v>
      </c>
      <c r="K978" t="str">
        <f>VLOOKUP(C978,[1]Orders!$A$5:$W$1043,9,0)</f>
        <v>High</v>
      </c>
    </row>
    <row r="979" spans="3:11" x14ac:dyDescent="0.25">
      <c r="C979" s="61" t="s">
        <v>1071</v>
      </c>
      <c r="D979" t="str">
        <f>VLOOKUP(C979,[1]Orders!$A$5:$W$1043,3,0)</f>
        <v>Cyra Reiten</v>
      </c>
      <c r="E979">
        <f>VLOOKUP(C979,[1]Orders!$A$5:$W$1043,23,0)</f>
        <v>745.50999999999988</v>
      </c>
      <c r="F979" t="str">
        <f>VLOOKUP(C979,[1]Orders!$A$5:$W$1043,5,0)</f>
        <v>Sydney</v>
      </c>
      <c r="G979" t="str">
        <f>VLOOKUP(C979,[1]Orders!$A$5:$W$1043,5,0)</f>
        <v>Sydney</v>
      </c>
      <c r="H979" t="str">
        <f>VLOOKUP(C979,[1]Orders!$A$5:$W$1043,6,0)</f>
        <v>NSW</v>
      </c>
      <c r="I979" t="str">
        <f>VLOOKUP(C979,[1]Orders!$A$5:$W$1043,7,0)</f>
        <v>Consumer</v>
      </c>
      <c r="J979" t="str">
        <f>VLOOKUP(C979,[1]Orders!$A$5:$W$1043,8,0)</f>
        <v>Nicholas Fernandes</v>
      </c>
      <c r="K979" t="str">
        <f>VLOOKUP(C979,[1]Orders!$A$5:$W$1043,9,0)</f>
        <v>Not Specified</v>
      </c>
    </row>
    <row r="980" spans="3:11" x14ac:dyDescent="0.25">
      <c r="C980" s="61" t="s">
        <v>1072</v>
      </c>
      <c r="D980" t="str">
        <f>VLOOKUP(C980,[1]Orders!$A$5:$W$1043,3,0)</f>
        <v>Dan Campbell</v>
      </c>
      <c r="E980">
        <f>VLOOKUP(C980,[1]Orders!$A$5:$W$1043,23,0)</f>
        <v>484.21</v>
      </c>
      <c r="F980" t="str">
        <f>VLOOKUP(C980,[1]Orders!$A$5:$W$1043,5,0)</f>
        <v>Sydney</v>
      </c>
      <c r="G980" t="str">
        <f>VLOOKUP(C980,[1]Orders!$A$5:$W$1043,5,0)</f>
        <v>Sydney</v>
      </c>
      <c r="H980" t="str">
        <f>VLOOKUP(C980,[1]Orders!$A$5:$W$1043,6,0)</f>
        <v>NSW</v>
      </c>
      <c r="I980" t="str">
        <f>VLOOKUP(C980,[1]Orders!$A$5:$W$1043,7,0)</f>
        <v>Small Business</v>
      </c>
      <c r="J980" t="str">
        <f>VLOOKUP(C980,[1]Orders!$A$5:$W$1043,8,0)</f>
        <v>Leighton Forrest</v>
      </c>
      <c r="K980" t="str">
        <f>VLOOKUP(C980,[1]Orders!$A$5:$W$1043,9,0)</f>
        <v>Not Specified</v>
      </c>
    </row>
    <row r="981" spans="3:11" x14ac:dyDescent="0.25">
      <c r="C981" s="61" t="s">
        <v>1073</v>
      </c>
      <c r="D981" t="str">
        <f>VLOOKUP(C981,[1]Orders!$A$5:$W$1043,3,0)</f>
        <v>Ryan Crowe</v>
      </c>
      <c r="E981">
        <f>VLOOKUP(C981,[1]Orders!$A$5:$W$1043,23,0)</f>
        <v>129.58000000000001</v>
      </c>
      <c r="F981" t="str">
        <f>VLOOKUP(C981,[1]Orders!$A$5:$W$1043,5,0)</f>
        <v>Sydney</v>
      </c>
      <c r="G981" t="str">
        <f>VLOOKUP(C981,[1]Orders!$A$5:$W$1043,5,0)</f>
        <v>Sydney</v>
      </c>
      <c r="H981" t="str">
        <f>VLOOKUP(C981,[1]Orders!$A$5:$W$1043,6,0)</f>
        <v>NSW</v>
      </c>
      <c r="I981" t="str">
        <f>VLOOKUP(C981,[1]Orders!$A$5:$W$1043,7,0)</f>
        <v>Small Business</v>
      </c>
      <c r="J981" t="str">
        <f>VLOOKUP(C981,[1]Orders!$A$5:$W$1043,8,0)</f>
        <v>Mihael Khan</v>
      </c>
      <c r="K981" t="str">
        <f>VLOOKUP(C981,[1]Orders!$A$5:$W$1043,9,0)</f>
        <v>Low</v>
      </c>
    </row>
    <row r="982" spans="3:11" x14ac:dyDescent="0.25">
      <c r="C982" s="61" t="s">
        <v>1074</v>
      </c>
      <c r="D982" t="str">
        <f>VLOOKUP(C982,[1]Orders!$A$5:$W$1043,3,0)</f>
        <v>Alan Barnes</v>
      </c>
      <c r="E982">
        <f>VLOOKUP(C982,[1]Orders!$A$5:$W$1043,23,0)</f>
        <v>30.91</v>
      </c>
      <c r="F982" t="str">
        <f>VLOOKUP(C982,[1]Orders!$A$5:$W$1043,5,0)</f>
        <v>Sydney</v>
      </c>
      <c r="G982" t="str">
        <f>VLOOKUP(C982,[1]Orders!$A$5:$W$1043,5,0)</f>
        <v>Sydney</v>
      </c>
      <c r="H982" t="str">
        <f>VLOOKUP(C982,[1]Orders!$A$5:$W$1043,6,0)</f>
        <v>NSW</v>
      </c>
      <c r="I982" t="str">
        <f>VLOOKUP(C982,[1]Orders!$A$5:$W$1043,7,0)</f>
        <v>Corporate</v>
      </c>
      <c r="J982" t="str">
        <f>VLOOKUP(C982,[1]Orders!$A$5:$W$1043,8,0)</f>
        <v>Natasha Song</v>
      </c>
      <c r="K982" t="str">
        <f>VLOOKUP(C982,[1]Orders!$A$5:$W$1043,9,0)</f>
        <v>Medium</v>
      </c>
    </row>
    <row r="983" spans="3:11" x14ac:dyDescent="0.25">
      <c r="C983" s="61" t="s">
        <v>1075</v>
      </c>
      <c r="D983" t="str">
        <f>VLOOKUP(C983,[1]Orders!$A$5:$W$1043,3,0)</f>
        <v>Jonathan Doherty</v>
      </c>
      <c r="E983">
        <f>VLOOKUP(C983,[1]Orders!$A$5:$W$1043,23,0)</f>
        <v>116.1</v>
      </c>
      <c r="F983" t="str">
        <f>VLOOKUP(C983,[1]Orders!$A$5:$W$1043,5,0)</f>
        <v>Sydney</v>
      </c>
      <c r="G983" t="str">
        <f>VLOOKUP(C983,[1]Orders!$A$5:$W$1043,5,0)</f>
        <v>Sydney</v>
      </c>
      <c r="H983" t="str">
        <f>VLOOKUP(C983,[1]Orders!$A$5:$W$1043,6,0)</f>
        <v>NSW</v>
      </c>
      <c r="I983" t="str">
        <f>VLOOKUP(C983,[1]Orders!$A$5:$W$1043,7,0)</f>
        <v>Corporate</v>
      </c>
      <c r="J983" t="str">
        <f>VLOOKUP(C983,[1]Orders!$A$5:$W$1043,8,0)</f>
        <v>Tina Carlton</v>
      </c>
      <c r="K983" t="str">
        <f>VLOOKUP(C983,[1]Orders!$A$5:$W$1043,9,0)</f>
        <v>High</v>
      </c>
    </row>
    <row r="984" spans="3:11" x14ac:dyDescent="0.25">
      <c r="C984" s="61" t="s">
        <v>1076</v>
      </c>
      <c r="D984" t="str">
        <f>VLOOKUP(C984,[1]Orders!$A$5:$W$1043,3,0)</f>
        <v>Michael Paige</v>
      </c>
      <c r="E984">
        <f>VLOOKUP(C984,[1]Orders!$A$5:$W$1043,23,0)</f>
        <v>882.55</v>
      </c>
      <c r="F984" t="str">
        <f>VLOOKUP(C984,[1]Orders!$A$5:$W$1043,5,0)</f>
        <v>Melbourne</v>
      </c>
      <c r="G984" t="str">
        <f>VLOOKUP(C984,[1]Orders!$A$5:$W$1043,5,0)</f>
        <v>Melbourne</v>
      </c>
      <c r="H984" t="str">
        <f>VLOOKUP(C984,[1]Orders!$A$5:$W$1043,6,0)</f>
        <v>VIC</v>
      </c>
      <c r="I984" t="str">
        <f>VLOOKUP(C984,[1]Orders!$A$5:$W$1043,7,0)</f>
        <v>Small Business</v>
      </c>
      <c r="J984" t="str">
        <f>VLOOKUP(C984,[1]Orders!$A$5:$W$1043,8,0)</f>
        <v>Connor Betts</v>
      </c>
      <c r="K984" t="str">
        <f>VLOOKUP(C984,[1]Orders!$A$5:$W$1043,9,0)</f>
        <v>High</v>
      </c>
    </row>
    <row r="985" spans="3:11" x14ac:dyDescent="0.25">
      <c r="C985" s="61" t="s">
        <v>1077</v>
      </c>
      <c r="D985" t="str">
        <f>VLOOKUP(C985,[1]Orders!$A$5:$W$1043,3,0)</f>
        <v>Saphhira Shifley</v>
      </c>
      <c r="E985">
        <f>VLOOKUP(C985,[1]Orders!$A$5:$W$1043,23,0)</f>
        <v>793.38</v>
      </c>
      <c r="F985" t="str">
        <f>VLOOKUP(C985,[1]Orders!$A$5:$W$1043,5,0)</f>
        <v>Sydney</v>
      </c>
      <c r="G985" t="str">
        <f>VLOOKUP(C985,[1]Orders!$A$5:$W$1043,5,0)</f>
        <v>Sydney</v>
      </c>
      <c r="H985" t="str">
        <f>VLOOKUP(C985,[1]Orders!$A$5:$W$1043,6,0)</f>
        <v>NSW</v>
      </c>
      <c r="I985" t="str">
        <f>VLOOKUP(C985,[1]Orders!$A$5:$W$1043,7,0)</f>
        <v>Corporate</v>
      </c>
      <c r="J985" t="str">
        <f>VLOOKUP(C985,[1]Orders!$A$5:$W$1043,8,0)</f>
        <v>Preston Senome</v>
      </c>
      <c r="K985" t="str">
        <f>VLOOKUP(C985,[1]Orders!$A$5:$W$1043,9,0)</f>
        <v>Medium</v>
      </c>
    </row>
    <row r="986" spans="3:11" x14ac:dyDescent="0.25">
      <c r="C986" s="61" t="s">
        <v>1078</v>
      </c>
      <c r="D986" t="str">
        <f>VLOOKUP(C986,[1]Orders!$A$5:$W$1043,3,0)</f>
        <v>Tony Sayre</v>
      </c>
      <c r="E986">
        <f>VLOOKUP(C986,[1]Orders!$A$5:$W$1043,23,0)</f>
        <v>40.57</v>
      </c>
      <c r="F986" t="str">
        <f>VLOOKUP(C986,[1]Orders!$A$5:$W$1043,5,0)</f>
        <v>Melbourne</v>
      </c>
      <c r="G986" t="str">
        <f>VLOOKUP(C986,[1]Orders!$A$5:$W$1043,5,0)</f>
        <v>Melbourne</v>
      </c>
      <c r="H986" t="str">
        <f>VLOOKUP(C986,[1]Orders!$A$5:$W$1043,6,0)</f>
        <v>VIC</v>
      </c>
      <c r="I986" t="str">
        <f>VLOOKUP(C986,[1]Orders!$A$5:$W$1043,7,0)</f>
        <v>Home Office</v>
      </c>
      <c r="J986" t="str">
        <f>VLOOKUP(C986,[1]Orders!$A$5:$W$1043,8,0)</f>
        <v>Yvette Biti</v>
      </c>
      <c r="K986" t="str">
        <f>VLOOKUP(C986,[1]Orders!$A$5:$W$1043,9,0)</f>
        <v>Critical</v>
      </c>
    </row>
    <row r="987" spans="3:11" x14ac:dyDescent="0.25">
      <c r="C987" s="61" t="s">
        <v>1079</v>
      </c>
      <c r="D987" t="str">
        <f>VLOOKUP(C987,[1]Orders!$A$5:$W$1043,3,0)</f>
        <v>Becky Pak</v>
      </c>
      <c r="E987">
        <f>VLOOKUP(C987,[1]Orders!$A$5:$W$1043,23,0)</f>
        <v>58.099999999999994</v>
      </c>
      <c r="F987" t="str">
        <f>VLOOKUP(C987,[1]Orders!$A$5:$W$1043,5,0)</f>
        <v>Sydney</v>
      </c>
      <c r="G987" t="str">
        <f>VLOOKUP(C987,[1]Orders!$A$5:$W$1043,5,0)</f>
        <v>Sydney</v>
      </c>
      <c r="H987" t="str">
        <f>VLOOKUP(C987,[1]Orders!$A$5:$W$1043,6,0)</f>
        <v>NSW</v>
      </c>
      <c r="I987" t="str">
        <f>VLOOKUP(C987,[1]Orders!$A$5:$W$1043,7,0)</f>
        <v>Corporate</v>
      </c>
      <c r="J987" t="str">
        <f>VLOOKUP(C987,[1]Orders!$A$5:$W$1043,8,0)</f>
        <v>Aanya Zhang</v>
      </c>
      <c r="K987" t="str">
        <f>VLOOKUP(C987,[1]Orders!$A$5:$W$1043,9,0)</f>
        <v>Low</v>
      </c>
    </row>
    <row r="988" spans="3:11" x14ac:dyDescent="0.25">
      <c r="C988" s="61" t="s">
        <v>1080</v>
      </c>
      <c r="D988" t="str">
        <f>VLOOKUP(C988,[1]Orders!$A$5:$W$1043,3,0)</f>
        <v>Matt Connell</v>
      </c>
      <c r="E988">
        <f>VLOOKUP(C988,[1]Orders!$A$5:$W$1043,23,0)</f>
        <v>207.6</v>
      </c>
      <c r="F988" t="str">
        <f>VLOOKUP(C988,[1]Orders!$A$5:$W$1043,5,0)</f>
        <v>Sydney</v>
      </c>
      <c r="G988" t="str">
        <f>VLOOKUP(C988,[1]Orders!$A$5:$W$1043,5,0)</f>
        <v>Sydney</v>
      </c>
      <c r="H988" t="str">
        <f>VLOOKUP(C988,[1]Orders!$A$5:$W$1043,6,0)</f>
        <v>NSW</v>
      </c>
      <c r="I988" t="str">
        <f>VLOOKUP(C988,[1]Orders!$A$5:$W$1043,7,0)</f>
        <v>Corporate</v>
      </c>
      <c r="J988" t="str">
        <f>VLOOKUP(C988,[1]Orders!$A$5:$W$1043,8,0)</f>
        <v>Tina Carlton</v>
      </c>
      <c r="K988" t="str">
        <f>VLOOKUP(C988,[1]Orders!$A$5:$W$1043,9,0)</f>
        <v>Critical</v>
      </c>
    </row>
    <row r="989" spans="3:11" x14ac:dyDescent="0.25">
      <c r="C989" s="61" t="s">
        <v>1081</v>
      </c>
      <c r="D989" t="str">
        <f>VLOOKUP(C989,[1]Orders!$A$5:$W$1043,3,0)</f>
        <v>Jack OBriant</v>
      </c>
      <c r="E989">
        <f>VLOOKUP(C989,[1]Orders!$A$5:$W$1043,23,0)</f>
        <v>13.18</v>
      </c>
      <c r="F989" t="str">
        <f>VLOOKUP(C989,[1]Orders!$A$5:$W$1043,5,0)</f>
        <v>Sydney</v>
      </c>
      <c r="G989" t="str">
        <f>VLOOKUP(C989,[1]Orders!$A$5:$W$1043,5,0)</f>
        <v>Sydney</v>
      </c>
      <c r="H989" t="str">
        <f>VLOOKUP(C989,[1]Orders!$A$5:$W$1043,6,0)</f>
        <v>NSW</v>
      </c>
      <c r="I989" t="str">
        <f>VLOOKUP(C989,[1]Orders!$A$5:$W$1043,7,0)</f>
        <v>Small Business</v>
      </c>
      <c r="J989" t="str">
        <f>VLOOKUP(C989,[1]Orders!$A$5:$W$1043,8,0)</f>
        <v>Mihael Khan</v>
      </c>
      <c r="K989" t="str">
        <f>VLOOKUP(C989,[1]Orders!$A$5:$W$1043,9,0)</f>
        <v>Medium</v>
      </c>
    </row>
    <row r="990" spans="3:11" x14ac:dyDescent="0.25">
      <c r="C990" s="61" t="s">
        <v>1082</v>
      </c>
      <c r="D990" t="str">
        <f>VLOOKUP(C990,[1]Orders!$A$5:$W$1043,3,0)</f>
        <v>Laurel Elliston</v>
      </c>
      <c r="E990">
        <f>VLOOKUP(C990,[1]Orders!$A$5:$W$1043,23,0)</f>
        <v>18.21</v>
      </c>
      <c r="F990" t="str">
        <f>VLOOKUP(C990,[1]Orders!$A$5:$W$1043,5,0)</f>
        <v>Sydney</v>
      </c>
      <c r="G990" t="str">
        <f>VLOOKUP(C990,[1]Orders!$A$5:$W$1043,5,0)</f>
        <v>Sydney</v>
      </c>
      <c r="H990" t="str">
        <f>VLOOKUP(C990,[1]Orders!$A$5:$W$1043,6,0)</f>
        <v>NSW</v>
      </c>
      <c r="I990" t="str">
        <f>VLOOKUP(C990,[1]Orders!$A$5:$W$1043,7,0)</f>
        <v>Home Office</v>
      </c>
      <c r="J990" t="str">
        <f>VLOOKUP(C990,[1]Orders!$A$5:$W$1043,8,0)</f>
        <v>Charlie Bui</v>
      </c>
      <c r="K990" t="str">
        <f>VLOOKUP(C990,[1]Orders!$A$5:$W$1043,9,0)</f>
        <v>Medium</v>
      </c>
    </row>
    <row r="991" spans="3:11" x14ac:dyDescent="0.25">
      <c r="C991" s="61" t="s">
        <v>1083</v>
      </c>
      <c r="D991" t="str">
        <f>VLOOKUP(C991,[1]Orders!$A$5:$W$1043,3,0)</f>
        <v>Erin Ashbrook</v>
      </c>
      <c r="E991">
        <f>VLOOKUP(C991,[1]Orders!$A$5:$W$1043,23,0)</f>
        <v>33.269999999999996</v>
      </c>
      <c r="F991" t="str">
        <f>VLOOKUP(C991,[1]Orders!$A$5:$W$1043,5,0)</f>
        <v>Sydney</v>
      </c>
      <c r="G991" t="str">
        <f>VLOOKUP(C991,[1]Orders!$A$5:$W$1043,5,0)</f>
        <v>Sydney</v>
      </c>
      <c r="H991" t="str">
        <f>VLOOKUP(C991,[1]Orders!$A$5:$W$1043,6,0)</f>
        <v>NSW</v>
      </c>
      <c r="I991" t="str">
        <f>VLOOKUP(C991,[1]Orders!$A$5:$W$1043,7,0)</f>
        <v>Consumer</v>
      </c>
      <c r="J991" t="str">
        <f>VLOOKUP(C991,[1]Orders!$A$5:$W$1043,8,0)</f>
        <v>Leighton Forrest</v>
      </c>
      <c r="K991" t="str">
        <f>VLOOKUP(C991,[1]Orders!$A$5:$W$1043,9,0)</f>
        <v>Low</v>
      </c>
    </row>
    <row r="992" spans="3:11" x14ac:dyDescent="0.25">
      <c r="C992" s="61" t="s">
        <v>1084</v>
      </c>
      <c r="D992" t="str">
        <f>VLOOKUP(C992,[1]Orders!$A$5:$W$1043,3,0)</f>
        <v>Pauline Chand</v>
      </c>
      <c r="E992">
        <f>VLOOKUP(C992,[1]Orders!$A$5:$W$1043,23,0)</f>
        <v>3751.8</v>
      </c>
      <c r="F992" t="str">
        <f>VLOOKUP(C992,[1]Orders!$A$5:$W$1043,5,0)</f>
        <v>Sydney</v>
      </c>
      <c r="G992" t="str">
        <f>VLOOKUP(C992,[1]Orders!$A$5:$W$1043,5,0)</f>
        <v>Sydney</v>
      </c>
      <c r="H992" t="str">
        <f>VLOOKUP(C992,[1]Orders!$A$5:$W$1043,6,0)</f>
        <v>NSW</v>
      </c>
      <c r="I992" t="str">
        <f>VLOOKUP(C992,[1]Orders!$A$5:$W$1043,7,0)</f>
        <v>Corporate</v>
      </c>
      <c r="J992" t="str">
        <f>VLOOKUP(C992,[1]Orders!$A$5:$W$1043,8,0)</f>
        <v>Samantha Chairs</v>
      </c>
      <c r="K992" t="str">
        <f>VLOOKUP(C992,[1]Orders!$A$5:$W$1043,9,0)</f>
        <v>Not Specified</v>
      </c>
    </row>
    <row r="993" spans="3:11" x14ac:dyDescent="0.25">
      <c r="C993" s="61" t="s">
        <v>1085</v>
      </c>
      <c r="D993" t="str">
        <f>VLOOKUP(C993,[1]Orders!$A$5:$W$1043,3,0)</f>
        <v>John Murray</v>
      </c>
      <c r="E993">
        <f>VLOOKUP(C993,[1]Orders!$A$5:$W$1043,23,0)</f>
        <v>8148.73</v>
      </c>
      <c r="F993" t="str">
        <f>VLOOKUP(C993,[1]Orders!$A$5:$W$1043,5,0)</f>
        <v>Sydney</v>
      </c>
      <c r="G993" t="str">
        <f>VLOOKUP(C993,[1]Orders!$A$5:$W$1043,5,0)</f>
        <v>Sydney</v>
      </c>
      <c r="H993" t="str">
        <f>VLOOKUP(C993,[1]Orders!$A$5:$W$1043,6,0)</f>
        <v>NSW</v>
      </c>
      <c r="I993" t="str">
        <f>VLOOKUP(C993,[1]Orders!$A$5:$W$1043,7,0)</f>
        <v>Small Business</v>
      </c>
      <c r="J993" t="str">
        <f>VLOOKUP(C993,[1]Orders!$A$5:$W$1043,8,0)</f>
        <v>Phoebe Gour</v>
      </c>
      <c r="K993" t="str">
        <f>VLOOKUP(C993,[1]Orders!$A$5:$W$1043,9,0)</f>
        <v>Low</v>
      </c>
    </row>
    <row r="994" spans="3:11" x14ac:dyDescent="0.25">
      <c r="C994" s="61" t="s">
        <v>1086</v>
      </c>
      <c r="D994" t="str">
        <f>VLOOKUP(C994,[1]Orders!$A$5:$W$1043,3,0)</f>
        <v>Matthew Grinstein</v>
      </c>
      <c r="E994">
        <f>VLOOKUP(C994,[1]Orders!$A$5:$W$1043,23,0)</f>
        <v>56.41</v>
      </c>
      <c r="F994" t="str">
        <f>VLOOKUP(C994,[1]Orders!$A$5:$W$1043,5,0)</f>
        <v>Sydney</v>
      </c>
      <c r="G994" t="str">
        <f>VLOOKUP(C994,[1]Orders!$A$5:$W$1043,5,0)</f>
        <v>Sydney</v>
      </c>
      <c r="H994" t="str">
        <f>VLOOKUP(C994,[1]Orders!$A$5:$W$1043,6,0)</f>
        <v>NSW</v>
      </c>
      <c r="I994" t="str">
        <f>VLOOKUP(C994,[1]Orders!$A$5:$W$1043,7,0)</f>
        <v>Small Business</v>
      </c>
      <c r="J994" t="str">
        <f>VLOOKUP(C994,[1]Orders!$A$5:$W$1043,8,0)</f>
        <v>Charlie Bui</v>
      </c>
      <c r="K994" t="str">
        <f>VLOOKUP(C994,[1]Orders!$A$5:$W$1043,9,0)</f>
        <v>Critical</v>
      </c>
    </row>
    <row r="995" spans="3:11" x14ac:dyDescent="0.25">
      <c r="C995" s="61" t="s">
        <v>1087</v>
      </c>
      <c r="D995" t="str">
        <f>VLOOKUP(C995,[1]Orders!$A$5:$W$1043,3,0)</f>
        <v>Grant Carroll</v>
      </c>
      <c r="E995">
        <f>VLOOKUP(C995,[1]Orders!$A$5:$W$1043,23,0)</f>
        <v>299.01000000000005</v>
      </c>
      <c r="F995" t="str">
        <f>VLOOKUP(C995,[1]Orders!$A$5:$W$1043,5,0)</f>
        <v>Sydney</v>
      </c>
      <c r="G995" t="str">
        <f>VLOOKUP(C995,[1]Orders!$A$5:$W$1043,5,0)</f>
        <v>Sydney</v>
      </c>
      <c r="H995" t="str">
        <f>VLOOKUP(C995,[1]Orders!$A$5:$W$1043,6,0)</f>
        <v>NSW</v>
      </c>
      <c r="I995" t="str">
        <f>VLOOKUP(C995,[1]Orders!$A$5:$W$1043,7,0)</f>
        <v>Small Business</v>
      </c>
      <c r="J995" t="str">
        <f>VLOOKUP(C995,[1]Orders!$A$5:$W$1043,8,0)</f>
        <v>Aanya Zhang</v>
      </c>
      <c r="K995" t="str">
        <f>VLOOKUP(C995,[1]Orders!$A$5:$W$1043,9,0)</f>
        <v>Not Specified</v>
      </c>
    </row>
    <row r="996" spans="3:11" x14ac:dyDescent="0.25">
      <c r="C996" s="61" t="s">
        <v>1088</v>
      </c>
      <c r="D996" t="str">
        <f>VLOOKUP(C996,[1]Orders!$A$5:$W$1043,3,0)</f>
        <v>Steve Nguyen</v>
      </c>
      <c r="E996">
        <f>VLOOKUP(C996,[1]Orders!$A$5:$W$1043,23,0)</f>
        <v>4247.82</v>
      </c>
      <c r="F996" t="str">
        <f>VLOOKUP(C996,[1]Orders!$A$5:$W$1043,5,0)</f>
        <v>Sydney</v>
      </c>
      <c r="G996" t="str">
        <f>VLOOKUP(C996,[1]Orders!$A$5:$W$1043,5,0)</f>
        <v>Sydney</v>
      </c>
      <c r="H996" t="str">
        <f>VLOOKUP(C996,[1]Orders!$A$5:$W$1043,6,0)</f>
        <v>NSW</v>
      </c>
      <c r="I996" t="str">
        <f>VLOOKUP(C996,[1]Orders!$A$5:$W$1043,7,0)</f>
        <v>Consumer</v>
      </c>
      <c r="J996" t="str">
        <f>VLOOKUP(C996,[1]Orders!$A$5:$W$1043,8,0)</f>
        <v>Leighton Forrest</v>
      </c>
      <c r="K996" t="str">
        <f>VLOOKUP(C996,[1]Orders!$A$5:$W$1043,9,0)</f>
        <v>High</v>
      </c>
    </row>
    <row r="997" spans="3:11" x14ac:dyDescent="0.25">
      <c r="C997" s="61" t="s">
        <v>1089</v>
      </c>
      <c r="D997" t="str">
        <f>VLOOKUP(C997,[1]Orders!$A$5:$W$1043,3,0)</f>
        <v>Anthony Rawles</v>
      </c>
      <c r="E997">
        <f>VLOOKUP(C997,[1]Orders!$A$5:$W$1043,23,0)</f>
        <v>116.68999999999998</v>
      </c>
      <c r="F997" t="str">
        <f>VLOOKUP(C997,[1]Orders!$A$5:$W$1043,5,0)</f>
        <v>Sydney</v>
      </c>
      <c r="G997" t="str">
        <f>VLOOKUP(C997,[1]Orders!$A$5:$W$1043,5,0)</f>
        <v>Sydney</v>
      </c>
      <c r="H997" t="str">
        <f>VLOOKUP(C997,[1]Orders!$A$5:$W$1043,6,0)</f>
        <v>NSW</v>
      </c>
      <c r="I997" t="str">
        <f>VLOOKUP(C997,[1]Orders!$A$5:$W$1043,7,0)</f>
        <v>Small Business</v>
      </c>
      <c r="J997" t="str">
        <f>VLOOKUP(C997,[1]Orders!$A$5:$W$1043,8,0)</f>
        <v>Mihael Khan</v>
      </c>
      <c r="K997" t="str">
        <f>VLOOKUP(C997,[1]Orders!$A$5:$W$1043,9,0)</f>
        <v>Medium</v>
      </c>
    </row>
    <row r="998" spans="3:11" x14ac:dyDescent="0.25">
      <c r="C998" s="61" t="s">
        <v>1090</v>
      </c>
      <c r="D998" t="str">
        <f>VLOOKUP(C998,[1]Orders!$A$5:$W$1043,3,0)</f>
        <v>Jennifer Jackson</v>
      </c>
      <c r="E998">
        <f>VLOOKUP(C998,[1]Orders!$A$5:$W$1043,23,0)</f>
        <v>583.36</v>
      </c>
      <c r="F998" t="str">
        <f>VLOOKUP(C998,[1]Orders!$A$5:$W$1043,5,0)</f>
        <v>Melbourne</v>
      </c>
      <c r="G998" t="str">
        <f>VLOOKUP(C998,[1]Orders!$A$5:$W$1043,5,0)</f>
        <v>Melbourne</v>
      </c>
      <c r="H998" t="str">
        <f>VLOOKUP(C998,[1]Orders!$A$5:$W$1043,6,0)</f>
        <v>VIC</v>
      </c>
      <c r="I998" t="str">
        <f>VLOOKUP(C998,[1]Orders!$A$5:$W$1043,7,0)</f>
        <v>Home Office</v>
      </c>
      <c r="J998" t="str">
        <f>VLOOKUP(C998,[1]Orders!$A$5:$W$1043,8,0)</f>
        <v>Connor Betts</v>
      </c>
      <c r="K998" t="str">
        <f>VLOOKUP(C998,[1]Orders!$A$5:$W$1043,9,0)</f>
        <v>High</v>
      </c>
    </row>
    <row r="999" spans="3:11" x14ac:dyDescent="0.25">
      <c r="C999" s="61" t="s">
        <v>1091</v>
      </c>
      <c r="D999" t="str">
        <f>VLOOKUP(C999,[1]Orders!$A$5:$W$1043,3,0)</f>
        <v>Frank Atkinson</v>
      </c>
      <c r="E999">
        <f>VLOOKUP(C999,[1]Orders!$A$5:$W$1043,23,0)</f>
        <v>39.86</v>
      </c>
      <c r="F999" t="str">
        <f>VLOOKUP(C999,[1]Orders!$A$5:$W$1043,5,0)</f>
        <v>Sydney</v>
      </c>
      <c r="G999" t="str">
        <f>VLOOKUP(C999,[1]Orders!$A$5:$W$1043,5,0)</f>
        <v>Sydney</v>
      </c>
      <c r="H999" t="str">
        <f>VLOOKUP(C999,[1]Orders!$A$5:$W$1043,6,0)</f>
        <v>NSW</v>
      </c>
      <c r="I999" t="str">
        <f>VLOOKUP(C999,[1]Orders!$A$5:$W$1043,7,0)</f>
        <v>Corporate</v>
      </c>
      <c r="J999" t="str">
        <f>VLOOKUP(C999,[1]Orders!$A$5:$W$1043,8,0)</f>
        <v>Tina Carlton</v>
      </c>
      <c r="K999" t="str">
        <f>VLOOKUP(C999,[1]Orders!$A$5:$W$1043,9,0)</f>
        <v>High</v>
      </c>
    </row>
    <row r="1000" spans="3:11" x14ac:dyDescent="0.25">
      <c r="C1000" s="61" t="s">
        <v>1092</v>
      </c>
      <c r="D1000" t="str">
        <f>VLOOKUP(C1000,[1]Orders!$A$5:$W$1043,3,0)</f>
        <v>Ben Peterman</v>
      </c>
      <c r="E1000">
        <f>VLOOKUP(C1000,[1]Orders!$A$5:$W$1043,23,0)</f>
        <v>7018.07</v>
      </c>
      <c r="F1000" t="str">
        <f>VLOOKUP(C1000,[1]Orders!$A$5:$W$1043,5,0)</f>
        <v>Sydney</v>
      </c>
      <c r="G1000" t="str">
        <f>VLOOKUP(C1000,[1]Orders!$A$5:$W$1043,5,0)</f>
        <v>Sydney</v>
      </c>
      <c r="H1000" t="str">
        <f>VLOOKUP(C1000,[1]Orders!$A$5:$W$1043,6,0)</f>
        <v>NSW</v>
      </c>
      <c r="I1000" t="str">
        <f>VLOOKUP(C1000,[1]Orders!$A$5:$W$1043,7,0)</f>
        <v>Corporate</v>
      </c>
      <c r="J1000" t="str">
        <f>VLOOKUP(C1000,[1]Orders!$A$5:$W$1043,8,0)</f>
        <v>Leighton Forrest</v>
      </c>
      <c r="K1000" t="str">
        <f>VLOOKUP(C1000,[1]Orders!$A$5:$W$1043,9,0)</f>
        <v>Low</v>
      </c>
    </row>
    <row r="1001" spans="3:11" x14ac:dyDescent="0.25">
      <c r="C1001" s="61" t="s">
        <v>1093</v>
      </c>
      <c r="D1001" t="str">
        <f>VLOOKUP(C1001,[1]Orders!$A$5:$W$1043,3,0)</f>
        <v>Amy Hunt</v>
      </c>
      <c r="E1001">
        <f>VLOOKUP(C1001,[1]Orders!$A$5:$W$1043,23,0)</f>
        <v>355.76</v>
      </c>
      <c r="F1001" t="str">
        <f>VLOOKUP(C1001,[1]Orders!$A$5:$W$1043,5,0)</f>
        <v>Melbourne</v>
      </c>
      <c r="G1001" t="str">
        <f>VLOOKUP(C1001,[1]Orders!$A$5:$W$1043,5,0)</f>
        <v>Melbourne</v>
      </c>
      <c r="H1001" t="str">
        <f>VLOOKUP(C1001,[1]Orders!$A$5:$W$1043,6,0)</f>
        <v>VIC</v>
      </c>
      <c r="I1001" t="str">
        <f>VLOOKUP(C1001,[1]Orders!$A$5:$W$1043,7,0)</f>
        <v>Small Business</v>
      </c>
      <c r="J1001" t="str">
        <f>VLOOKUP(C1001,[1]Orders!$A$5:$W$1043,8,0)</f>
        <v>Yvette Biti</v>
      </c>
      <c r="K1001" t="str">
        <f>VLOOKUP(C1001,[1]Orders!$A$5:$W$1043,9,0)</f>
        <v>High</v>
      </c>
    </row>
    <row r="1002" spans="3:11" x14ac:dyDescent="0.25">
      <c r="C1002" s="61" t="s">
        <v>1094</v>
      </c>
      <c r="D1002" t="str">
        <f>VLOOKUP(C1002,[1]Orders!$A$5:$W$1043,3,0)</f>
        <v>Guy Armstrong</v>
      </c>
      <c r="E1002">
        <f>VLOOKUP(C1002,[1]Orders!$A$5:$W$1043,23,0)</f>
        <v>23.18</v>
      </c>
      <c r="F1002" t="str">
        <f>VLOOKUP(C1002,[1]Orders!$A$5:$W$1043,5,0)</f>
        <v>Sydney</v>
      </c>
      <c r="G1002" t="str">
        <f>VLOOKUP(C1002,[1]Orders!$A$5:$W$1043,5,0)</f>
        <v>Sydney</v>
      </c>
      <c r="H1002" t="str">
        <f>VLOOKUP(C1002,[1]Orders!$A$5:$W$1043,6,0)</f>
        <v>NSW</v>
      </c>
      <c r="I1002" t="str">
        <f>VLOOKUP(C1002,[1]Orders!$A$5:$W$1043,7,0)</f>
        <v>Corporate</v>
      </c>
      <c r="J1002" t="str">
        <f>VLOOKUP(C1002,[1]Orders!$A$5:$W$1043,8,0)</f>
        <v>Samantha Chairs</v>
      </c>
      <c r="K1002" t="str">
        <f>VLOOKUP(C1002,[1]Orders!$A$5:$W$1043,9,0)</f>
        <v>High</v>
      </c>
    </row>
    <row r="1003" spans="3:11" x14ac:dyDescent="0.25">
      <c r="C1003" s="61" t="s">
        <v>1095</v>
      </c>
      <c r="D1003" t="str">
        <f>VLOOKUP(C1003,[1]Orders!$A$5:$W$1043,3,0)</f>
        <v>Cindy Chapman</v>
      </c>
      <c r="E1003">
        <f>VLOOKUP(C1003,[1]Orders!$A$5:$W$1043,23,0)</f>
        <v>47.29</v>
      </c>
      <c r="F1003" t="str">
        <f>VLOOKUP(C1003,[1]Orders!$A$5:$W$1043,5,0)</f>
        <v>Sydney</v>
      </c>
      <c r="G1003" t="str">
        <f>VLOOKUP(C1003,[1]Orders!$A$5:$W$1043,5,0)</f>
        <v>Sydney</v>
      </c>
      <c r="H1003" t="str">
        <f>VLOOKUP(C1003,[1]Orders!$A$5:$W$1043,6,0)</f>
        <v>NSW</v>
      </c>
      <c r="I1003" t="str">
        <f>VLOOKUP(C1003,[1]Orders!$A$5:$W$1043,7,0)</f>
        <v>Corporate</v>
      </c>
      <c r="J1003" t="str">
        <f>VLOOKUP(C1003,[1]Orders!$A$5:$W$1043,8,0)</f>
        <v>Tina Carlton</v>
      </c>
      <c r="K1003" t="str">
        <f>VLOOKUP(C1003,[1]Orders!$A$5:$W$1043,9,0)</f>
        <v>Critical</v>
      </c>
    </row>
    <row r="1004" spans="3:11" x14ac:dyDescent="0.25">
      <c r="C1004" s="61" t="s">
        <v>1096</v>
      </c>
      <c r="D1004" t="str">
        <f>VLOOKUP(C1004,[1]Orders!$A$5:$W$1043,3,0)</f>
        <v>Ken Lonsdale</v>
      </c>
      <c r="E1004">
        <f>VLOOKUP(C1004,[1]Orders!$A$5:$W$1043,23,0)</f>
        <v>188.63</v>
      </c>
      <c r="F1004" t="str">
        <f>VLOOKUP(C1004,[1]Orders!$A$5:$W$1043,5,0)</f>
        <v>Melbourne</v>
      </c>
      <c r="G1004" t="str">
        <f>VLOOKUP(C1004,[1]Orders!$A$5:$W$1043,5,0)</f>
        <v>Melbourne</v>
      </c>
      <c r="H1004" t="str">
        <f>VLOOKUP(C1004,[1]Orders!$A$5:$W$1043,6,0)</f>
        <v>VIC</v>
      </c>
      <c r="I1004" t="str">
        <f>VLOOKUP(C1004,[1]Orders!$A$5:$W$1043,7,0)</f>
        <v>Consumer</v>
      </c>
      <c r="J1004" t="str">
        <f>VLOOKUP(C1004,[1]Orders!$A$5:$W$1043,8,0)</f>
        <v>Connor Betts</v>
      </c>
      <c r="K1004" t="str">
        <f>VLOOKUP(C1004,[1]Orders!$A$5:$W$1043,9,0)</f>
        <v>Low</v>
      </c>
    </row>
    <row r="1005" spans="3:11" x14ac:dyDescent="0.25">
      <c r="C1005" s="61" t="s">
        <v>1097</v>
      </c>
      <c r="D1005" t="str">
        <f>VLOOKUP(C1005,[1]Orders!$A$5:$W$1043,3,0)</f>
        <v>Gary Hwang</v>
      </c>
      <c r="E1005">
        <f>VLOOKUP(C1005,[1]Orders!$A$5:$W$1043,23,0)</f>
        <v>77.34</v>
      </c>
      <c r="F1005" t="str">
        <f>VLOOKUP(C1005,[1]Orders!$A$5:$W$1043,5,0)</f>
        <v>Sydney</v>
      </c>
      <c r="G1005" t="str">
        <f>VLOOKUP(C1005,[1]Orders!$A$5:$W$1043,5,0)</f>
        <v>Sydney</v>
      </c>
      <c r="H1005" t="str">
        <f>VLOOKUP(C1005,[1]Orders!$A$5:$W$1043,6,0)</f>
        <v>NSW</v>
      </c>
      <c r="I1005" t="str">
        <f>VLOOKUP(C1005,[1]Orders!$A$5:$W$1043,7,0)</f>
        <v>Home Office</v>
      </c>
      <c r="J1005" t="str">
        <f>VLOOKUP(C1005,[1]Orders!$A$5:$W$1043,8,0)</f>
        <v>Charlie Bui</v>
      </c>
      <c r="K1005" t="str">
        <f>VLOOKUP(C1005,[1]Orders!$A$5:$W$1043,9,0)</f>
        <v>Not Specified</v>
      </c>
    </row>
    <row r="1006" spans="3:11" x14ac:dyDescent="0.25">
      <c r="C1006" s="61" t="s">
        <v>1098</v>
      </c>
      <c r="D1006" t="str">
        <f>VLOOKUP(C1006,[1]Orders!$A$5:$W$1043,3,0)</f>
        <v>Brad Thomas</v>
      </c>
      <c r="E1006">
        <f>VLOOKUP(C1006,[1]Orders!$A$5:$W$1043,23,0)</f>
        <v>135.63</v>
      </c>
      <c r="F1006" t="str">
        <f>VLOOKUP(C1006,[1]Orders!$A$5:$W$1043,5,0)</f>
        <v>Sydney</v>
      </c>
      <c r="G1006" t="str">
        <f>VLOOKUP(C1006,[1]Orders!$A$5:$W$1043,5,0)</f>
        <v>Sydney</v>
      </c>
      <c r="H1006" t="str">
        <f>VLOOKUP(C1006,[1]Orders!$A$5:$W$1043,6,0)</f>
        <v>NSW</v>
      </c>
      <c r="I1006" t="str">
        <f>VLOOKUP(C1006,[1]Orders!$A$5:$W$1043,7,0)</f>
        <v>Corporate</v>
      </c>
      <c r="J1006" t="str">
        <f>VLOOKUP(C1006,[1]Orders!$A$5:$W$1043,8,0)</f>
        <v>Tina Carlton</v>
      </c>
      <c r="K1006" t="str">
        <f>VLOOKUP(C1006,[1]Orders!$A$5:$W$1043,9,0)</f>
        <v>Low</v>
      </c>
    </row>
    <row r="1007" spans="3:11" x14ac:dyDescent="0.25">
      <c r="C1007" s="61" t="s">
        <v>1099</v>
      </c>
      <c r="D1007" t="str">
        <f>VLOOKUP(C1007,[1]Orders!$A$5:$W$1043,3,0)</f>
        <v>Dorris Love</v>
      </c>
      <c r="E1007">
        <f>VLOOKUP(C1007,[1]Orders!$A$5:$W$1043,23,0)</f>
        <v>660.84999999999991</v>
      </c>
      <c r="F1007" t="str">
        <f>VLOOKUP(C1007,[1]Orders!$A$5:$W$1043,5,0)</f>
        <v>Sydney</v>
      </c>
      <c r="G1007" t="str">
        <f>VLOOKUP(C1007,[1]Orders!$A$5:$W$1043,5,0)</f>
        <v>Sydney</v>
      </c>
      <c r="H1007" t="str">
        <f>VLOOKUP(C1007,[1]Orders!$A$5:$W$1043,6,0)</f>
        <v>NSW</v>
      </c>
      <c r="I1007" t="str">
        <f>VLOOKUP(C1007,[1]Orders!$A$5:$W$1043,7,0)</f>
        <v>Home Office</v>
      </c>
      <c r="J1007" t="str">
        <f>VLOOKUP(C1007,[1]Orders!$A$5:$W$1043,8,0)</f>
        <v>Phoebe Gour</v>
      </c>
      <c r="K1007" t="str">
        <f>VLOOKUP(C1007,[1]Orders!$A$5:$W$1043,9,0)</f>
        <v>High</v>
      </c>
    </row>
    <row r="1008" spans="3:11" x14ac:dyDescent="0.25">
      <c r="C1008" s="61" t="s">
        <v>1100</v>
      </c>
      <c r="D1008" t="str">
        <f>VLOOKUP(C1008,[1]Orders!$A$5:$W$1043,3,0)</f>
        <v>Monica Federle</v>
      </c>
      <c r="E1008">
        <f>VLOOKUP(C1008,[1]Orders!$A$5:$W$1043,23,0)</f>
        <v>210.58</v>
      </c>
      <c r="F1008" t="str">
        <f>VLOOKUP(C1008,[1]Orders!$A$5:$W$1043,5,0)</f>
        <v>Sydney</v>
      </c>
      <c r="G1008" t="str">
        <f>VLOOKUP(C1008,[1]Orders!$A$5:$W$1043,5,0)</f>
        <v>Sydney</v>
      </c>
      <c r="H1008" t="str">
        <f>VLOOKUP(C1008,[1]Orders!$A$5:$W$1043,6,0)</f>
        <v>NSW</v>
      </c>
      <c r="I1008" t="str">
        <f>VLOOKUP(C1008,[1]Orders!$A$5:$W$1043,7,0)</f>
        <v>Corporate</v>
      </c>
      <c r="J1008" t="str">
        <f>VLOOKUP(C1008,[1]Orders!$A$5:$W$1043,8,0)</f>
        <v>Charlie Bui</v>
      </c>
      <c r="K1008" t="str">
        <f>VLOOKUP(C1008,[1]Orders!$A$5:$W$1043,9,0)</f>
        <v>Low</v>
      </c>
    </row>
    <row r="1009" spans="3:11" x14ac:dyDescent="0.25">
      <c r="C1009" s="61" t="s">
        <v>1101</v>
      </c>
      <c r="D1009" t="str">
        <f>VLOOKUP(C1009,[1]Orders!$A$5:$W$1043,3,0)</f>
        <v>Theresa Coyne</v>
      </c>
      <c r="E1009">
        <f>VLOOKUP(C1009,[1]Orders!$A$5:$W$1043,23,0)</f>
        <v>113.25999999999999</v>
      </c>
      <c r="F1009" t="str">
        <f>VLOOKUP(C1009,[1]Orders!$A$5:$W$1043,5,0)</f>
        <v>Sydney</v>
      </c>
      <c r="G1009" t="str">
        <f>VLOOKUP(C1009,[1]Orders!$A$5:$W$1043,5,0)</f>
        <v>Sydney</v>
      </c>
      <c r="H1009" t="str">
        <f>VLOOKUP(C1009,[1]Orders!$A$5:$W$1043,6,0)</f>
        <v>NSW</v>
      </c>
      <c r="I1009" t="str">
        <f>VLOOKUP(C1009,[1]Orders!$A$5:$W$1043,7,0)</f>
        <v>Home Office</v>
      </c>
      <c r="J1009" t="str">
        <f>VLOOKUP(C1009,[1]Orders!$A$5:$W$1043,8,0)</f>
        <v>Tina Carlton</v>
      </c>
      <c r="K1009" t="str">
        <f>VLOOKUP(C1009,[1]Orders!$A$5:$W$1043,9,0)</f>
        <v>High</v>
      </c>
    </row>
    <row r="1010" spans="3:11" x14ac:dyDescent="0.25">
      <c r="C1010" s="61" t="s">
        <v>1102</v>
      </c>
      <c r="D1010" t="str">
        <f>VLOOKUP(C1010,[1]Orders!$A$5:$W$1043,3,0)</f>
        <v>Christopher Martinez</v>
      </c>
      <c r="E1010">
        <f>VLOOKUP(C1010,[1]Orders!$A$5:$W$1043,23,0)</f>
        <v>199</v>
      </c>
      <c r="F1010" t="str">
        <f>VLOOKUP(C1010,[1]Orders!$A$5:$W$1043,5,0)</f>
        <v>Sydney</v>
      </c>
      <c r="G1010" t="str">
        <f>VLOOKUP(C1010,[1]Orders!$A$5:$W$1043,5,0)</f>
        <v>Sydney</v>
      </c>
      <c r="H1010" t="str">
        <f>VLOOKUP(C1010,[1]Orders!$A$5:$W$1043,6,0)</f>
        <v>NSW</v>
      </c>
      <c r="I1010" t="str">
        <f>VLOOKUP(C1010,[1]Orders!$A$5:$W$1043,7,0)</f>
        <v>Home Office</v>
      </c>
      <c r="J1010" t="str">
        <f>VLOOKUP(C1010,[1]Orders!$A$5:$W$1043,8,0)</f>
        <v>Tina Carlton</v>
      </c>
      <c r="K1010" t="str">
        <f>VLOOKUP(C1010,[1]Orders!$A$5:$W$1043,9,0)</f>
        <v>Critical</v>
      </c>
    </row>
    <row r="1011" spans="3:11" x14ac:dyDescent="0.25">
      <c r="C1011" s="61" t="s">
        <v>1103</v>
      </c>
      <c r="D1011" t="str">
        <f>VLOOKUP(C1011,[1]Orders!$A$5:$W$1043,3,0)</f>
        <v>Nora Price</v>
      </c>
      <c r="E1011">
        <f>VLOOKUP(C1011,[1]Orders!$A$5:$W$1043,23,0)</f>
        <v>1833.6899999999998</v>
      </c>
      <c r="F1011" t="str">
        <f>VLOOKUP(C1011,[1]Orders!$A$5:$W$1043,5,0)</f>
        <v>Sydney</v>
      </c>
      <c r="G1011" t="str">
        <f>VLOOKUP(C1011,[1]Orders!$A$5:$W$1043,5,0)</f>
        <v>Sydney</v>
      </c>
      <c r="H1011" t="str">
        <f>VLOOKUP(C1011,[1]Orders!$A$5:$W$1043,6,0)</f>
        <v>NSW</v>
      </c>
      <c r="I1011" t="str">
        <f>VLOOKUP(C1011,[1]Orders!$A$5:$W$1043,7,0)</f>
        <v>Home Office</v>
      </c>
      <c r="J1011" t="str">
        <f>VLOOKUP(C1011,[1]Orders!$A$5:$W$1043,8,0)</f>
        <v>Preston Senome</v>
      </c>
      <c r="K1011" t="str">
        <f>VLOOKUP(C1011,[1]Orders!$A$5:$W$1043,9,0)</f>
        <v>Critical</v>
      </c>
    </row>
    <row r="1012" spans="3:11" x14ac:dyDescent="0.25">
      <c r="C1012" s="61" t="s">
        <v>1104</v>
      </c>
      <c r="D1012" t="str">
        <f>VLOOKUP(C1012,[1]Orders!$A$5:$W$1043,3,0)</f>
        <v>Benjamin Farhat</v>
      </c>
      <c r="E1012">
        <f>VLOOKUP(C1012,[1]Orders!$A$5:$W$1043,23,0)</f>
        <v>104.41000000000001</v>
      </c>
      <c r="F1012" t="str">
        <f>VLOOKUP(C1012,[1]Orders!$A$5:$W$1043,5,0)</f>
        <v>Sydney</v>
      </c>
      <c r="G1012" t="str">
        <f>VLOOKUP(C1012,[1]Orders!$A$5:$W$1043,5,0)</f>
        <v>Sydney</v>
      </c>
      <c r="H1012" t="str">
        <f>VLOOKUP(C1012,[1]Orders!$A$5:$W$1043,6,0)</f>
        <v>NSW</v>
      </c>
      <c r="I1012" t="str">
        <f>VLOOKUP(C1012,[1]Orders!$A$5:$W$1043,7,0)</f>
        <v>Home Office</v>
      </c>
      <c r="J1012" t="str">
        <f>VLOOKUP(C1012,[1]Orders!$A$5:$W$1043,8,0)</f>
        <v>Tina Carlton</v>
      </c>
      <c r="K1012" t="str">
        <f>VLOOKUP(C1012,[1]Orders!$A$5:$W$1043,9,0)</f>
        <v>Critical</v>
      </c>
    </row>
    <row r="1013" spans="3:11" x14ac:dyDescent="0.25">
      <c r="C1013" s="61" t="s">
        <v>1105</v>
      </c>
      <c r="D1013" t="str">
        <f>VLOOKUP(C1013,[1]Orders!$A$5:$W$1043,3,0)</f>
        <v>Giulietta Weimer</v>
      </c>
      <c r="E1013">
        <f>VLOOKUP(C1013,[1]Orders!$A$5:$W$1043,23,0)</f>
        <v>37.15</v>
      </c>
      <c r="F1013" t="str">
        <f>VLOOKUP(C1013,[1]Orders!$A$5:$W$1043,5,0)</f>
        <v>Sydney</v>
      </c>
      <c r="G1013" t="str">
        <f>VLOOKUP(C1013,[1]Orders!$A$5:$W$1043,5,0)</f>
        <v>Sydney</v>
      </c>
      <c r="H1013" t="str">
        <f>VLOOKUP(C1013,[1]Orders!$A$5:$W$1043,6,0)</f>
        <v>NSW</v>
      </c>
      <c r="I1013" t="str">
        <f>VLOOKUP(C1013,[1]Orders!$A$5:$W$1043,7,0)</f>
        <v>Home Office</v>
      </c>
      <c r="J1013" t="str">
        <f>VLOOKUP(C1013,[1]Orders!$A$5:$W$1043,8,0)</f>
        <v>Natasha Song</v>
      </c>
      <c r="K1013" t="str">
        <f>VLOOKUP(C1013,[1]Orders!$A$5:$W$1043,9,0)</f>
        <v>Critical</v>
      </c>
    </row>
    <row r="1014" spans="3:11" x14ac:dyDescent="0.25">
      <c r="C1014" s="61" t="s">
        <v>1106</v>
      </c>
      <c r="D1014" t="str">
        <f>VLOOKUP(C1014,[1]Orders!$A$5:$W$1043,3,0)</f>
        <v>Lisa Hazard</v>
      </c>
      <c r="E1014">
        <f>VLOOKUP(C1014,[1]Orders!$A$5:$W$1043,23,0)</f>
        <v>18.68</v>
      </c>
      <c r="F1014" t="str">
        <f>VLOOKUP(C1014,[1]Orders!$A$5:$W$1043,5,0)</f>
        <v>Melbourne</v>
      </c>
      <c r="G1014" t="str">
        <f>VLOOKUP(C1014,[1]Orders!$A$5:$W$1043,5,0)</f>
        <v>Melbourne</v>
      </c>
      <c r="H1014" t="str">
        <f>VLOOKUP(C1014,[1]Orders!$A$5:$W$1043,6,0)</f>
        <v>VIC</v>
      </c>
      <c r="I1014" t="str">
        <f>VLOOKUP(C1014,[1]Orders!$A$5:$W$1043,7,0)</f>
        <v>Home Office</v>
      </c>
      <c r="J1014" t="str">
        <f>VLOOKUP(C1014,[1]Orders!$A$5:$W$1043,8,0)</f>
        <v>Yvette Biti</v>
      </c>
      <c r="K1014" t="str">
        <f>VLOOKUP(C1014,[1]Orders!$A$5:$W$1043,9,0)</f>
        <v>High</v>
      </c>
    </row>
    <row r="1015" spans="3:11" x14ac:dyDescent="0.25">
      <c r="C1015" s="61" t="s">
        <v>1107</v>
      </c>
      <c r="D1015" t="str">
        <f>VLOOKUP(C1015,[1]Orders!$A$5:$W$1043,3,0)</f>
        <v>Steve Nguyen</v>
      </c>
      <c r="E1015">
        <f>VLOOKUP(C1015,[1]Orders!$A$5:$W$1043,23,0)</f>
        <v>3196.2500000000005</v>
      </c>
      <c r="F1015" t="str">
        <f>VLOOKUP(C1015,[1]Orders!$A$5:$W$1043,5,0)</f>
        <v>Sydney</v>
      </c>
      <c r="G1015" t="str">
        <f>VLOOKUP(C1015,[1]Orders!$A$5:$W$1043,5,0)</f>
        <v>Sydney</v>
      </c>
      <c r="H1015" t="str">
        <f>VLOOKUP(C1015,[1]Orders!$A$5:$W$1043,6,0)</f>
        <v>NSW</v>
      </c>
      <c r="I1015" t="str">
        <f>VLOOKUP(C1015,[1]Orders!$A$5:$W$1043,7,0)</f>
        <v>Small Business</v>
      </c>
      <c r="J1015" t="str">
        <f>VLOOKUP(C1015,[1]Orders!$A$5:$W$1043,8,0)</f>
        <v>Leighton Forrest</v>
      </c>
      <c r="K1015" t="str">
        <f>VLOOKUP(C1015,[1]Orders!$A$5:$W$1043,9,0)</f>
        <v>Not Specified</v>
      </c>
    </row>
    <row r="1016" spans="3:11" x14ac:dyDescent="0.25">
      <c r="C1016" s="61" t="s">
        <v>1108</v>
      </c>
      <c r="D1016" t="str">
        <f>VLOOKUP(C1016,[1]Orders!$A$5:$W$1043,3,0)</f>
        <v>Cindy Chapman</v>
      </c>
      <c r="E1016">
        <f>VLOOKUP(C1016,[1]Orders!$A$5:$W$1043,23,0)</f>
        <v>247.30999999999997</v>
      </c>
      <c r="F1016" t="str">
        <f>VLOOKUP(C1016,[1]Orders!$A$5:$W$1043,5,0)</f>
        <v>Sydney</v>
      </c>
      <c r="G1016" t="str">
        <f>VLOOKUP(C1016,[1]Orders!$A$5:$W$1043,5,0)</f>
        <v>Sydney</v>
      </c>
      <c r="H1016" t="str">
        <f>VLOOKUP(C1016,[1]Orders!$A$5:$W$1043,6,0)</f>
        <v>NSW</v>
      </c>
      <c r="I1016" t="str">
        <f>VLOOKUP(C1016,[1]Orders!$A$5:$W$1043,7,0)</f>
        <v>Consumer</v>
      </c>
      <c r="J1016" t="str">
        <f>VLOOKUP(C1016,[1]Orders!$A$5:$W$1043,8,0)</f>
        <v>Tina Carlton</v>
      </c>
      <c r="K1016" t="str">
        <f>VLOOKUP(C1016,[1]Orders!$A$5:$W$1043,9,0)</f>
        <v>High</v>
      </c>
    </row>
    <row r="1017" spans="3:11" x14ac:dyDescent="0.25">
      <c r="C1017" s="61" t="s">
        <v>1109</v>
      </c>
      <c r="D1017" t="str">
        <f>VLOOKUP(C1017,[1]Orders!$A$5:$W$1043,3,0)</f>
        <v>Tracy Zic</v>
      </c>
      <c r="E1017">
        <f>VLOOKUP(C1017,[1]Orders!$A$5:$W$1043,23,0)</f>
        <v>134.60999999999999</v>
      </c>
      <c r="F1017" t="str">
        <f>VLOOKUP(C1017,[1]Orders!$A$5:$W$1043,5,0)</f>
        <v>Sydney</v>
      </c>
      <c r="G1017" t="str">
        <f>VLOOKUP(C1017,[1]Orders!$A$5:$W$1043,5,0)</f>
        <v>Sydney</v>
      </c>
      <c r="H1017" t="str">
        <f>VLOOKUP(C1017,[1]Orders!$A$5:$W$1043,6,0)</f>
        <v>NSW</v>
      </c>
      <c r="I1017" t="str">
        <f>VLOOKUP(C1017,[1]Orders!$A$5:$W$1043,7,0)</f>
        <v>Consumer</v>
      </c>
      <c r="J1017" t="str">
        <f>VLOOKUP(C1017,[1]Orders!$A$5:$W$1043,8,0)</f>
        <v>Radhya Staples</v>
      </c>
      <c r="K1017" t="str">
        <f>VLOOKUP(C1017,[1]Orders!$A$5:$W$1043,9,0)</f>
        <v>Medium</v>
      </c>
    </row>
    <row r="1018" spans="3:11" x14ac:dyDescent="0.25">
      <c r="C1018" s="61" t="s">
        <v>1110</v>
      </c>
      <c r="D1018" t="str">
        <f>VLOOKUP(C1018,[1]Orders!$A$5:$W$1043,3,0)</f>
        <v>Guy Armstrong</v>
      </c>
      <c r="E1018">
        <f>VLOOKUP(C1018,[1]Orders!$A$5:$W$1043,23,0)</f>
        <v>227.67</v>
      </c>
      <c r="F1018" t="str">
        <f>VLOOKUP(C1018,[1]Orders!$A$5:$W$1043,5,0)</f>
        <v>Sydney</v>
      </c>
      <c r="G1018" t="str">
        <f>VLOOKUP(C1018,[1]Orders!$A$5:$W$1043,5,0)</f>
        <v>Sydney</v>
      </c>
      <c r="H1018" t="str">
        <f>VLOOKUP(C1018,[1]Orders!$A$5:$W$1043,6,0)</f>
        <v>NSW</v>
      </c>
      <c r="I1018" t="str">
        <f>VLOOKUP(C1018,[1]Orders!$A$5:$W$1043,7,0)</f>
        <v>Corporate</v>
      </c>
      <c r="J1018" t="str">
        <f>VLOOKUP(C1018,[1]Orders!$A$5:$W$1043,8,0)</f>
        <v>Samantha Chairs</v>
      </c>
      <c r="K1018" t="str">
        <f>VLOOKUP(C1018,[1]Orders!$A$5:$W$1043,9,0)</f>
        <v>Medium</v>
      </c>
    </row>
    <row r="1019" spans="3:11" x14ac:dyDescent="0.25">
      <c r="C1019" s="61" t="s">
        <v>1111</v>
      </c>
      <c r="D1019" t="str">
        <f>VLOOKUP(C1019,[1]Orders!$A$5:$W$1043,3,0)</f>
        <v>Shahid Shariari</v>
      </c>
      <c r="E1019">
        <f>VLOOKUP(C1019,[1]Orders!$A$5:$W$1043,23,0)</f>
        <v>42.81</v>
      </c>
      <c r="F1019" t="str">
        <f>VLOOKUP(C1019,[1]Orders!$A$5:$W$1043,5,0)</f>
        <v>Sydney</v>
      </c>
      <c r="G1019" t="str">
        <f>VLOOKUP(C1019,[1]Orders!$A$5:$W$1043,5,0)</f>
        <v>Sydney</v>
      </c>
      <c r="H1019" t="str">
        <f>VLOOKUP(C1019,[1]Orders!$A$5:$W$1043,6,0)</f>
        <v>NSW</v>
      </c>
      <c r="I1019" t="str">
        <f>VLOOKUP(C1019,[1]Orders!$A$5:$W$1043,7,0)</f>
        <v>Corporate</v>
      </c>
      <c r="J1019" t="str">
        <f>VLOOKUP(C1019,[1]Orders!$A$5:$W$1043,8,0)</f>
        <v>Mihael Khan</v>
      </c>
      <c r="K1019" t="str">
        <f>VLOOKUP(C1019,[1]Orders!$A$5:$W$1043,9,0)</f>
        <v>Low</v>
      </c>
    </row>
    <row r="1020" spans="3:11" x14ac:dyDescent="0.25">
      <c r="C1020" s="61" t="s">
        <v>1112</v>
      </c>
      <c r="D1020" t="str">
        <f>VLOOKUP(C1020,[1]Orders!$A$5:$W$1043,3,0)</f>
        <v>Julia Barnett</v>
      </c>
      <c r="E1020">
        <f>VLOOKUP(C1020,[1]Orders!$A$5:$W$1043,23,0)</f>
        <v>7018.04</v>
      </c>
      <c r="F1020" t="str">
        <f>VLOOKUP(C1020,[1]Orders!$A$5:$W$1043,5,0)</f>
        <v>Sydney</v>
      </c>
      <c r="G1020" t="str">
        <f>VLOOKUP(C1020,[1]Orders!$A$5:$W$1043,5,0)</f>
        <v>Sydney</v>
      </c>
      <c r="H1020" t="str">
        <f>VLOOKUP(C1020,[1]Orders!$A$5:$W$1043,6,0)</f>
        <v>NSW</v>
      </c>
      <c r="I1020" t="str">
        <f>VLOOKUP(C1020,[1]Orders!$A$5:$W$1043,7,0)</f>
        <v>Home Office</v>
      </c>
      <c r="J1020" t="str">
        <f>VLOOKUP(C1020,[1]Orders!$A$5:$W$1043,8,0)</f>
        <v>Leighton Forrest</v>
      </c>
      <c r="K1020" t="str">
        <f>VLOOKUP(C1020,[1]Orders!$A$5:$W$1043,9,0)</f>
        <v>Not Specified</v>
      </c>
    </row>
    <row r="1021" spans="3:11" x14ac:dyDescent="0.25">
      <c r="C1021" s="61" t="s">
        <v>1113</v>
      </c>
      <c r="D1021" t="str">
        <f>VLOOKUP(C1021,[1]Orders!$A$5:$W$1043,3,0)</f>
        <v>Muhammed Yedwab</v>
      </c>
      <c r="E1021">
        <f>VLOOKUP(C1021,[1]Orders!$A$5:$W$1043,23,0)</f>
        <v>75.859999999999985</v>
      </c>
      <c r="F1021" t="str">
        <f>VLOOKUP(C1021,[1]Orders!$A$5:$W$1043,5,0)</f>
        <v>Sydney</v>
      </c>
      <c r="G1021" t="str">
        <f>VLOOKUP(C1021,[1]Orders!$A$5:$W$1043,5,0)</f>
        <v>Sydney</v>
      </c>
      <c r="H1021" t="str">
        <f>VLOOKUP(C1021,[1]Orders!$A$5:$W$1043,6,0)</f>
        <v>NSW</v>
      </c>
      <c r="I1021" t="str">
        <f>VLOOKUP(C1021,[1]Orders!$A$5:$W$1043,7,0)</f>
        <v>Consumer</v>
      </c>
      <c r="J1021" t="str">
        <f>VLOOKUP(C1021,[1]Orders!$A$5:$W$1043,8,0)</f>
        <v>Nicholas Fernandes</v>
      </c>
      <c r="K1021" t="str">
        <f>VLOOKUP(C1021,[1]Orders!$A$5:$W$1043,9,0)</f>
        <v>Not Specified</v>
      </c>
    </row>
    <row r="1022" spans="3:11" x14ac:dyDescent="0.25">
      <c r="C1022" s="61" t="s">
        <v>1114</v>
      </c>
      <c r="D1022" t="str">
        <f>VLOOKUP(C1022,[1]Orders!$A$5:$W$1043,3,0)</f>
        <v>Cynthia Arntzen</v>
      </c>
      <c r="E1022">
        <f>VLOOKUP(C1022,[1]Orders!$A$5:$W$1043,23,0)</f>
        <v>92.46</v>
      </c>
      <c r="F1022" t="str">
        <f>VLOOKUP(C1022,[1]Orders!$A$5:$W$1043,5,0)</f>
        <v>Sydney</v>
      </c>
      <c r="G1022" t="str">
        <f>VLOOKUP(C1022,[1]Orders!$A$5:$W$1043,5,0)</f>
        <v>Sydney</v>
      </c>
      <c r="H1022" t="str">
        <f>VLOOKUP(C1022,[1]Orders!$A$5:$W$1043,6,0)</f>
        <v>NSW</v>
      </c>
      <c r="I1022" t="str">
        <f>VLOOKUP(C1022,[1]Orders!$A$5:$W$1043,7,0)</f>
        <v>Small Business</v>
      </c>
      <c r="J1022" t="str">
        <f>VLOOKUP(C1022,[1]Orders!$A$5:$W$1043,8,0)</f>
        <v>Tina Carlton</v>
      </c>
      <c r="K1022" t="str">
        <f>VLOOKUP(C1022,[1]Orders!$A$5:$W$1043,9,0)</f>
        <v>Medium</v>
      </c>
    </row>
    <row r="1023" spans="3:11" x14ac:dyDescent="0.25">
      <c r="C1023" s="61" t="s">
        <v>1115</v>
      </c>
      <c r="D1023" t="str">
        <f>VLOOKUP(C1023,[1]Orders!$A$5:$W$1043,3,0)</f>
        <v>Stephanie Phelps</v>
      </c>
      <c r="E1023">
        <f>VLOOKUP(C1023,[1]Orders!$A$5:$W$1043,23,0)</f>
        <v>1218.94</v>
      </c>
      <c r="F1023" t="str">
        <f>VLOOKUP(C1023,[1]Orders!$A$5:$W$1043,5,0)</f>
        <v>Sydney</v>
      </c>
      <c r="G1023" t="str">
        <f>VLOOKUP(C1023,[1]Orders!$A$5:$W$1043,5,0)</f>
        <v>Sydney</v>
      </c>
      <c r="H1023" t="str">
        <f>VLOOKUP(C1023,[1]Orders!$A$5:$W$1043,6,0)</f>
        <v>NSW</v>
      </c>
      <c r="I1023" t="str">
        <f>VLOOKUP(C1023,[1]Orders!$A$5:$W$1043,7,0)</f>
        <v>Consumer</v>
      </c>
      <c r="J1023" t="str">
        <f>VLOOKUP(C1023,[1]Orders!$A$5:$W$1043,8,0)</f>
        <v>Mihael Khan</v>
      </c>
      <c r="K1023" t="str">
        <f>VLOOKUP(C1023,[1]Orders!$A$5:$W$1043,9,0)</f>
        <v>Medium</v>
      </c>
    </row>
    <row r="1024" spans="3:11" x14ac:dyDescent="0.25">
      <c r="C1024" s="61" t="s">
        <v>1116</v>
      </c>
      <c r="D1024" t="str">
        <f>VLOOKUP(C1024,[1]Orders!$A$5:$W$1043,3,0)</f>
        <v>Dave Hallsten</v>
      </c>
      <c r="E1024">
        <f>VLOOKUP(C1024,[1]Orders!$A$5:$W$1043,23,0)</f>
        <v>64.33</v>
      </c>
      <c r="F1024" t="str">
        <f>VLOOKUP(C1024,[1]Orders!$A$5:$W$1043,5,0)</f>
        <v>Sydney</v>
      </c>
      <c r="G1024" t="str">
        <f>VLOOKUP(C1024,[1]Orders!$A$5:$W$1043,5,0)</f>
        <v>Sydney</v>
      </c>
      <c r="H1024" t="str">
        <f>VLOOKUP(C1024,[1]Orders!$A$5:$W$1043,6,0)</f>
        <v>NSW</v>
      </c>
      <c r="I1024" t="str">
        <f>VLOOKUP(C1024,[1]Orders!$A$5:$W$1043,7,0)</f>
        <v>Home Office</v>
      </c>
      <c r="J1024" t="str">
        <f>VLOOKUP(C1024,[1]Orders!$A$5:$W$1043,8,0)</f>
        <v>Charlie Bui</v>
      </c>
      <c r="K1024" t="str">
        <f>VLOOKUP(C1024,[1]Orders!$A$5:$W$1043,9,0)</f>
        <v>Medium</v>
      </c>
    </row>
    <row r="1025" spans="3:11" x14ac:dyDescent="0.25">
      <c r="C1025" s="61" t="s">
        <v>1117</v>
      </c>
      <c r="D1025" t="str">
        <f>VLOOKUP(C1025,[1]Orders!$A$5:$W$1043,3,0)</f>
        <v>Bart Watters</v>
      </c>
      <c r="E1025">
        <f>VLOOKUP(C1025,[1]Orders!$A$5:$W$1043,23,0)</f>
        <v>639.14</v>
      </c>
      <c r="F1025" t="str">
        <f>VLOOKUP(C1025,[1]Orders!$A$5:$W$1043,5,0)</f>
        <v>Sydney</v>
      </c>
      <c r="G1025" t="str">
        <f>VLOOKUP(C1025,[1]Orders!$A$5:$W$1043,5,0)</f>
        <v>Sydney</v>
      </c>
      <c r="H1025" t="str">
        <f>VLOOKUP(C1025,[1]Orders!$A$5:$W$1043,6,0)</f>
        <v>NSW</v>
      </c>
      <c r="I1025" t="str">
        <f>VLOOKUP(C1025,[1]Orders!$A$5:$W$1043,7,0)</f>
        <v>Corporate</v>
      </c>
      <c r="J1025" t="str">
        <f>VLOOKUP(C1025,[1]Orders!$A$5:$W$1043,8,0)</f>
        <v>Nicholas Fernandes</v>
      </c>
      <c r="K1025" t="str">
        <f>VLOOKUP(C1025,[1]Orders!$A$5:$W$1043,9,0)</f>
        <v>Critical</v>
      </c>
    </row>
    <row r="1026" spans="3:11" x14ac:dyDescent="0.25">
      <c r="C1026" s="61" t="s">
        <v>1118</v>
      </c>
      <c r="D1026" t="str">
        <f>VLOOKUP(C1026,[1]Orders!$A$5:$W$1043,3,0)</f>
        <v>Patrick ODonnell</v>
      </c>
      <c r="E1026">
        <f>VLOOKUP(C1026,[1]Orders!$A$5:$W$1043,23,0)</f>
        <v>141.47999999999999</v>
      </c>
      <c r="F1026" t="str">
        <f>VLOOKUP(C1026,[1]Orders!$A$5:$W$1043,5,0)</f>
        <v>Sydney</v>
      </c>
      <c r="G1026" t="str">
        <f>VLOOKUP(C1026,[1]Orders!$A$5:$W$1043,5,0)</f>
        <v>Sydney</v>
      </c>
      <c r="H1026" t="str">
        <f>VLOOKUP(C1026,[1]Orders!$A$5:$W$1043,6,0)</f>
        <v>NSW</v>
      </c>
      <c r="I1026" t="str">
        <f>VLOOKUP(C1026,[1]Orders!$A$5:$W$1043,7,0)</f>
        <v>Home Office</v>
      </c>
      <c r="J1026" t="str">
        <f>VLOOKUP(C1026,[1]Orders!$A$5:$W$1043,8,0)</f>
        <v>Aanya Zhang</v>
      </c>
      <c r="K1026" t="str">
        <f>VLOOKUP(C1026,[1]Orders!$A$5:$W$1043,9,0)</f>
        <v>Medium</v>
      </c>
    </row>
    <row r="1027" spans="3:11" x14ac:dyDescent="0.25">
      <c r="C1027" s="61" t="s">
        <v>1119</v>
      </c>
      <c r="D1027" t="str">
        <f>VLOOKUP(C1027,[1]Orders!$A$5:$W$1043,3,0)</f>
        <v>Ann Steele</v>
      </c>
      <c r="E1027">
        <f>VLOOKUP(C1027,[1]Orders!$A$5:$W$1043,23,0)</f>
        <v>294.99</v>
      </c>
      <c r="F1027" t="str">
        <f>VLOOKUP(C1027,[1]Orders!$A$5:$W$1043,5,0)</f>
        <v>Sydney</v>
      </c>
      <c r="G1027" t="str">
        <f>VLOOKUP(C1027,[1]Orders!$A$5:$W$1043,5,0)</f>
        <v>Sydney</v>
      </c>
      <c r="H1027" t="str">
        <f>VLOOKUP(C1027,[1]Orders!$A$5:$W$1043,6,0)</f>
        <v>NSW</v>
      </c>
      <c r="I1027" t="str">
        <f>VLOOKUP(C1027,[1]Orders!$A$5:$W$1043,7,0)</f>
        <v>Corporate</v>
      </c>
      <c r="J1027" t="str">
        <f>VLOOKUP(C1027,[1]Orders!$A$5:$W$1043,8,0)</f>
        <v>Nicholas Fernandes</v>
      </c>
      <c r="K1027" t="str">
        <f>VLOOKUP(C1027,[1]Orders!$A$5:$W$1043,9,0)</f>
        <v>Critical</v>
      </c>
    </row>
    <row r="1028" spans="3:11" x14ac:dyDescent="0.25">
      <c r="C1028" s="61" t="s">
        <v>1120</v>
      </c>
      <c r="D1028" t="str">
        <f>VLOOKUP(C1028,[1]Orders!$A$5:$W$1043,3,0)</f>
        <v>Sung Chung</v>
      </c>
      <c r="E1028">
        <f>VLOOKUP(C1028,[1]Orders!$A$5:$W$1043,23,0)</f>
        <v>16.66</v>
      </c>
      <c r="F1028" t="str">
        <f>VLOOKUP(C1028,[1]Orders!$A$5:$W$1043,5,0)</f>
        <v>Sydney</v>
      </c>
      <c r="G1028" t="str">
        <f>VLOOKUP(C1028,[1]Orders!$A$5:$W$1043,5,0)</f>
        <v>Sydney</v>
      </c>
      <c r="H1028" t="str">
        <f>VLOOKUP(C1028,[1]Orders!$A$5:$W$1043,6,0)</f>
        <v>NSW</v>
      </c>
      <c r="I1028" t="str">
        <f>VLOOKUP(C1028,[1]Orders!$A$5:$W$1043,7,0)</f>
        <v>Home Office</v>
      </c>
      <c r="J1028" t="str">
        <f>VLOOKUP(C1028,[1]Orders!$A$5:$W$1043,8,0)</f>
        <v>Samantha Chairs</v>
      </c>
      <c r="K1028" t="str">
        <f>VLOOKUP(C1028,[1]Orders!$A$5:$W$1043,9,0)</f>
        <v>Not Specified</v>
      </c>
    </row>
    <row r="1029" spans="3:11" x14ac:dyDescent="0.25">
      <c r="C1029" s="61" t="s">
        <v>1121</v>
      </c>
      <c r="D1029" t="str">
        <f>VLOOKUP(C1029,[1]Orders!$A$5:$W$1043,3,0)</f>
        <v>Luke Weiss</v>
      </c>
      <c r="E1029">
        <f>VLOOKUP(C1029,[1]Orders!$A$5:$W$1043,23,0)</f>
        <v>613.4899999999999</v>
      </c>
      <c r="F1029" t="str">
        <f>VLOOKUP(C1029,[1]Orders!$A$5:$W$1043,5,0)</f>
        <v>Sydney</v>
      </c>
      <c r="G1029" t="str">
        <f>VLOOKUP(C1029,[1]Orders!$A$5:$W$1043,5,0)</f>
        <v>Sydney</v>
      </c>
      <c r="H1029" t="str">
        <f>VLOOKUP(C1029,[1]Orders!$A$5:$W$1043,6,0)</f>
        <v>NSW</v>
      </c>
      <c r="I1029" t="str">
        <f>VLOOKUP(C1029,[1]Orders!$A$5:$W$1043,7,0)</f>
        <v>Corporate</v>
      </c>
      <c r="J1029" t="str">
        <f>VLOOKUP(C1029,[1]Orders!$A$5:$W$1043,8,0)</f>
        <v>Charlie Bui</v>
      </c>
      <c r="K1029" t="str">
        <f>VLOOKUP(C1029,[1]Orders!$A$5:$W$1043,9,0)</f>
        <v>Not Specified</v>
      </c>
    </row>
    <row r="1030" spans="3:11" x14ac:dyDescent="0.25">
      <c r="C1030" s="61" t="s">
        <v>1122</v>
      </c>
      <c r="D1030" t="str">
        <f>VLOOKUP(C1030,[1]Orders!$A$5:$W$1043,3,0)</f>
        <v>Laurel Workman</v>
      </c>
      <c r="E1030">
        <f>VLOOKUP(C1030,[1]Orders!$A$5:$W$1043,23,0)</f>
        <v>132.88999999999999</v>
      </c>
      <c r="F1030" t="str">
        <f>VLOOKUP(C1030,[1]Orders!$A$5:$W$1043,5,0)</f>
        <v>Sydney</v>
      </c>
      <c r="G1030" t="str">
        <f>VLOOKUP(C1030,[1]Orders!$A$5:$W$1043,5,0)</f>
        <v>Sydney</v>
      </c>
      <c r="H1030" t="str">
        <f>VLOOKUP(C1030,[1]Orders!$A$5:$W$1043,6,0)</f>
        <v>NSW</v>
      </c>
      <c r="I1030" t="str">
        <f>VLOOKUP(C1030,[1]Orders!$A$5:$W$1043,7,0)</f>
        <v>Home Office</v>
      </c>
      <c r="J1030" t="str">
        <f>VLOOKUP(C1030,[1]Orders!$A$5:$W$1043,8,0)</f>
        <v>Natasha Song</v>
      </c>
      <c r="K1030" t="str">
        <f>VLOOKUP(C1030,[1]Orders!$A$5:$W$1043,9,0)</f>
        <v>Medium</v>
      </c>
    </row>
    <row r="1031" spans="3:11" x14ac:dyDescent="0.25">
      <c r="C1031" s="61" t="s">
        <v>1123</v>
      </c>
      <c r="D1031" t="str">
        <f>VLOOKUP(C1031,[1]Orders!$A$5:$W$1043,3,0)</f>
        <v>Carol Darley</v>
      </c>
      <c r="E1031">
        <f>VLOOKUP(C1031,[1]Orders!$A$5:$W$1043,23,0)</f>
        <v>1289.6500000000001</v>
      </c>
      <c r="F1031" t="str">
        <f>VLOOKUP(C1031,[1]Orders!$A$5:$W$1043,5,0)</f>
        <v>Melbourne</v>
      </c>
      <c r="G1031" t="str">
        <f>VLOOKUP(C1031,[1]Orders!$A$5:$W$1043,5,0)</f>
        <v>Melbourne</v>
      </c>
      <c r="H1031" t="str">
        <f>VLOOKUP(C1031,[1]Orders!$A$5:$W$1043,6,0)</f>
        <v>VIC</v>
      </c>
      <c r="I1031" t="str">
        <f>VLOOKUP(C1031,[1]Orders!$A$5:$W$1043,7,0)</f>
        <v>Small Business</v>
      </c>
      <c r="J1031" t="str">
        <f>VLOOKUP(C1031,[1]Orders!$A$5:$W$1043,8,0)</f>
        <v>Yvette Biti</v>
      </c>
      <c r="K1031" t="str">
        <f>VLOOKUP(C1031,[1]Orders!$A$5:$W$1043,9,0)</f>
        <v>Low</v>
      </c>
    </row>
    <row r="1032" spans="3:11" x14ac:dyDescent="0.25">
      <c r="C1032" s="61" t="s">
        <v>1124</v>
      </c>
      <c r="D1032" t="str">
        <f>VLOOKUP(C1032,[1]Orders!$A$5:$W$1043,3,0)</f>
        <v>Julia Barnett</v>
      </c>
      <c r="E1032">
        <f>VLOOKUP(C1032,[1]Orders!$A$5:$W$1043,23,0)</f>
        <v>185.77</v>
      </c>
      <c r="F1032" t="str">
        <f>VLOOKUP(C1032,[1]Orders!$A$5:$W$1043,5,0)</f>
        <v>Sydney</v>
      </c>
      <c r="G1032" t="str">
        <f>VLOOKUP(C1032,[1]Orders!$A$5:$W$1043,5,0)</f>
        <v>Sydney</v>
      </c>
      <c r="H1032" t="str">
        <f>VLOOKUP(C1032,[1]Orders!$A$5:$W$1043,6,0)</f>
        <v>NSW</v>
      </c>
      <c r="I1032" t="str">
        <f>VLOOKUP(C1032,[1]Orders!$A$5:$W$1043,7,0)</f>
        <v>Corporate</v>
      </c>
      <c r="J1032" t="str">
        <f>VLOOKUP(C1032,[1]Orders!$A$5:$W$1043,8,0)</f>
        <v>Leighton Forrest</v>
      </c>
      <c r="K1032" t="str">
        <f>VLOOKUP(C1032,[1]Orders!$A$5:$W$1043,9,0)</f>
        <v>Not Specified</v>
      </c>
    </row>
    <row r="1033" spans="3:11" x14ac:dyDescent="0.25">
      <c r="C1033" s="61" t="s">
        <v>1125</v>
      </c>
      <c r="D1033" t="str">
        <f>VLOOKUP(C1033,[1]Orders!$A$5:$W$1043,3,0)</f>
        <v>Jeremy Pistek</v>
      </c>
      <c r="E1033">
        <f>VLOOKUP(C1033,[1]Orders!$A$5:$W$1043,23,0)</f>
        <v>69.959999999999994</v>
      </c>
      <c r="F1033" t="str">
        <f>VLOOKUP(C1033,[1]Orders!$A$5:$W$1043,5,0)</f>
        <v>Sydney</v>
      </c>
      <c r="G1033" t="str">
        <f>VLOOKUP(C1033,[1]Orders!$A$5:$W$1043,5,0)</f>
        <v>Sydney</v>
      </c>
      <c r="H1033" t="str">
        <f>VLOOKUP(C1033,[1]Orders!$A$5:$W$1043,6,0)</f>
        <v>NSW</v>
      </c>
      <c r="I1033" t="str">
        <f>VLOOKUP(C1033,[1]Orders!$A$5:$W$1043,7,0)</f>
        <v>Corporate</v>
      </c>
      <c r="J1033" t="str">
        <f>VLOOKUP(C1033,[1]Orders!$A$5:$W$1043,8,0)</f>
        <v>Mihael Khan</v>
      </c>
      <c r="K1033" t="str">
        <f>VLOOKUP(C1033,[1]Orders!$A$5:$W$1043,9,0)</f>
        <v>Not Specified</v>
      </c>
    </row>
    <row r="1034" spans="3:11" x14ac:dyDescent="0.25">
      <c r="C1034" s="61" t="s">
        <v>1126</v>
      </c>
      <c r="D1034" t="str">
        <f>VLOOKUP(C1034,[1]Orders!$A$5:$W$1043,3,0)</f>
        <v>Ken Heidel</v>
      </c>
      <c r="E1034">
        <f>VLOOKUP(C1034,[1]Orders!$A$5:$W$1043,23,0)</f>
        <v>269</v>
      </c>
      <c r="F1034" t="str">
        <f>VLOOKUP(C1034,[1]Orders!$A$5:$W$1043,5,0)</f>
        <v>Sydney</v>
      </c>
      <c r="G1034" t="str">
        <f>VLOOKUP(C1034,[1]Orders!$A$5:$W$1043,5,0)</f>
        <v>Sydney</v>
      </c>
      <c r="H1034" t="str">
        <f>VLOOKUP(C1034,[1]Orders!$A$5:$W$1043,6,0)</f>
        <v>NSW</v>
      </c>
      <c r="I1034" t="str">
        <f>VLOOKUP(C1034,[1]Orders!$A$5:$W$1043,7,0)</f>
        <v>Corporate</v>
      </c>
      <c r="J1034" t="str">
        <f>VLOOKUP(C1034,[1]Orders!$A$5:$W$1043,8,0)</f>
        <v>Natasha Song</v>
      </c>
      <c r="K1034" t="str">
        <f>VLOOKUP(C1034,[1]Orders!$A$5:$W$1043,9,0)</f>
        <v>Not Specified</v>
      </c>
    </row>
    <row r="1035" spans="3:11" x14ac:dyDescent="0.25">
      <c r="C1035" s="61" t="s">
        <v>1127</v>
      </c>
      <c r="D1035" t="str">
        <f>VLOOKUP(C1035,[1]Orders!$A$5:$W$1043,3,0)</f>
        <v>Harold Pawlan</v>
      </c>
      <c r="E1035">
        <f>VLOOKUP(C1035,[1]Orders!$A$5:$W$1043,23,0)</f>
        <v>8735.2800000000007</v>
      </c>
      <c r="F1035" t="str">
        <f>VLOOKUP(C1035,[1]Orders!$A$5:$W$1043,5,0)</f>
        <v>Melbourne</v>
      </c>
      <c r="G1035" t="str">
        <f>VLOOKUP(C1035,[1]Orders!$A$5:$W$1043,5,0)</f>
        <v>Melbourne</v>
      </c>
      <c r="H1035" t="str">
        <f>VLOOKUP(C1035,[1]Orders!$A$5:$W$1043,6,0)</f>
        <v>VIC</v>
      </c>
      <c r="I1035" t="str">
        <f>VLOOKUP(C1035,[1]Orders!$A$5:$W$1043,7,0)</f>
        <v>Small Business</v>
      </c>
      <c r="J1035" t="str">
        <f>VLOOKUP(C1035,[1]Orders!$A$5:$W$1043,8,0)</f>
        <v>Connor Betts</v>
      </c>
      <c r="K1035" t="str">
        <f>VLOOKUP(C1035,[1]Orders!$A$5:$W$1043,9,0)</f>
        <v>High</v>
      </c>
    </row>
    <row r="1036" spans="3:11" x14ac:dyDescent="0.25">
      <c r="C1036" s="61" t="s">
        <v>1128</v>
      </c>
      <c r="D1036" t="str">
        <f>VLOOKUP(C1036,[1]Orders!$A$5:$W$1043,3,0)</f>
        <v>Kean Thornton</v>
      </c>
      <c r="E1036">
        <f>VLOOKUP(C1036,[1]Orders!$A$5:$W$1043,23,0)</f>
        <v>162.65</v>
      </c>
      <c r="F1036" t="str">
        <f>VLOOKUP(C1036,[1]Orders!$A$5:$W$1043,5,0)</f>
        <v>Sydney</v>
      </c>
      <c r="G1036" t="str">
        <f>VLOOKUP(C1036,[1]Orders!$A$5:$W$1043,5,0)</f>
        <v>Sydney</v>
      </c>
      <c r="H1036" t="str">
        <f>VLOOKUP(C1036,[1]Orders!$A$5:$W$1043,6,0)</f>
        <v>NSW</v>
      </c>
      <c r="I1036" t="str">
        <f>VLOOKUP(C1036,[1]Orders!$A$5:$W$1043,7,0)</f>
        <v>Corporate</v>
      </c>
      <c r="J1036" t="str">
        <f>VLOOKUP(C1036,[1]Orders!$A$5:$W$1043,8,0)</f>
        <v>Natasha Song</v>
      </c>
      <c r="K1036" t="str">
        <f>VLOOKUP(C1036,[1]Orders!$A$5:$W$1043,9,0)</f>
        <v>Critical</v>
      </c>
    </row>
    <row r="1037" spans="3:11" x14ac:dyDescent="0.25">
      <c r="C1037" s="61" t="s">
        <v>1129</v>
      </c>
      <c r="D1037" t="str">
        <f>VLOOKUP(C1037,[1]Orders!$A$5:$W$1043,3,0)</f>
        <v>Rick Hansen</v>
      </c>
      <c r="E1037">
        <f>VLOOKUP(C1037,[1]Orders!$A$5:$W$1043,23,0)</f>
        <v>510.11</v>
      </c>
      <c r="F1037" t="str">
        <f>VLOOKUP(C1037,[1]Orders!$A$5:$W$1043,5,0)</f>
        <v>Sydney</v>
      </c>
      <c r="G1037" t="str">
        <f>VLOOKUP(C1037,[1]Orders!$A$5:$W$1043,5,0)</f>
        <v>Sydney</v>
      </c>
      <c r="H1037" t="str">
        <f>VLOOKUP(C1037,[1]Orders!$A$5:$W$1043,6,0)</f>
        <v>NSW</v>
      </c>
      <c r="I1037" t="str">
        <f>VLOOKUP(C1037,[1]Orders!$A$5:$W$1043,7,0)</f>
        <v>Home Office</v>
      </c>
      <c r="J1037" t="str">
        <f>VLOOKUP(C1037,[1]Orders!$A$5:$W$1043,8,0)</f>
        <v>Nicholas Fernandes</v>
      </c>
      <c r="K1037" t="str">
        <f>VLOOKUP(C1037,[1]Orders!$A$5:$W$1043,9,0)</f>
        <v>Not Specified</v>
      </c>
    </row>
    <row r="1038" spans="3:11" x14ac:dyDescent="0.25">
      <c r="C1038" s="61" t="s">
        <v>1130</v>
      </c>
      <c r="D1038" t="str">
        <f>VLOOKUP(C1038,[1]Orders!$A$5:$W$1043,3,0)</f>
        <v>Joy Daniels</v>
      </c>
      <c r="E1038">
        <f>VLOOKUP(C1038,[1]Orders!$A$5:$W$1043,23,0)</f>
        <v>93.41</v>
      </c>
      <c r="F1038" t="str">
        <f>VLOOKUP(C1038,[1]Orders!$A$5:$W$1043,5,0)</f>
        <v>Sydney</v>
      </c>
      <c r="G1038" t="str">
        <f>VLOOKUP(C1038,[1]Orders!$A$5:$W$1043,5,0)</f>
        <v>Sydney</v>
      </c>
      <c r="H1038" t="str">
        <f>VLOOKUP(C1038,[1]Orders!$A$5:$W$1043,6,0)</f>
        <v>NSW</v>
      </c>
      <c r="I1038" t="str">
        <f>VLOOKUP(C1038,[1]Orders!$A$5:$W$1043,7,0)</f>
        <v>Corporate</v>
      </c>
      <c r="J1038" t="str">
        <f>VLOOKUP(C1038,[1]Orders!$A$5:$W$1043,8,0)</f>
        <v>Nicholas Fernandes</v>
      </c>
      <c r="K1038" t="str">
        <f>VLOOKUP(C1038,[1]Orders!$A$5:$W$1043,9,0)</f>
        <v>Low</v>
      </c>
    </row>
    <row r="1039" spans="3:11" x14ac:dyDescent="0.25">
      <c r="C1039" s="61" t="s">
        <v>1131</v>
      </c>
      <c r="D1039" t="str">
        <f>VLOOKUP(C1039,[1]Orders!$A$5:$W$1043,3,0)</f>
        <v>Cindy Chapman</v>
      </c>
      <c r="E1039">
        <f>VLOOKUP(C1039,[1]Orders!$A$5:$W$1043,23,0)</f>
        <v>327.93</v>
      </c>
      <c r="F1039" t="str">
        <f>VLOOKUP(C1039,[1]Orders!$A$5:$W$1043,5,0)</f>
        <v>Sydney</v>
      </c>
      <c r="G1039" t="str">
        <f>VLOOKUP(C1039,[1]Orders!$A$5:$W$1043,5,0)</f>
        <v>Sydney</v>
      </c>
      <c r="H1039" t="str">
        <f>VLOOKUP(C1039,[1]Orders!$A$5:$W$1043,6,0)</f>
        <v>NSW</v>
      </c>
      <c r="I1039" t="str">
        <f>VLOOKUP(C1039,[1]Orders!$A$5:$W$1043,7,0)</f>
        <v>Corporate</v>
      </c>
      <c r="J1039" t="str">
        <f>VLOOKUP(C1039,[1]Orders!$A$5:$W$1043,8,0)</f>
        <v>Tina Carlton</v>
      </c>
      <c r="K1039" t="str">
        <f>VLOOKUP(C1039,[1]Orders!$A$5:$W$1043,9,0)</f>
        <v>Not Specified</v>
      </c>
    </row>
    <row r="1040" spans="3:11" x14ac:dyDescent="0.25">
      <c r="C1040" s="61" t="s">
        <v>1132</v>
      </c>
      <c r="D1040" t="str">
        <f>VLOOKUP(C1040,[1]Orders!$A$5:$W$1043,3,0)</f>
        <v>Alex Russell</v>
      </c>
      <c r="E1040">
        <f>VLOOKUP(C1040,[1]Orders!$A$5:$W$1043,23,0)</f>
        <v>99.639999999999986</v>
      </c>
      <c r="F1040" t="str">
        <f>VLOOKUP(C1040,[1]Orders!$A$5:$W$1043,5,0)</f>
        <v>Melbourne</v>
      </c>
      <c r="G1040" t="str">
        <f>VLOOKUP(C1040,[1]Orders!$A$5:$W$1043,5,0)</f>
        <v>Melbourne</v>
      </c>
      <c r="H1040" t="str">
        <f>VLOOKUP(C1040,[1]Orders!$A$5:$W$1043,6,0)</f>
        <v>VIC</v>
      </c>
      <c r="I1040" t="str">
        <f>VLOOKUP(C1040,[1]Orders!$A$5:$W$1043,7,0)</f>
        <v>Home Office</v>
      </c>
      <c r="J1040" t="str">
        <f>VLOOKUP(C1040,[1]Orders!$A$5:$W$1043,8,0)</f>
        <v>Connor Betts</v>
      </c>
      <c r="K1040" t="str">
        <f>VLOOKUP(C1040,[1]Orders!$A$5:$W$1043,9,0)</f>
        <v>High</v>
      </c>
    </row>
    <row r="1041" spans="3:11" x14ac:dyDescent="0.25">
      <c r="C1041" s="61" t="s">
        <v>1133</v>
      </c>
      <c r="D1041" t="str">
        <f>VLOOKUP(C1041,[1]Orders!$A$5:$W$1043,3,0)</f>
        <v>Roland Black</v>
      </c>
      <c r="E1041">
        <f>VLOOKUP(C1041,[1]Orders!$A$5:$W$1043,23,0)</f>
        <v>861.62000000000012</v>
      </c>
      <c r="F1041" t="str">
        <f>VLOOKUP(C1041,[1]Orders!$A$5:$W$1043,5,0)</f>
        <v>Sydney</v>
      </c>
      <c r="G1041" t="str">
        <f>VLOOKUP(C1041,[1]Orders!$A$5:$W$1043,5,0)</f>
        <v>Sydney</v>
      </c>
      <c r="H1041" t="str">
        <f>VLOOKUP(C1041,[1]Orders!$A$5:$W$1043,6,0)</f>
        <v>NSW</v>
      </c>
      <c r="I1041" t="str">
        <f>VLOOKUP(C1041,[1]Orders!$A$5:$W$1043,7,0)</f>
        <v>Small Business</v>
      </c>
      <c r="J1041" t="str">
        <f>VLOOKUP(C1041,[1]Orders!$A$5:$W$1043,8,0)</f>
        <v>Natasha Song</v>
      </c>
      <c r="K1041" t="str">
        <f>VLOOKUP(C1041,[1]Orders!$A$5:$W$1043,9,0)</f>
        <v>High</v>
      </c>
    </row>
    <row r="1042" spans="3:11" x14ac:dyDescent="0.25">
      <c r="C1042" s="61" t="s">
        <v>1134</v>
      </c>
      <c r="D1042" t="str">
        <f>VLOOKUP(C1042,[1]Orders!$A$5:$W$1043,3,0)</f>
        <v>Art Foster</v>
      </c>
      <c r="E1042">
        <f>VLOOKUP(C1042,[1]Orders!$A$5:$W$1043,23,0)</f>
        <v>43.440000000000005</v>
      </c>
      <c r="F1042" t="str">
        <f>VLOOKUP(C1042,[1]Orders!$A$5:$W$1043,5,0)</f>
        <v>Sydney</v>
      </c>
      <c r="G1042" t="str">
        <f>VLOOKUP(C1042,[1]Orders!$A$5:$W$1043,5,0)</f>
        <v>Sydney</v>
      </c>
      <c r="H1042" t="str">
        <f>VLOOKUP(C1042,[1]Orders!$A$5:$W$1043,6,0)</f>
        <v>NSW</v>
      </c>
      <c r="I1042" t="str">
        <f>VLOOKUP(C1042,[1]Orders!$A$5:$W$1043,7,0)</f>
        <v>Home Office</v>
      </c>
      <c r="J1042" t="str">
        <f>VLOOKUP(C1042,[1]Orders!$A$5:$W$1043,8,0)</f>
        <v>Stevie Bacata</v>
      </c>
      <c r="K1042" t="str">
        <f>VLOOKUP(C1042,[1]Orders!$A$5:$W$1043,9,0)</f>
        <v>Medium</v>
      </c>
    </row>
    <row r="1043" spans="3:11" x14ac:dyDescent="0.25">
      <c r="C1043" s="61" t="s">
        <v>1135</v>
      </c>
      <c r="D1043" t="str">
        <f>VLOOKUP(C1043,[1]Orders!$A$5:$W$1043,3,0)</f>
        <v>Maribeth Yedwab</v>
      </c>
      <c r="E1043">
        <f>VLOOKUP(C1043,[1]Orders!$A$5:$W$1043,23,0)</f>
        <v>623.38</v>
      </c>
      <c r="F1043" t="str">
        <f>VLOOKUP(C1043,[1]Orders!$A$5:$W$1043,5,0)</f>
        <v>Melbourne</v>
      </c>
      <c r="G1043" t="str">
        <f>VLOOKUP(C1043,[1]Orders!$A$5:$W$1043,5,0)</f>
        <v>Melbourne</v>
      </c>
      <c r="H1043" t="str">
        <f>VLOOKUP(C1043,[1]Orders!$A$5:$W$1043,6,0)</f>
        <v>VIC</v>
      </c>
      <c r="I1043" t="str">
        <f>VLOOKUP(C1043,[1]Orders!$A$5:$W$1043,7,0)</f>
        <v>Home Office</v>
      </c>
      <c r="J1043" t="str">
        <f>VLOOKUP(C1043,[1]Orders!$A$5:$W$1043,8,0)</f>
        <v>Connor Betts</v>
      </c>
      <c r="K1043" t="str">
        <f>VLOOKUP(C1043,[1]Orders!$A$5:$W$1043,9,0)</f>
        <v>Low</v>
      </c>
    </row>
    <row r="1044" spans="3:11" x14ac:dyDescent="0.25">
      <c r="C1044" s="61" t="s">
        <v>1136</v>
      </c>
      <c r="D1044" t="str">
        <f>VLOOKUP(C1044,[1]Orders!$A$5:$W$1043,3,0)</f>
        <v>Theresa Swint</v>
      </c>
      <c r="E1044">
        <f>VLOOKUP(C1044,[1]Orders!$A$5:$W$1043,23,0)</f>
        <v>15.4</v>
      </c>
      <c r="F1044" t="str">
        <f>VLOOKUP(C1044,[1]Orders!$A$5:$W$1043,5,0)</f>
        <v>Melbourne</v>
      </c>
      <c r="G1044" t="str">
        <f>VLOOKUP(C1044,[1]Orders!$A$5:$W$1043,5,0)</f>
        <v>Melbourne</v>
      </c>
      <c r="H1044" t="str">
        <f>VLOOKUP(C1044,[1]Orders!$A$5:$W$1043,6,0)</f>
        <v>VIC</v>
      </c>
      <c r="I1044" t="str">
        <f>VLOOKUP(C1044,[1]Orders!$A$5:$W$1043,7,0)</f>
        <v>Consumer</v>
      </c>
      <c r="J1044" t="str">
        <f>VLOOKUP(C1044,[1]Orders!$A$5:$W$1043,8,0)</f>
        <v>Connor Betts</v>
      </c>
      <c r="K1044" t="str">
        <f>VLOOKUP(C1044,[1]Orders!$A$5:$W$1043,9,0)</f>
        <v>Medium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3"/>
  <sheetViews>
    <sheetView zoomScale="80" zoomScaleNormal="80" workbookViewId="0">
      <pane xSplit="1" ySplit="3" topLeftCell="K1030" activePane="bottomRight" state="frozen"/>
      <selection pane="topRight" activeCell="B1" sqref="B1"/>
      <selection pane="bottomLeft" activeCell="A4" sqref="A4"/>
      <selection pane="bottomRight" activeCell="Q1046" sqref="Q1046"/>
    </sheetView>
  </sheetViews>
  <sheetFormatPr defaultColWidth="8.85546875" defaultRowHeight="15" x14ac:dyDescent="0.25"/>
  <cols>
    <col min="1" max="1" width="19.42578125" style="61" bestFit="1" customWidth="1"/>
    <col min="2" max="2" width="13.28515625" style="61" customWidth="1"/>
    <col min="3" max="3" width="20.28515625" style="61" bestFit="1" customWidth="1"/>
    <col min="4" max="4" width="72.42578125" style="61" customWidth="1"/>
    <col min="5" max="5" width="12" style="61" bestFit="1" customWidth="1"/>
    <col min="6" max="6" width="10.85546875" style="61" customWidth="1"/>
    <col min="7" max="7" width="16.28515625" style="61" customWidth="1"/>
    <col min="8" max="8" width="18.140625" style="61" customWidth="1"/>
    <col min="9" max="9" width="15" style="61" customWidth="1"/>
    <col min="10" max="10" width="81.28515625" style="61" bestFit="1" customWidth="1"/>
    <col min="11" max="11" width="18.42578125" style="61" customWidth="1"/>
    <col min="12" max="12" width="19" style="61" customWidth="1"/>
    <col min="13" max="13" width="14.85546875" style="61" bestFit="1" customWidth="1"/>
    <col min="14" max="15" width="12" style="61" customWidth="1"/>
    <col min="16" max="16" width="12.7109375" style="61" customWidth="1"/>
    <col min="17" max="17" width="15.7109375" style="61" bestFit="1" customWidth="1"/>
    <col min="18" max="18" width="12.140625" style="61" customWidth="1"/>
    <col min="19" max="19" width="12" style="61" bestFit="1" customWidth="1"/>
    <col min="20" max="20" width="12" style="61" customWidth="1"/>
    <col min="21" max="21" width="12.5703125" style="61" customWidth="1"/>
    <col min="22" max="22" width="14.42578125" style="61" customWidth="1"/>
    <col min="23" max="23" width="16.7109375" style="61" customWidth="1"/>
    <col min="24" max="16384" width="8.85546875" style="61"/>
  </cols>
  <sheetData>
    <row r="1" spans="1:24" ht="20.25" thickBot="1" x14ac:dyDescent="0.35">
      <c r="A1" s="89" t="s">
        <v>1204</v>
      </c>
      <c r="B1" s="89"/>
    </row>
    <row r="2" spans="1:24" ht="15.75" thickTop="1" x14ac:dyDescent="0.25"/>
    <row r="3" spans="1:24" ht="18" customHeight="1" x14ac:dyDescent="0.25">
      <c r="A3" s="90" t="s">
        <v>123</v>
      </c>
      <c r="B3" s="90" t="s">
        <v>1205</v>
      </c>
      <c r="C3" s="90" t="s">
        <v>124</v>
      </c>
      <c r="D3" s="90" t="s">
        <v>1206</v>
      </c>
      <c r="E3" s="90" t="s">
        <v>1137</v>
      </c>
      <c r="F3" s="90" t="s">
        <v>1138</v>
      </c>
      <c r="G3" s="90" t="s">
        <v>1139</v>
      </c>
      <c r="H3" s="90" t="s">
        <v>1140</v>
      </c>
      <c r="I3" s="90" t="s">
        <v>1141</v>
      </c>
      <c r="J3" s="90" t="s">
        <v>1142</v>
      </c>
      <c r="K3" s="90" t="s">
        <v>1207</v>
      </c>
      <c r="L3" s="90" t="s">
        <v>1208</v>
      </c>
      <c r="M3" s="90" t="s">
        <v>1209</v>
      </c>
      <c r="N3" s="90" t="s">
        <v>1210</v>
      </c>
      <c r="O3" s="90" t="s">
        <v>1211</v>
      </c>
      <c r="P3" s="90" t="s">
        <v>1212</v>
      </c>
      <c r="Q3" s="90" t="s">
        <v>1213</v>
      </c>
      <c r="R3" s="90" t="s">
        <v>1214</v>
      </c>
      <c r="S3" s="90" t="s">
        <v>1215</v>
      </c>
      <c r="T3" s="90" t="s">
        <v>1216</v>
      </c>
      <c r="U3" s="90" t="s">
        <v>1217</v>
      </c>
      <c r="V3" s="90" t="s">
        <v>1218</v>
      </c>
      <c r="W3" s="90" t="s">
        <v>46</v>
      </c>
    </row>
    <row r="4" spans="1:24" x14ac:dyDescent="0.25">
      <c r="A4" s="61" t="s">
        <v>1168</v>
      </c>
      <c r="B4" s="91" t="s">
        <v>1169</v>
      </c>
      <c r="C4" s="92" t="s">
        <v>1170</v>
      </c>
      <c r="D4" s="92" t="s">
        <v>1171</v>
      </c>
      <c r="E4" s="92" t="s">
        <v>1172</v>
      </c>
      <c r="F4" s="92" t="s">
        <v>1173</v>
      </c>
      <c r="G4" s="92" t="s">
        <v>1174</v>
      </c>
      <c r="H4" s="92" t="s">
        <v>1175</v>
      </c>
      <c r="I4" s="92" t="s">
        <v>1176</v>
      </c>
      <c r="J4" s="92" t="s">
        <v>1219</v>
      </c>
      <c r="K4" s="92" t="s">
        <v>1220</v>
      </c>
      <c r="L4" s="92" t="s">
        <v>1221</v>
      </c>
      <c r="M4" s="92" t="s">
        <v>1222</v>
      </c>
      <c r="N4" s="91" t="s">
        <v>1223</v>
      </c>
      <c r="O4" s="93" t="s">
        <v>1224</v>
      </c>
      <c r="P4" s="93" t="s">
        <v>1225</v>
      </c>
      <c r="Q4" s="94" t="s">
        <v>1226</v>
      </c>
      <c r="R4" s="93" t="s">
        <v>1227</v>
      </c>
      <c r="S4" s="95" t="s">
        <v>1228</v>
      </c>
      <c r="T4" s="96" t="s">
        <v>1229</v>
      </c>
      <c r="U4" s="96" t="s">
        <v>1230</v>
      </c>
      <c r="V4" s="93" t="s">
        <v>1231</v>
      </c>
      <c r="W4" s="97" t="s">
        <v>1232</v>
      </c>
      <c r="X4" s="97"/>
    </row>
    <row r="5" spans="1:24" x14ac:dyDescent="0.25">
      <c r="A5" s="61" t="s">
        <v>1143</v>
      </c>
      <c r="B5" s="91">
        <v>41399</v>
      </c>
      <c r="C5" s="92" t="s">
        <v>1233</v>
      </c>
      <c r="D5" s="92" t="s">
        <v>1234</v>
      </c>
      <c r="E5" s="92" t="s">
        <v>1198</v>
      </c>
      <c r="F5" s="92" t="s">
        <v>1235</v>
      </c>
      <c r="G5" s="92" t="s">
        <v>1200</v>
      </c>
      <c r="H5" s="92" t="s">
        <v>1236</v>
      </c>
      <c r="I5" s="92" t="s">
        <v>1237</v>
      </c>
      <c r="J5" s="92" t="s">
        <v>1238</v>
      </c>
      <c r="K5" s="92" t="s">
        <v>1239</v>
      </c>
      <c r="L5" s="92" t="s">
        <v>1240</v>
      </c>
      <c r="M5" s="92" t="s">
        <v>1241</v>
      </c>
      <c r="N5" s="91">
        <v>41400</v>
      </c>
      <c r="O5" s="93">
        <v>1.87</v>
      </c>
      <c r="P5" s="93">
        <v>8.1199999999999992</v>
      </c>
      <c r="Q5" s="94">
        <v>41</v>
      </c>
      <c r="R5" s="93">
        <f t="shared" ref="R5:R68" si="0">P5*Q5</f>
        <v>332.91999999999996</v>
      </c>
      <c r="S5" s="95">
        <v>0.06</v>
      </c>
      <c r="T5" s="96">
        <f t="shared" ref="T5:T68" si="1">R5*S5</f>
        <v>19.975199999999997</v>
      </c>
      <c r="U5" s="96">
        <f t="shared" ref="U5:U68" si="2">R5-S5</f>
        <v>332.85999999999996</v>
      </c>
      <c r="V5" s="93">
        <v>2.83</v>
      </c>
      <c r="W5" s="97">
        <f t="shared" ref="W5:W68" si="3">U5+V5</f>
        <v>335.68999999999994</v>
      </c>
    </row>
    <row r="6" spans="1:24" x14ac:dyDescent="0.25">
      <c r="A6" s="61" t="s">
        <v>1144</v>
      </c>
      <c r="B6" s="91">
        <v>41399</v>
      </c>
      <c r="C6" s="92" t="s">
        <v>1233</v>
      </c>
      <c r="D6" s="92" t="s">
        <v>1234</v>
      </c>
      <c r="E6" s="92" t="s">
        <v>1198</v>
      </c>
      <c r="F6" s="92" t="s">
        <v>1235</v>
      </c>
      <c r="G6" s="92" t="s">
        <v>1200</v>
      </c>
      <c r="H6" s="92" t="s">
        <v>1236</v>
      </c>
      <c r="I6" s="92" t="s">
        <v>1237</v>
      </c>
      <c r="J6" s="92" t="s">
        <v>1242</v>
      </c>
      <c r="K6" s="92" t="s">
        <v>1243</v>
      </c>
      <c r="L6" s="92" t="s">
        <v>1244</v>
      </c>
      <c r="M6" s="92" t="s">
        <v>1241</v>
      </c>
      <c r="N6" s="91">
        <v>41400</v>
      </c>
      <c r="O6" s="93">
        <v>3.47</v>
      </c>
      <c r="P6" s="93">
        <v>6.68</v>
      </c>
      <c r="Q6" s="94">
        <v>2</v>
      </c>
      <c r="R6" s="93">
        <f t="shared" si="0"/>
        <v>13.36</v>
      </c>
      <c r="S6" s="95">
        <v>0.01</v>
      </c>
      <c r="T6" s="96">
        <f t="shared" si="1"/>
        <v>0.1336</v>
      </c>
      <c r="U6" s="96">
        <f t="shared" si="2"/>
        <v>13.35</v>
      </c>
      <c r="V6" s="93">
        <v>1.5</v>
      </c>
      <c r="W6" s="97">
        <f t="shared" si="3"/>
        <v>14.85</v>
      </c>
    </row>
    <row r="7" spans="1:24" x14ac:dyDescent="0.25">
      <c r="A7" s="61" t="s">
        <v>1145</v>
      </c>
      <c r="B7" s="91">
        <v>41454</v>
      </c>
      <c r="C7" s="92" t="s">
        <v>1245</v>
      </c>
      <c r="D7" s="92" t="s">
        <v>1246</v>
      </c>
      <c r="E7" s="92" t="s">
        <v>1198</v>
      </c>
      <c r="F7" s="92" t="s">
        <v>1235</v>
      </c>
      <c r="G7" s="92" t="s">
        <v>1201</v>
      </c>
      <c r="H7" s="92" t="s">
        <v>1247</v>
      </c>
      <c r="I7" s="92" t="s">
        <v>1248</v>
      </c>
      <c r="J7" s="92" t="s">
        <v>1249</v>
      </c>
      <c r="K7" s="92" t="s">
        <v>1243</v>
      </c>
      <c r="L7" s="92" t="s">
        <v>1244</v>
      </c>
      <c r="M7" s="92" t="s">
        <v>1250</v>
      </c>
      <c r="N7" s="91">
        <v>41459</v>
      </c>
      <c r="O7" s="93">
        <v>3.32</v>
      </c>
      <c r="P7" s="93">
        <v>5.18</v>
      </c>
      <c r="Q7" s="94">
        <v>1</v>
      </c>
      <c r="R7" s="93">
        <f t="shared" si="0"/>
        <v>5.18</v>
      </c>
      <c r="S7" s="95">
        <v>0.02</v>
      </c>
      <c r="T7" s="96">
        <f t="shared" si="1"/>
        <v>0.1036</v>
      </c>
      <c r="U7" s="96">
        <f t="shared" si="2"/>
        <v>5.16</v>
      </c>
      <c r="V7" s="93">
        <v>2.04</v>
      </c>
      <c r="W7" s="97">
        <f t="shared" si="3"/>
        <v>7.2</v>
      </c>
    </row>
    <row r="8" spans="1:24" x14ac:dyDescent="0.25">
      <c r="A8" s="61" t="s">
        <v>1146</v>
      </c>
      <c r="B8" s="91">
        <v>41454</v>
      </c>
      <c r="C8" s="92" t="s">
        <v>1245</v>
      </c>
      <c r="D8" s="92" t="s">
        <v>1246</v>
      </c>
      <c r="E8" s="92" t="s">
        <v>1198</v>
      </c>
      <c r="F8" s="92" t="s">
        <v>1235</v>
      </c>
      <c r="G8" s="92" t="s">
        <v>1201</v>
      </c>
      <c r="H8" s="92" t="s">
        <v>1247</v>
      </c>
      <c r="I8" s="92" t="s">
        <v>1248</v>
      </c>
      <c r="J8" s="92" t="s">
        <v>1251</v>
      </c>
      <c r="K8" s="92" t="s">
        <v>1243</v>
      </c>
      <c r="L8" s="92" t="s">
        <v>1244</v>
      </c>
      <c r="M8" s="92" t="s">
        <v>1241</v>
      </c>
      <c r="N8" s="91">
        <v>41458</v>
      </c>
      <c r="O8" s="93">
        <v>2.98</v>
      </c>
      <c r="P8" s="93">
        <v>5.84</v>
      </c>
      <c r="Q8" s="94">
        <v>4</v>
      </c>
      <c r="R8" s="93">
        <f t="shared" si="0"/>
        <v>23.36</v>
      </c>
      <c r="S8" s="95">
        <v>0.09</v>
      </c>
      <c r="T8" s="96">
        <f t="shared" si="1"/>
        <v>2.1023999999999998</v>
      </c>
      <c r="U8" s="96">
        <f t="shared" si="2"/>
        <v>23.27</v>
      </c>
      <c r="V8" s="93">
        <v>0.83</v>
      </c>
      <c r="W8" s="97">
        <f t="shared" si="3"/>
        <v>24.099999999999998</v>
      </c>
    </row>
    <row r="9" spans="1:24" x14ac:dyDescent="0.25">
      <c r="A9" s="61" t="s">
        <v>1147</v>
      </c>
      <c r="B9" s="91">
        <v>41460</v>
      </c>
      <c r="C9" s="92" t="s">
        <v>1252</v>
      </c>
      <c r="D9" s="92" t="s">
        <v>1253</v>
      </c>
      <c r="E9" s="92" t="s">
        <v>1199</v>
      </c>
      <c r="F9" s="92" t="s">
        <v>1254</v>
      </c>
      <c r="G9" s="92" t="s">
        <v>1200</v>
      </c>
      <c r="H9" s="92" t="s">
        <v>1255</v>
      </c>
      <c r="I9" s="92" t="s">
        <v>1256</v>
      </c>
      <c r="J9" s="92" t="s">
        <v>1257</v>
      </c>
      <c r="K9" s="92" t="s">
        <v>1239</v>
      </c>
      <c r="L9" s="92" t="s">
        <v>1258</v>
      </c>
      <c r="M9" s="92" t="s">
        <v>1241</v>
      </c>
      <c r="N9" s="91">
        <v>41462</v>
      </c>
      <c r="O9" s="93">
        <v>8.82</v>
      </c>
      <c r="P9" s="93">
        <v>20.99</v>
      </c>
      <c r="Q9" s="94">
        <v>41</v>
      </c>
      <c r="R9" s="93">
        <f t="shared" si="0"/>
        <v>860.58999999999992</v>
      </c>
      <c r="S9" s="95">
        <v>0.02</v>
      </c>
      <c r="T9" s="96">
        <f t="shared" si="1"/>
        <v>17.2118</v>
      </c>
      <c r="U9" s="96">
        <f t="shared" si="2"/>
        <v>860.56999999999994</v>
      </c>
      <c r="V9" s="93">
        <v>4.8099999999999996</v>
      </c>
      <c r="W9" s="97">
        <f t="shared" si="3"/>
        <v>865.37999999999988</v>
      </c>
    </row>
    <row r="10" spans="1:24" x14ac:dyDescent="0.25">
      <c r="A10" s="61" t="s">
        <v>1148</v>
      </c>
      <c r="B10" s="91">
        <v>41460</v>
      </c>
      <c r="C10" s="92" t="s">
        <v>1252</v>
      </c>
      <c r="D10" s="92" t="s">
        <v>1253</v>
      </c>
      <c r="E10" s="92" t="s">
        <v>1199</v>
      </c>
      <c r="F10" s="92" t="s">
        <v>1254</v>
      </c>
      <c r="G10" s="92" t="s">
        <v>1200</v>
      </c>
      <c r="H10" s="92" t="s">
        <v>1255</v>
      </c>
      <c r="I10" s="92" t="s">
        <v>1256</v>
      </c>
      <c r="J10" s="92" t="s">
        <v>1259</v>
      </c>
      <c r="K10" s="92" t="s">
        <v>1243</v>
      </c>
      <c r="L10" s="92" t="s">
        <v>1260</v>
      </c>
      <c r="M10" s="92" t="s">
        <v>1250</v>
      </c>
      <c r="N10" s="91">
        <v>41462</v>
      </c>
      <c r="O10" s="93">
        <v>3.4</v>
      </c>
      <c r="P10" s="93">
        <v>5.4</v>
      </c>
      <c r="Q10" s="94">
        <v>26</v>
      </c>
      <c r="R10" s="93">
        <f t="shared" si="0"/>
        <v>140.4</v>
      </c>
      <c r="S10" s="95">
        <v>0.05</v>
      </c>
      <c r="T10" s="96">
        <f t="shared" si="1"/>
        <v>7.0200000000000005</v>
      </c>
      <c r="U10" s="96">
        <f t="shared" si="2"/>
        <v>140.35</v>
      </c>
      <c r="V10" s="93">
        <v>7.78</v>
      </c>
      <c r="W10" s="97">
        <f t="shared" si="3"/>
        <v>148.13</v>
      </c>
    </row>
    <row r="11" spans="1:24" x14ac:dyDescent="0.25">
      <c r="A11" s="61" t="s">
        <v>1149</v>
      </c>
      <c r="B11" s="91">
        <v>41470</v>
      </c>
      <c r="C11" s="92" t="s">
        <v>1261</v>
      </c>
      <c r="D11" s="92" t="s">
        <v>1262</v>
      </c>
      <c r="E11" s="92" t="s">
        <v>1198</v>
      </c>
      <c r="F11" s="92" t="s">
        <v>1235</v>
      </c>
      <c r="G11" s="92" t="s">
        <v>1202</v>
      </c>
      <c r="H11" s="92" t="s">
        <v>1263</v>
      </c>
      <c r="I11" s="92" t="s">
        <v>1264</v>
      </c>
      <c r="J11" s="92" t="s">
        <v>1265</v>
      </c>
      <c r="K11" s="92" t="s">
        <v>1243</v>
      </c>
      <c r="L11" s="92" t="s">
        <v>1244</v>
      </c>
      <c r="M11" s="92" t="s">
        <v>1241</v>
      </c>
      <c r="N11" s="91">
        <v>41471</v>
      </c>
      <c r="O11" s="93">
        <v>3.88</v>
      </c>
      <c r="P11" s="93">
        <v>6.47</v>
      </c>
      <c r="Q11" s="94">
        <v>20</v>
      </c>
      <c r="R11" s="93">
        <f t="shared" si="0"/>
        <v>129.4</v>
      </c>
      <c r="S11" s="95">
        <v>0.02</v>
      </c>
      <c r="T11" s="96">
        <f t="shared" si="1"/>
        <v>2.5880000000000001</v>
      </c>
      <c r="U11" s="96">
        <f t="shared" si="2"/>
        <v>129.38</v>
      </c>
      <c r="V11" s="93">
        <v>1.22</v>
      </c>
      <c r="W11" s="97">
        <f t="shared" si="3"/>
        <v>130.6</v>
      </c>
    </row>
    <row r="12" spans="1:24" x14ac:dyDescent="0.25">
      <c r="A12" s="61" t="s">
        <v>1150</v>
      </c>
      <c r="B12" s="91">
        <v>41470</v>
      </c>
      <c r="C12" s="92" t="s">
        <v>1261</v>
      </c>
      <c r="D12" s="92" t="s">
        <v>1262</v>
      </c>
      <c r="E12" s="92" t="s">
        <v>1198</v>
      </c>
      <c r="F12" s="92" t="s">
        <v>1235</v>
      </c>
      <c r="G12" s="92" t="s">
        <v>1202</v>
      </c>
      <c r="H12" s="92" t="s">
        <v>1263</v>
      </c>
      <c r="I12" s="92" t="s">
        <v>1264</v>
      </c>
      <c r="J12" s="92" t="s">
        <v>1266</v>
      </c>
      <c r="K12" s="92" t="s">
        <v>1243</v>
      </c>
      <c r="L12" s="92" t="s">
        <v>1244</v>
      </c>
      <c r="M12" s="92" t="s">
        <v>1241</v>
      </c>
      <c r="N12" s="91">
        <v>41472</v>
      </c>
      <c r="O12" s="93">
        <v>1.31</v>
      </c>
      <c r="P12" s="93">
        <v>2.84</v>
      </c>
      <c r="Q12" s="94">
        <v>39</v>
      </c>
      <c r="R12" s="93">
        <f t="shared" si="0"/>
        <v>110.75999999999999</v>
      </c>
      <c r="S12" s="95">
        <v>7.0000000000000007E-2</v>
      </c>
      <c r="T12" s="96">
        <f t="shared" si="1"/>
        <v>7.7532000000000005</v>
      </c>
      <c r="U12" s="96">
        <f t="shared" si="2"/>
        <v>110.69</v>
      </c>
      <c r="V12" s="93">
        <v>0.93</v>
      </c>
      <c r="W12" s="97">
        <f t="shared" si="3"/>
        <v>111.62</v>
      </c>
    </row>
    <row r="13" spans="1:24" x14ac:dyDescent="0.25">
      <c r="A13" s="61" t="s">
        <v>1151</v>
      </c>
      <c r="B13" s="91">
        <v>41486</v>
      </c>
      <c r="C13" s="92" t="s">
        <v>1267</v>
      </c>
      <c r="D13" s="92" t="s">
        <v>1268</v>
      </c>
      <c r="E13" s="92" t="s">
        <v>1198</v>
      </c>
      <c r="F13" s="92" t="s">
        <v>1235</v>
      </c>
      <c r="G13" s="92" t="s">
        <v>1202</v>
      </c>
      <c r="H13" s="92" t="s">
        <v>1269</v>
      </c>
      <c r="I13" s="92" t="s">
        <v>1237</v>
      </c>
      <c r="J13" s="92" t="s">
        <v>1270</v>
      </c>
      <c r="K13" s="92" t="s">
        <v>1243</v>
      </c>
      <c r="L13" s="92" t="s">
        <v>1260</v>
      </c>
      <c r="M13" s="92" t="s">
        <v>1241</v>
      </c>
      <c r="N13" s="91">
        <v>41487</v>
      </c>
      <c r="O13" s="93">
        <v>1.84</v>
      </c>
      <c r="P13" s="93">
        <v>2.88</v>
      </c>
      <c r="Q13" s="94">
        <v>11</v>
      </c>
      <c r="R13" s="93">
        <f t="shared" si="0"/>
        <v>31.68</v>
      </c>
      <c r="S13" s="95">
        <v>0.09</v>
      </c>
      <c r="T13" s="96">
        <f t="shared" si="1"/>
        <v>2.8512</v>
      </c>
      <c r="U13" s="96">
        <f t="shared" si="2"/>
        <v>31.59</v>
      </c>
      <c r="V13" s="93">
        <v>1.49</v>
      </c>
      <c r="W13" s="97">
        <f t="shared" si="3"/>
        <v>33.08</v>
      </c>
    </row>
    <row r="14" spans="1:24" x14ac:dyDescent="0.25">
      <c r="A14" s="61" t="s">
        <v>1152</v>
      </c>
      <c r="B14" s="91">
        <v>41486</v>
      </c>
      <c r="C14" s="92" t="s">
        <v>1267</v>
      </c>
      <c r="D14" s="92" t="s">
        <v>1268</v>
      </c>
      <c r="E14" s="92" t="s">
        <v>1198</v>
      </c>
      <c r="F14" s="92" t="s">
        <v>1235</v>
      </c>
      <c r="G14" s="92" t="s">
        <v>1202</v>
      </c>
      <c r="H14" s="92" t="s">
        <v>1269</v>
      </c>
      <c r="I14" s="92" t="s">
        <v>1237</v>
      </c>
      <c r="J14" s="92" t="s">
        <v>1271</v>
      </c>
      <c r="K14" s="92" t="s">
        <v>1239</v>
      </c>
      <c r="L14" s="92" t="s">
        <v>1260</v>
      </c>
      <c r="M14" s="92" t="s">
        <v>1241</v>
      </c>
      <c r="N14" s="91">
        <v>41488</v>
      </c>
      <c r="O14" s="93">
        <v>6.39</v>
      </c>
      <c r="P14" s="93">
        <v>19.98</v>
      </c>
      <c r="Q14" s="94">
        <v>43</v>
      </c>
      <c r="R14" s="93">
        <f t="shared" si="0"/>
        <v>859.14</v>
      </c>
      <c r="S14" s="95">
        <v>0.1</v>
      </c>
      <c r="T14" s="96">
        <f t="shared" si="1"/>
        <v>85.914000000000001</v>
      </c>
      <c r="U14" s="96">
        <f t="shared" si="2"/>
        <v>859.04</v>
      </c>
      <c r="V14" s="93">
        <v>4</v>
      </c>
      <c r="W14" s="97">
        <f t="shared" si="3"/>
        <v>863.04</v>
      </c>
    </row>
    <row r="15" spans="1:24" x14ac:dyDescent="0.25">
      <c r="A15" s="61" t="s">
        <v>1153</v>
      </c>
      <c r="B15" s="91">
        <v>41558</v>
      </c>
      <c r="C15" s="92" t="s">
        <v>1272</v>
      </c>
      <c r="D15" s="92" t="s">
        <v>1273</v>
      </c>
      <c r="E15" s="92" t="s">
        <v>1199</v>
      </c>
      <c r="F15" s="92" t="s">
        <v>1254</v>
      </c>
      <c r="G15" s="92" t="s">
        <v>1202</v>
      </c>
      <c r="H15" s="92" t="s">
        <v>1274</v>
      </c>
      <c r="I15" s="92" t="s">
        <v>1256</v>
      </c>
      <c r="J15" s="92" t="s">
        <v>1275</v>
      </c>
      <c r="K15" s="92" t="s">
        <v>1243</v>
      </c>
      <c r="L15" s="92" t="s">
        <v>1260</v>
      </c>
      <c r="M15" s="92" t="s">
        <v>1241</v>
      </c>
      <c r="N15" s="91">
        <v>41560</v>
      </c>
      <c r="O15" s="93">
        <v>2.4500000000000002</v>
      </c>
      <c r="P15" s="93">
        <v>3.89</v>
      </c>
      <c r="Q15" s="94">
        <v>2</v>
      </c>
      <c r="R15" s="93">
        <f t="shared" si="0"/>
        <v>7.78</v>
      </c>
      <c r="S15" s="95">
        <v>7.0000000000000007E-2</v>
      </c>
      <c r="T15" s="96">
        <f t="shared" si="1"/>
        <v>0.54460000000000008</v>
      </c>
      <c r="U15" s="96">
        <f t="shared" si="2"/>
        <v>7.71</v>
      </c>
      <c r="V15" s="93">
        <v>7.01</v>
      </c>
      <c r="W15" s="97">
        <f t="shared" si="3"/>
        <v>14.719999999999999</v>
      </c>
    </row>
    <row r="16" spans="1:24" x14ac:dyDescent="0.25">
      <c r="A16" s="61" t="s">
        <v>1154</v>
      </c>
      <c r="B16" s="91">
        <v>41558</v>
      </c>
      <c r="C16" s="92" t="s">
        <v>1272</v>
      </c>
      <c r="D16" s="92" t="s">
        <v>1273</v>
      </c>
      <c r="E16" s="92" t="s">
        <v>1199</v>
      </c>
      <c r="F16" s="92" t="s">
        <v>1254</v>
      </c>
      <c r="G16" s="92" t="s">
        <v>1202</v>
      </c>
      <c r="H16" s="92" t="s">
        <v>1274</v>
      </c>
      <c r="I16" s="92" t="s">
        <v>1256</v>
      </c>
      <c r="J16" s="92" t="s">
        <v>1276</v>
      </c>
      <c r="K16" s="92" t="s">
        <v>1243</v>
      </c>
      <c r="L16" s="92" t="s">
        <v>1260</v>
      </c>
      <c r="M16" s="92" t="s">
        <v>1241</v>
      </c>
      <c r="N16" s="91">
        <v>41559</v>
      </c>
      <c r="O16" s="93">
        <v>67.73</v>
      </c>
      <c r="P16" s="93">
        <v>165.2</v>
      </c>
      <c r="Q16" s="94">
        <v>6</v>
      </c>
      <c r="R16" s="93">
        <f t="shared" si="0"/>
        <v>991.19999999999993</v>
      </c>
      <c r="S16" s="95">
        <v>0.09</v>
      </c>
      <c r="T16" s="96">
        <f t="shared" si="1"/>
        <v>89.207999999999984</v>
      </c>
      <c r="U16" s="96">
        <f t="shared" si="2"/>
        <v>991.1099999999999</v>
      </c>
      <c r="V16" s="93">
        <v>19.989999999999998</v>
      </c>
      <c r="W16" s="97">
        <f t="shared" si="3"/>
        <v>1011.0999999999999</v>
      </c>
    </row>
    <row r="17" spans="1:23" x14ac:dyDescent="0.25">
      <c r="A17" s="61" t="s">
        <v>1155</v>
      </c>
      <c r="B17" s="91">
        <v>41560</v>
      </c>
      <c r="C17" s="92" t="s">
        <v>1277</v>
      </c>
      <c r="D17" s="92" t="s">
        <v>1278</v>
      </c>
      <c r="E17" s="92" t="s">
        <v>1198</v>
      </c>
      <c r="F17" s="92" t="s">
        <v>1235</v>
      </c>
      <c r="G17" s="92" t="s">
        <v>1200</v>
      </c>
      <c r="H17" s="92" t="s">
        <v>1236</v>
      </c>
      <c r="I17" s="92" t="s">
        <v>1264</v>
      </c>
      <c r="J17" s="92" t="s">
        <v>1279</v>
      </c>
      <c r="K17" s="92" t="s">
        <v>1239</v>
      </c>
      <c r="L17" s="92" t="s">
        <v>1260</v>
      </c>
      <c r="M17" s="92" t="s">
        <v>1241</v>
      </c>
      <c r="N17" s="91">
        <v>41561</v>
      </c>
      <c r="O17" s="93">
        <v>62.4</v>
      </c>
      <c r="P17" s="93">
        <v>155.99</v>
      </c>
      <c r="Q17" s="94">
        <v>48</v>
      </c>
      <c r="R17" s="93">
        <f t="shared" si="0"/>
        <v>7487.52</v>
      </c>
      <c r="S17" s="95">
        <v>0.04</v>
      </c>
      <c r="T17" s="96">
        <f t="shared" si="1"/>
        <v>299.50080000000003</v>
      </c>
      <c r="U17" s="96">
        <f t="shared" si="2"/>
        <v>7487.4800000000005</v>
      </c>
      <c r="V17" s="93">
        <v>8.08</v>
      </c>
      <c r="W17" s="97">
        <f t="shared" si="3"/>
        <v>7495.56</v>
      </c>
    </row>
    <row r="18" spans="1:23" x14ac:dyDescent="0.25">
      <c r="A18" s="61" t="s">
        <v>1156</v>
      </c>
      <c r="B18" s="91">
        <v>41560</v>
      </c>
      <c r="C18" s="92" t="s">
        <v>1277</v>
      </c>
      <c r="D18" s="92" t="s">
        <v>1278</v>
      </c>
      <c r="E18" s="92" t="s">
        <v>1198</v>
      </c>
      <c r="F18" s="92" t="s">
        <v>1235</v>
      </c>
      <c r="G18" s="92" t="s">
        <v>1200</v>
      </c>
      <c r="H18" s="92" t="s">
        <v>1236</v>
      </c>
      <c r="I18" s="92" t="s">
        <v>1264</v>
      </c>
      <c r="J18" s="92" t="s">
        <v>1259</v>
      </c>
      <c r="K18" s="92" t="s">
        <v>1243</v>
      </c>
      <c r="L18" s="92" t="s">
        <v>1260</v>
      </c>
      <c r="M18" s="92" t="s">
        <v>1241</v>
      </c>
      <c r="N18" s="91">
        <v>41560</v>
      </c>
      <c r="O18" s="93">
        <v>3.4</v>
      </c>
      <c r="P18" s="93">
        <v>5.4</v>
      </c>
      <c r="Q18" s="94">
        <v>8</v>
      </c>
      <c r="R18" s="93">
        <f t="shared" si="0"/>
        <v>43.2</v>
      </c>
      <c r="S18" s="95">
        <v>0.08</v>
      </c>
      <c r="T18" s="96">
        <f t="shared" si="1"/>
        <v>3.4560000000000004</v>
      </c>
      <c r="U18" s="96">
        <f t="shared" si="2"/>
        <v>43.120000000000005</v>
      </c>
      <c r="V18" s="93">
        <v>7.78</v>
      </c>
      <c r="W18" s="97">
        <f t="shared" si="3"/>
        <v>50.900000000000006</v>
      </c>
    </row>
    <row r="19" spans="1:23" x14ac:dyDescent="0.25">
      <c r="A19" s="61" t="s">
        <v>1157</v>
      </c>
      <c r="B19" s="91">
        <v>41619</v>
      </c>
      <c r="C19" s="92" t="s">
        <v>1280</v>
      </c>
      <c r="D19" s="92" t="s">
        <v>1281</v>
      </c>
      <c r="E19" s="92" t="s">
        <v>1199</v>
      </c>
      <c r="F19" s="92" t="s">
        <v>1254</v>
      </c>
      <c r="G19" s="92" t="s">
        <v>1203</v>
      </c>
      <c r="H19" s="92" t="s">
        <v>1274</v>
      </c>
      <c r="I19" s="92" t="s">
        <v>1248</v>
      </c>
      <c r="J19" s="92" t="s">
        <v>1282</v>
      </c>
      <c r="K19" s="92" t="s">
        <v>1243</v>
      </c>
      <c r="L19" s="92" t="s">
        <v>1260</v>
      </c>
      <c r="M19" s="92" t="s">
        <v>1241</v>
      </c>
      <c r="N19" s="91">
        <v>41621</v>
      </c>
      <c r="O19" s="93">
        <v>5.33</v>
      </c>
      <c r="P19" s="93">
        <v>8.6</v>
      </c>
      <c r="Q19" s="94">
        <v>6</v>
      </c>
      <c r="R19" s="93">
        <f t="shared" si="0"/>
        <v>51.599999999999994</v>
      </c>
      <c r="S19" s="95">
        <v>0.04</v>
      </c>
      <c r="T19" s="96">
        <f t="shared" si="1"/>
        <v>2.0639999999999996</v>
      </c>
      <c r="U19" s="96">
        <f t="shared" si="2"/>
        <v>51.559999999999995</v>
      </c>
      <c r="V19" s="93">
        <v>6.19</v>
      </c>
      <c r="W19" s="97">
        <f t="shared" si="3"/>
        <v>57.749999999999993</v>
      </c>
    </row>
    <row r="20" spans="1:23" x14ac:dyDescent="0.25">
      <c r="A20" s="61" t="s">
        <v>1158</v>
      </c>
      <c r="B20" s="91">
        <v>41619</v>
      </c>
      <c r="C20" s="92" t="s">
        <v>1280</v>
      </c>
      <c r="D20" s="92" t="s">
        <v>1281</v>
      </c>
      <c r="E20" s="92" t="s">
        <v>1199</v>
      </c>
      <c r="F20" s="92" t="s">
        <v>1254</v>
      </c>
      <c r="G20" s="92" t="s">
        <v>1203</v>
      </c>
      <c r="H20" s="92" t="s">
        <v>1274</v>
      </c>
      <c r="I20" s="92" t="s">
        <v>1248</v>
      </c>
      <c r="J20" s="92" t="s">
        <v>1283</v>
      </c>
      <c r="K20" s="92" t="s">
        <v>1243</v>
      </c>
      <c r="L20" s="92" t="s">
        <v>1244</v>
      </c>
      <c r="M20" s="92" t="s">
        <v>1241</v>
      </c>
      <c r="N20" s="91">
        <v>41623</v>
      </c>
      <c r="O20" s="93">
        <v>2.29</v>
      </c>
      <c r="P20" s="93">
        <v>3.58</v>
      </c>
      <c r="Q20" s="94">
        <v>30</v>
      </c>
      <c r="R20" s="93">
        <f t="shared" si="0"/>
        <v>107.4</v>
      </c>
      <c r="S20" s="95">
        <v>0.01</v>
      </c>
      <c r="T20" s="96">
        <f t="shared" si="1"/>
        <v>1.0740000000000001</v>
      </c>
      <c r="U20" s="96">
        <f t="shared" si="2"/>
        <v>107.39</v>
      </c>
      <c r="V20" s="93">
        <v>1.63</v>
      </c>
      <c r="W20" s="97">
        <f t="shared" si="3"/>
        <v>109.02</v>
      </c>
    </row>
    <row r="21" spans="1:23" x14ac:dyDescent="0.25">
      <c r="A21" s="61" t="s">
        <v>1159</v>
      </c>
      <c r="B21" s="91">
        <v>41643</v>
      </c>
      <c r="C21" s="92" t="s">
        <v>1284</v>
      </c>
      <c r="D21" s="92" t="s">
        <v>1285</v>
      </c>
      <c r="E21" s="92" t="s">
        <v>1198</v>
      </c>
      <c r="F21" s="92" t="s">
        <v>1235</v>
      </c>
      <c r="G21" s="92" t="s">
        <v>1202</v>
      </c>
      <c r="H21" s="92" t="s">
        <v>1286</v>
      </c>
      <c r="I21" s="92" t="s">
        <v>1264</v>
      </c>
      <c r="J21" s="92" t="s">
        <v>1287</v>
      </c>
      <c r="K21" s="92" t="s">
        <v>1243</v>
      </c>
      <c r="L21" s="92" t="s">
        <v>1260</v>
      </c>
      <c r="M21" s="92" t="s">
        <v>1241</v>
      </c>
      <c r="N21" s="91">
        <v>41645</v>
      </c>
      <c r="O21" s="93">
        <v>3.52</v>
      </c>
      <c r="P21" s="93">
        <v>5.58</v>
      </c>
      <c r="Q21" s="94">
        <v>49</v>
      </c>
      <c r="R21" s="93">
        <f t="shared" si="0"/>
        <v>273.42</v>
      </c>
      <c r="S21" s="95">
        <v>0.02</v>
      </c>
      <c r="T21" s="96">
        <f t="shared" si="1"/>
        <v>5.4684000000000008</v>
      </c>
      <c r="U21" s="96">
        <f t="shared" si="2"/>
        <v>273.40000000000003</v>
      </c>
      <c r="V21" s="93">
        <v>2.99</v>
      </c>
      <c r="W21" s="97">
        <f t="shared" si="3"/>
        <v>276.39000000000004</v>
      </c>
    </row>
    <row r="22" spans="1:23" x14ac:dyDescent="0.25">
      <c r="A22" s="61" t="s">
        <v>1160</v>
      </c>
      <c r="B22" s="91">
        <v>41643</v>
      </c>
      <c r="C22" s="92" t="s">
        <v>1284</v>
      </c>
      <c r="D22" s="92" t="s">
        <v>1285</v>
      </c>
      <c r="E22" s="92" t="s">
        <v>1198</v>
      </c>
      <c r="F22" s="92" t="s">
        <v>1235</v>
      </c>
      <c r="G22" s="92" t="s">
        <v>1202</v>
      </c>
      <c r="H22" s="92" t="s">
        <v>1286</v>
      </c>
      <c r="I22" s="92" t="s">
        <v>1264</v>
      </c>
      <c r="J22" s="92" t="s">
        <v>1288</v>
      </c>
      <c r="K22" s="92" t="s">
        <v>1243</v>
      </c>
      <c r="L22" s="92" t="s">
        <v>1260</v>
      </c>
      <c r="M22" s="92" t="s">
        <v>1241</v>
      </c>
      <c r="N22" s="91">
        <v>41644</v>
      </c>
      <c r="O22" s="93">
        <v>22.18</v>
      </c>
      <c r="P22" s="93">
        <v>54.1</v>
      </c>
      <c r="Q22" s="94">
        <v>42</v>
      </c>
      <c r="R22" s="93">
        <f t="shared" si="0"/>
        <v>2272.2000000000003</v>
      </c>
      <c r="S22" s="95">
        <v>0.02</v>
      </c>
      <c r="T22" s="96">
        <f t="shared" si="1"/>
        <v>45.44400000000001</v>
      </c>
      <c r="U22" s="96">
        <f t="shared" si="2"/>
        <v>2272.1800000000003</v>
      </c>
      <c r="V22" s="93">
        <v>19.989999999999998</v>
      </c>
      <c r="W22" s="97">
        <f t="shared" si="3"/>
        <v>2292.17</v>
      </c>
    </row>
    <row r="23" spans="1:23" x14ac:dyDescent="0.25">
      <c r="A23" s="61" t="s">
        <v>1161</v>
      </c>
      <c r="B23" s="91">
        <v>41649</v>
      </c>
      <c r="C23" s="92" t="s">
        <v>1289</v>
      </c>
      <c r="D23" s="92" t="s">
        <v>1290</v>
      </c>
      <c r="E23" s="92" t="s">
        <v>1198</v>
      </c>
      <c r="F23" s="92" t="s">
        <v>1235</v>
      </c>
      <c r="G23" s="92" t="s">
        <v>1203</v>
      </c>
      <c r="H23" s="92" t="s">
        <v>1291</v>
      </c>
      <c r="I23" s="92" t="s">
        <v>1237</v>
      </c>
      <c r="J23" s="92" t="s">
        <v>1259</v>
      </c>
      <c r="K23" s="92" t="s">
        <v>1243</v>
      </c>
      <c r="L23" s="92" t="s">
        <v>1260</v>
      </c>
      <c r="M23" s="92" t="s">
        <v>1250</v>
      </c>
      <c r="N23" s="91">
        <v>41649</v>
      </c>
      <c r="O23" s="93">
        <v>3.4</v>
      </c>
      <c r="P23" s="93">
        <v>5.4</v>
      </c>
      <c r="Q23" s="94">
        <v>9</v>
      </c>
      <c r="R23" s="93">
        <f t="shared" si="0"/>
        <v>48.6</v>
      </c>
      <c r="S23" s="95">
        <v>0.09</v>
      </c>
      <c r="T23" s="96">
        <f t="shared" si="1"/>
        <v>4.3739999999999997</v>
      </c>
      <c r="U23" s="96">
        <f t="shared" si="2"/>
        <v>48.51</v>
      </c>
      <c r="V23" s="93">
        <v>7.78</v>
      </c>
      <c r="W23" s="97">
        <f t="shared" si="3"/>
        <v>56.29</v>
      </c>
    </row>
    <row r="24" spans="1:23" x14ac:dyDescent="0.25">
      <c r="A24" s="61" t="s">
        <v>1162</v>
      </c>
      <c r="B24" s="91">
        <v>41649</v>
      </c>
      <c r="C24" s="92" t="s">
        <v>1289</v>
      </c>
      <c r="D24" s="92" t="s">
        <v>1290</v>
      </c>
      <c r="E24" s="92" t="s">
        <v>1198</v>
      </c>
      <c r="F24" s="92" t="s">
        <v>1235</v>
      </c>
      <c r="G24" s="92" t="s">
        <v>1203</v>
      </c>
      <c r="H24" s="92" t="s">
        <v>1291</v>
      </c>
      <c r="I24" s="92" t="s">
        <v>1237</v>
      </c>
      <c r="J24" s="92" t="s">
        <v>1292</v>
      </c>
      <c r="K24" s="92" t="s">
        <v>1243</v>
      </c>
      <c r="L24" s="92" t="s">
        <v>1240</v>
      </c>
      <c r="M24" s="92" t="s">
        <v>1241</v>
      </c>
      <c r="N24" s="91">
        <v>41650</v>
      </c>
      <c r="O24" s="93">
        <v>0.94</v>
      </c>
      <c r="P24" s="93">
        <v>2.08</v>
      </c>
      <c r="Q24" s="94">
        <v>43</v>
      </c>
      <c r="R24" s="93">
        <f t="shared" si="0"/>
        <v>89.44</v>
      </c>
      <c r="S24" s="95">
        <v>0.05</v>
      </c>
      <c r="T24" s="96">
        <f t="shared" si="1"/>
        <v>4.4720000000000004</v>
      </c>
      <c r="U24" s="96">
        <f t="shared" si="2"/>
        <v>89.39</v>
      </c>
      <c r="V24" s="93">
        <v>2.56</v>
      </c>
      <c r="W24" s="97">
        <f t="shared" si="3"/>
        <v>91.95</v>
      </c>
    </row>
    <row r="25" spans="1:23" x14ac:dyDescent="0.25">
      <c r="A25" s="61" t="s">
        <v>1163</v>
      </c>
      <c r="B25" s="91">
        <v>41677</v>
      </c>
      <c r="C25" s="92" t="s">
        <v>1293</v>
      </c>
      <c r="D25" s="92" t="s">
        <v>1294</v>
      </c>
      <c r="E25" s="92" t="s">
        <v>1199</v>
      </c>
      <c r="F25" s="92" t="s">
        <v>1254</v>
      </c>
      <c r="G25" s="92" t="s">
        <v>1200</v>
      </c>
      <c r="H25" s="92" t="s">
        <v>1274</v>
      </c>
      <c r="I25" s="92" t="s">
        <v>1248</v>
      </c>
      <c r="J25" s="92" t="s">
        <v>1295</v>
      </c>
      <c r="K25" s="92" t="s">
        <v>1239</v>
      </c>
      <c r="L25" s="92" t="s">
        <v>1296</v>
      </c>
      <c r="M25" s="92" t="s">
        <v>1241</v>
      </c>
      <c r="N25" s="91">
        <v>41686</v>
      </c>
      <c r="O25" s="93">
        <v>377.99</v>
      </c>
      <c r="P25" s="93">
        <v>599.99</v>
      </c>
      <c r="Q25" s="94">
        <v>48</v>
      </c>
      <c r="R25" s="93">
        <f t="shared" si="0"/>
        <v>28799.52</v>
      </c>
      <c r="S25" s="95">
        <v>0.08</v>
      </c>
      <c r="T25" s="96">
        <f t="shared" si="1"/>
        <v>2303.9616000000001</v>
      </c>
      <c r="U25" s="96">
        <f t="shared" si="2"/>
        <v>28799.439999999999</v>
      </c>
      <c r="V25" s="93">
        <v>24.49</v>
      </c>
      <c r="W25" s="97">
        <f t="shared" si="3"/>
        <v>28823.93</v>
      </c>
    </row>
    <row r="26" spans="1:23" x14ac:dyDescent="0.25">
      <c r="A26" s="61" t="s">
        <v>1164</v>
      </c>
      <c r="B26" s="91">
        <v>41677</v>
      </c>
      <c r="C26" s="92" t="s">
        <v>1293</v>
      </c>
      <c r="D26" s="92" t="s">
        <v>1294</v>
      </c>
      <c r="E26" s="92" t="s">
        <v>1199</v>
      </c>
      <c r="F26" s="92" t="s">
        <v>1254</v>
      </c>
      <c r="G26" s="92" t="s">
        <v>1200</v>
      </c>
      <c r="H26" s="92" t="s">
        <v>1274</v>
      </c>
      <c r="I26" s="92" t="s">
        <v>1248</v>
      </c>
      <c r="J26" s="92" t="s">
        <v>1297</v>
      </c>
      <c r="K26" s="92" t="s">
        <v>1243</v>
      </c>
      <c r="L26" s="92" t="s">
        <v>1244</v>
      </c>
      <c r="M26" s="92" t="s">
        <v>1250</v>
      </c>
      <c r="N26" s="91">
        <v>41682</v>
      </c>
      <c r="O26" s="93">
        <v>2.59</v>
      </c>
      <c r="P26" s="93">
        <v>3.98</v>
      </c>
      <c r="Q26" s="94">
        <v>11</v>
      </c>
      <c r="R26" s="93">
        <f t="shared" si="0"/>
        <v>43.78</v>
      </c>
      <c r="S26" s="95">
        <v>0.1</v>
      </c>
      <c r="T26" s="96">
        <f t="shared" si="1"/>
        <v>4.3780000000000001</v>
      </c>
      <c r="U26" s="96">
        <f t="shared" si="2"/>
        <v>43.68</v>
      </c>
      <c r="V26" s="93">
        <v>2.97</v>
      </c>
      <c r="W26" s="97">
        <f t="shared" si="3"/>
        <v>46.65</v>
      </c>
    </row>
    <row r="27" spans="1:23" x14ac:dyDescent="0.25">
      <c r="A27" s="61" t="s">
        <v>1165</v>
      </c>
      <c r="B27" s="91">
        <v>41765</v>
      </c>
      <c r="C27" s="92" t="s">
        <v>1298</v>
      </c>
      <c r="D27" s="92" t="s">
        <v>1299</v>
      </c>
      <c r="E27" s="92" t="s">
        <v>1198</v>
      </c>
      <c r="F27" s="92" t="s">
        <v>1235</v>
      </c>
      <c r="G27" s="92" t="s">
        <v>1203</v>
      </c>
      <c r="H27" s="92" t="s">
        <v>1236</v>
      </c>
      <c r="I27" s="92" t="s">
        <v>1256</v>
      </c>
      <c r="J27" s="92" t="s">
        <v>1300</v>
      </c>
      <c r="K27" s="92" t="s">
        <v>1243</v>
      </c>
      <c r="L27" s="92" t="s">
        <v>1260</v>
      </c>
      <c r="M27" s="92" t="s">
        <v>1241</v>
      </c>
      <c r="N27" s="91">
        <v>41767</v>
      </c>
      <c r="O27" s="93">
        <v>2.2599999999999998</v>
      </c>
      <c r="P27" s="93">
        <v>3.58</v>
      </c>
      <c r="Q27" s="94">
        <v>25</v>
      </c>
      <c r="R27" s="93">
        <f t="shared" si="0"/>
        <v>89.5</v>
      </c>
      <c r="S27" s="95">
        <v>0</v>
      </c>
      <c r="T27" s="96">
        <f t="shared" si="1"/>
        <v>0</v>
      </c>
      <c r="U27" s="96">
        <f t="shared" si="2"/>
        <v>89.5</v>
      </c>
      <c r="V27" s="93">
        <v>5.47</v>
      </c>
      <c r="W27" s="97">
        <f t="shared" si="3"/>
        <v>94.97</v>
      </c>
    </row>
    <row r="28" spans="1:23" x14ac:dyDescent="0.25">
      <c r="A28" s="61" t="s">
        <v>1166</v>
      </c>
      <c r="B28" s="91">
        <v>41765</v>
      </c>
      <c r="C28" s="92" t="s">
        <v>1298</v>
      </c>
      <c r="D28" s="92" t="s">
        <v>1299</v>
      </c>
      <c r="E28" s="92" t="s">
        <v>1198</v>
      </c>
      <c r="F28" s="92" t="s">
        <v>1235</v>
      </c>
      <c r="G28" s="92" t="s">
        <v>1203</v>
      </c>
      <c r="H28" s="92" t="s">
        <v>1236</v>
      </c>
      <c r="I28" s="92" t="s">
        <v>1256</v>
      </c>
      <c r="J28" s="92" t="s">
        <v>1301</v>
      </c>
      <c r="K28" s="92" t="s">
        <v>1243</v>
      </c>
      <c r="L28" s="92" t="s">
        <v>1244</v>
      </c>
      <c r="M28" s="92" t="s">
        <v>1241</v>
      </c>
      <c r="N28" s="91">
        <v>41767</v>
      </c>
      <c r="O28" s="93">
        <v>0.87</v>
      </c>
      <c r="P28" s="93">
        <v>1.81</v>
      </c>
      <c r="Q28" s="94">
        <v>45</v>
      </c>
      <c r="R28" s="93">
        <f t="shared" si="0"/>
        <v>81.45</v>
      </c>
      <c r="S28" s="95">
        <v>0.08</v>
      </c>
      <c r="T28" s="96">
        <f t="shared" si="1"/>
        <v>6.516</v>
      </c>
      <c r="U28" s="96">
        <f t="shared" si="2"/>
        <v>81.37</v>
      </c>
      <c r="V28" s="93">
        <v>0.75</v>
      </c>
      <c r="W28" s="97">
        <f t="shared" si="3"/>
        <v>82.12</v>
      </c>
    </row>
    <row r="29" spans="1:23" x14ac:dyDescent="0.25">
      <c r="A29" s="61" t="s">
        <v>1167</v>
      </c>
      <c r="B29" s="91">
        <v>41819</v>
      </c>
      <c r="C29" s="92" t="s">
        <v>1302</v>
      </c>
      <c r="D29" s="92" t="s">
        <v>1303</v>
      </c>
      <c r="E29" s="92" t="s">
        <v>1198</v>
      </c>
      <c r="F29" s="92" t="s">
        <v>1235</v>
      </c>
      <c r="G29" s="92" t="s">
        <v>1203</v>
      </c>
      <c r="H29" s="92" t="s">
        <v>1304</v>
      </c>
      <c r="I29" s="92" t="s">
        <v>1256</v>
      </c>
      <c r="J29" s="92" t="s">
        <v>1305</v>
      </c>
      <c r="K29" s="92" t="s">
        <v>1243</v>
      </c>
      <c r="L29" s="92" t="s">
        <v>1260</v>
      </c>
      <c r="M29" s="92" t="s">
        <v>1241</v>
      </c>
      <c r="N29" s="91">
        <v>41820</v>
      </c>
      <c r="O29" s="93">
        <v>4.53</v>
      </c>
      <c r="P29" s="93">
        <v>7.3</v>
      </c>
      <c r="Q29" s="94">
        <v>50</v>
      </c>
      <c r="R29" s="93">
        <f t="shared" si="0"/>
        <v>365</v>
      </c>
      <c r="S29" s="95">
        <v>0.02</v>
      </c>
      <c r="T29" s="96">
        <f t="shared" si="1"/>
        <v>7.3</v>
      </c>
      <c r="U29" s="96">
        <f t="shared" si="2"/>
        <v>364.98</v>
      </c>
      <c r="V29" s="93">
        <v>7.72</v>
      </c>
      <c r="W29" s="97">
        <f t="shared" si="3"/>
        <v>372.70000000000005</v>
      </c>
    </row>
    <row r="30" spans="1:23" x14ac:dyDescent="0.25">
      <c r="A30" s="61" t="s">
        <v>125</v>
      </c>
      <c r="B30" s="91">
        <v>41819</v>
      </c>
      <c r="C30" s="92" t="s">
        <v>1302</v>
      </c>
      <c r="D30" s="92" t="s">
        <v>1303</v>
      </c>
      <c r="E30" s="92" t="s">
        <v>1198</v>
      </c>
      <c r="F30" s="92" t="s">
        <v>1235</v>
      </c>
      <c r="G30" s="92" t="s">
        <v>1203</v>
      </c>
      <c r="H30" s="92" t="s">
        <v>1304</v>
      </c>
      <c r="I30" s="92" t="s">
        <v>1256</v>
      </c>
      <c r="J30" s="92" t="s">
        <v>1306</v>
      </c>
      <c r="K30" s="92" t="s">
        <v>1243</v>
      </c>
      <c r="L30" s="92" t="s">
        <v>1244</v>
      </c>
      <c r="M30" s="92" t="s">
        <v>1241</v>
      </c>
      <c r="N30" s="91">
        <v>41820</v>
      </c>
      <c r="O30" s="93">
        <v>1.53</v>
      </c>
      <c r="P30" s="93">
        <v>2.4700000000000002</v>
      </c>
      <c r="Q30" s="94">
        <v>43</v>
      </c>
      <c r="R30" s="93">
        <f t="shared" si="0"/>
        <v>106.21000000000001</v>
      </c>
      <c r="S30" s="95">
        <v>0.02</v>
      </c>
      <c r="T30" s="96">
        <f t="shared" si="1"/>
        <v>2.1242000000000001</v>
      </c>
      <c r="U30" s="96">
        <f t="shared" si="2"/>
        <v>106.19000000000001</v>
      </c>
      <c r="V30" s="93">
        <v>1.02</v>
      </c>
      <c r="W30" s="97">
        <f t="shared" si="3"/>
        <v>107.21000000000001</v>
      </c>
    </row>
    <row r="31" spans="1:23" x14ac:dyDescent="0.25">
      <c r="A31" s="61" t="s">
        <v>126</v>
      </c>
      <c r="B31" s="91">
        <v>41838</v>
      </c>
      <c r="C31" s="92" t="s">
        <v>1307</v>
      </c>
      <c r="D31" s="92" t="s">
        <v>1308</v>
      </c>
      <c r="E31" s="92" t="s">
        <v>1198</v>
      </c>
      <c r="F31" s="92" t="s">
        <v>1235</v>
      </c>
      <c r="G31" s="92" t="s">
        <v>1202</v>
      </c>
      <c r="H31" s="92" t="s">
        <v>1247</v>
      </c>
      <c r="I31" s="92" t="s">
        <v>1248</v>
      </c>
      <c r="J31" s="92" t="s">
        <v>1309</v>
      </c>
      <c r="K31" s="92" t="s">
        <v>1243</v>
      </c>
      <c r="L31" s="92" t="s">
        <v>1244</v>
      </c>
      <c r="M31" s="92" t="s">
        <v>1241</v>
      </c>
      <c r="N31" s="91">
        <v>41840</v>
      </c>
      <c r="O31" s="93">
        <v>0.92</v>
      </c>
      <c r="P31" s="93">
        <v>1.81</v>
      </c>
      <c r="Q31" s="94">
        <v>8</v>
      </c>
      <c r="R31" s="93">
        <f t="shared" si="0"/>
        <v>14.48</v>
      </c>
      <c r="S31" s="95">
        <v>0.05</v>
      </c>
      <c r="T31" s="96">
        <f t="shared" si="1"/>
        <v>0.72400000000000009</v>
      </c>
      <c r="U31" s="96">
        <f t="shared" si="2"/>
        <v>14.43</v>
      </c>
      <c r="V31" s="93">
        <v>1.56</v>
      </c>
      <c r="W31" s="97">
        <f t="shared" si="3"/>
        <v>15.99</v>
      </c>
    </row>
    <row r="32" spans="1:23" x14ac:dyDescent="0.25">
      <c r="A32" s="61" t="s">
        <v>127</v>
      </c>
      <c r="B32" s="91">
        <v>41838</v>
      </c>
      <c r="C32" s="92" t="s">
        <v>1307</v>
      </c>
      <c r="D32" s="92" t="s">
        <v>1308</v>
      </c>
      <c r="E32" s="92" t="s">
        <v>1198</v>
      </c>
      <c r="F32" s="92" t="s">
        <v>1235</v>
      </c>
      <c r="G32" s="92" t="s">
        <v>1202</v>
      </c>
      <c r="H32" s="92" t="s">
        <v>1247</v>
      </c>
      <c r="I32" s="92" t="s">
        <v>1248</v>
      </c>
      <c r="J32" s="92" t="s">
        <v>1310</v>
      </c>
      <c r="K32" s="92" t="s">
        <v>1243</v>
      </c>
      <c r="L32" s="92" t="s">
        <v>1244</v>
      </c>
      <c r="M32" s="92" t="s">
        <v>1241</v>
      </c>
      <c r="N32" s="91">
        <v>41845</v>
      </c>
      <c r="O32" s="93">
        <v>1.9</v>
      </c>
      <c r="P32" s="93">
        <v>3.28</v>
      </c>
      <c r="Q32" s="94">
        <v>41</v>
      </c>
      <c r="R32" s="93">
        <f t="shared" si="0"/>
        <v>134.47999999999999</v>
      </c>
      <c r="S32" s="95">
        <v>0.05</v>
      </c>
      <c r="T32" s="96">
        <f t="shared" si="1"/>
        <v>6.7240000000000002</v>
      </c>
      <c r="U32" s="96">
        <f t="shared" si="2"/>
        <v>134.42999999999998</v>
      </c>
      <c r="V32" s="93">
        <v>1.95</v>
      </c>
      <c r="W32" s="97">
        <f t="shared" si="3"/>
        <v>136.37999999999997</v>
      </c>
    </row>
    <row r="33" spans="1:23" x14ac:dyDescent="0.25">
      <c r="A33" s="61" t="s">
        <v>128</v>
      </c>
      <c r="B33" s="91">
        <v>41846</v>
      </c>
      <c r="C33" s="92" t="s">
        <v>1311</v>
      </c>
      <c r="D33" s="92" t="s">
        <v>1312</v>
      </c>
      <c r="E33" s="92" t="s">
        <v>1198</v>
      </c>
      <c r="F33" s="92" t="s">
        <v>1235</v>
      </c>
      <c r="G33" s="92" t="s">
        <v>1203</v>
      </c>
      <c r="H33" s="92" t="s">
        <v>1313</v>
      </c>
      <c r="I33" s="92" t="s">
        <v>1248</v>
      </c>
      <c r="J33" s="92" t="s">
        <v>1295</v>
      </c>
      <c r="K33" s="92" t="s">
        <v>1239</v>
      </c>
      <c r="L33" s="92" t="s">
        <v>1296</v>
      </c>
      <c r="M33" s="92" t="s">
        <v>1241</v>
      </c>
      <c r="N33" s="91">
        <v>41855</v>
      </c>
      <c r="O33" s="93">
        <v>377.99</v>
      </c>
      <c r="P33" s="93">
        <v>599.99</v>
      </c>
      <c r="Q33" s="94">
        <v>25</v>
      </c>
      <c r="R33" s="93">
        <f t="shared" si="0"/>
        <v>14999.75</v>
      </c>
      <c r="S33" s="95">
        <v>7.0000000000000007E-2</v>
      </c>
      <c r="T33" s="96">
        <f t="shared" si="1"/>
        <v>1049.9825000000001</v>
      </c>
      <c r="U33" s="96">
        <f t="shared" si="2"/>
        <v>14999.68</v>
      </c>
      <c r="V33" s="93">
        <v>24.49</v>
      </c>
      <c r="W33" s="97">
        <f t="shared" si="3"/>
        <v>15024.17</v>
      </c>
    </row>
    <row r="34" spans="1:23" x14ac:dyDescent="0.25">
      <c r="A34" s="61" t="s">
        <v>129</v>
      </c>
      <c r="B34" s="91">
        <v>41846</v>
      </c>
      <c r="C34" s="92" t="s">
        <v>1311</v>
      </c>
      <c r="D34" s="92" t="s">
        <v>1312</v>
      </c>
      <c r="E34" s="92" t="s">
        <v>1198</v>
      </c>
      <c r="F34" s="92" t="s">
        <v>1235</v>
      </c>
      <c r="G34" s="92" t="s">
        <v>1203</v>
      </c>
      <c r="H34" s="92" t="s">
        <v>1313</v>
      </c>
      <c r="I34" s="92" t="s">
        <v>1248</v>
      </c>
      <c r="J34" s="92" t="s">
        <v>1314</v>
      </c>
      <c r="K34" s="92" t="s">
        <v>1243</v>
      </c>
      <c r="L34" s="92" t="s">
        <v>1244</v>
      </c>
      <c r="M34" s="92" t="s">
        <v>1241</v>
      </c>
      <c r="N34" s="91">
        <v>41853</v>
      </c>
      <c r="O34" s="93">
        <v>1.6</v>
      </c>
      <c r="P34" s="93">
        <v>2.62</v>
      </c>
      <c r="Q34" s="94">
        <v>10</v>
      </c>
      <c r="R34" s="93">
        <f t="shared" si="0"/>
        <v>26.200000000000003</v>
      </c>
      <c r="S34" s="95">
        <v>0.08</v>
      </c>
      <c r="T34" s="96">
        <f t="shared" si="1"/>
        <v>2.0960000000000001</v>
      </c>
      <c r="U34" s="96">
        <f t="shared" si="2"/>
        <v>26.120000000000005</v>
      </c>
      <c r="V34" s="93">
        <v>0.8</v>
      </c>
      <c r="W34" s="97">
        <f t="shared" si="3"/>
        <v>26.920000000000005</v>
      </c>
    </row>
    <row r="35" spans="1:23" x14ac:dyDescent="0.25">
      <c r="A35" s="61" t="s">
        <v>130</v>
      </c>
      <c r="B35" s="91">
        <v>41879</v>
      </c>
      <c r="C35" s="92" t="s">
        <v>1315</v>
      </c>
      <c r="D35" s="92" t="s">
        <v>1316</v>
      </c>
      <c r="E35" s="92" t="s">
        <v>1199</v>
      </c>
      <c r="F35" s="92" t="s">
        <v>1254</v>
      </c>
      <c r="G35" s="92" t="s">
        <v>1200</v>
      </c>
      <c r="H35" s="92" t="s">
        <v>1274</v>
      </c>
      <c r="I35" s="92" t="s">
        <v>1317</v>
      </c>
      <c r="J35" s="92" t="s">
        <v>1318</v>
      </c>
      <c r="K35" s="92" t="s">
        <v>1239</v>
      </c>
      <c r="L35" s="92" t="s">
        <v>1319</v>
      </c>
      <c r="M35" s="92" t="s">
        <v>1320</v>
      </c>
      <c r="N35" s="91">
        <v>41879</v>
      </c>
      <c r="O35" s="93">
        <v>278.99</v>
      </c>
      <c r="P35" s="93">
        <v>449.99</v>
      </c>
      <c r="Q35" s="94">
        <v>15</v>
      </c>
      <c r="R35" s="93">
        <f t="shared" si="0"/>
        <v>6749.85</v>
      </c>
      <c r="S35" s="95">
        <v>0.04</v>
      </c>
      <c r="T35" s="96">
        <f t="shared" si="1"/>
        <v>269.99400000000003</v>
      </c>
      <c r="U35" s="96">
        <f t="shared" si="2"/>
        <v>6749.81</v>
      </c>
      <c r="V35" s="93">
        <v>49</v>
      </c>
      <c r="W35" s="97">
        <f t="shared" si="3"/>
        <v>6798.81</v>
      </c>
    </row>
    <row r="36" spans="1:23" x14ac:dyDescent="0.25">
      <c r="A36" s="61" t="s">
        <v>131</v>
      </c>
      <c r="B36" s="91">
        <v>41879</v>
      </c>
      <c r="C36" s="92" t="s">
        <v>1315</v>
      </c>
      <c r="D36" s="92" t="s">
        <v>1316</v>
      </c>
      <c r="E36" s="92" t="s">
        <v>1199</v>
      </c>
      <c r="F36" s="92" t="s">
        <v>1254</v>
      </c>
      <c r="G36" s="92" t="s">
        <v>1200</v>
      </c>
      <c r="H36" s="92" t="s">
        <v>1274</v>
      </c>
      <c r="I36" s="92" t="s">
        <v>1317</v>
      </c>
      <c r="J36" s="92" t="s">
        <v>1321</v>
      </c>
      <c r="K36" s="92" t="s">
        <v>1243</v>
      </c>
      <c r="L36" s="92" t="s">
        <v>1244</v>
      </c>
      <c r="M36" s="92" t="s">
        <v>1241</v>
      </c>
      <c r="N36" s="91">
        <v>41880</v>
      </c>
      <c r="O36" s="93">
        <v>2.52</v>
      </c>
      <c r="P36" s="93">
        <v>4</v>
      </c>
      <c r="Q36" s="94">
        <v>14</v>
      </c>
      <c r="R36" s="93">
        <f t="shared" si="0"/>
        <v>56</v>
      </c>
      <c r="S36" s="95">
        <v>0.06</v>
      </c>
      <c r="T36" s="96">
        <f t="shared" si="1"/>
        <v>3.36</v>
      </c>
      <c r="U36" s="96">
        <f t="shared" si="2"/>
        <v>55.94</v>
      </c>
      <c r="V36" s="93">
        <v>1.3</v>
      </c>
      <c r="W36" s="97">
        <f t="shared" si="3"/>
        <v>57.239999999999995</v>
      </c>
    </row>
    <row r="37" spans="1:23" x14ac:dyDescent="0.25">
      <c r="A37" s="61" t="s">
        <v>132</v>
      </c>
      <c r="B37" s="91">
        <v>41889</v>
      </c>
      <c r="C37" s="92" t="s">
        <v>1322</v>
      </c>
      <c r="D37" s="92" t="s">
        <v>1323</v>
      </c>
      <c r="E37" s="92" t="s">
        <v>1198</v>
      </c>
      <c r="F37" s="92" t="s">
        <v>1235</v>
      </c>
      <c r="G37" s="92" t="s">
        <v>1203</v>
      </c>
      <c r="H37" s="92" t="s">
        <v>1263</v>
      </c>
      <c r="I37" s="92" t="s">
        <v>1256</v>
      </c>
      <c r="J37" s="92" t="s">
        <v>1324</v>
      </c>
      <c r="K37" s="92" t="s">
        <v>1243</v>
      </c>
      <c r="L37" s="92" t="s">
        <v>1260</v>
      </c>
      <c r="M37" s="92" t="s">
        <v>1241</v>
      </c>
      <c r="N37" s="91">
        <v>41889</v>
      </c>
      <c r="O37" s="93">
        <v>1.18</v>
      </c>
      <c r="P37" s="93">
        <v>1.88</v>
      </c>
      <c r="Q37" s="94">
        <v>47</v>
      </c>
      <c r="R37" s="93">
        <f t="shared" si="0"/>
        <v>88.36</v>
      </c>
      <c r="S37" s="95">
        <v>0.06</v>
      </c>
      <c r="T37" s="96">
        <f t="shared" si="1"/>
        <v>5.3015999999999996</v>
      </c>
      <c r="U37" s="96">
        <f t="shared" si="2"/>
        <v>88.3</v>
      </c>
      <c r="V37" s="93">
        <v>1.49</v>
      </c>
      <c r="W37" s="97">
        <f t="shared" si="3"/>
        <v>89.789999999999992</v>
      </c>
    </row>
    <row r="38" spans="1:23" x14ac:dyDescent="0.25">
      <c r="A38" s="61" t="s">
        <v>133</v>
      </c>
      <c r="B38" s="91">
        <v>41889</v>
      </c>
      <c r="C38" s="92" t="s">
        <v>1322</v>
      </c>
      <c r="D38" s="92" t="s">
        <v>1323</v>
      </c>
      <c r="E38" s="92" t="s">
        <v>1198</v>
      </c>
      <c r="F38" s="92" t="s">
        <v>1235</v>
      </c>
      <c r="G38" s="92" t="s">
        <v>1203</v>
      </c>
      <c r="H38" s="92" t="s">
        <v>1263</v>
      </c>
      <c r="I38" s="92" t="s">
        <v>1256</v>
      </c>
      <c r="J38" s="92" t="s">
        <v>1266</v>
      </c>
      <c r="K38" s="92" t="s">
        <v>1243</v>
      </c>
      <c r="L38" s="92" t="s">
        <v>1244</v>
      </c>
      <c r="M38" s="92" t="s">
        <v>1241</v>
      </c>
      <c r="N38" s="91">
        <v>41891</v>
      </c>
      <c r="O38" s="93">
        <v>1.31</v>
      </c>
      <c r="P38" s="93">
        <v>2.84</v>
      </c>
      <c r="Q38" s="94">
        <v>39</v>
      </c>
      <c r="R38" s="93">
        <f t="shared" si="0"/>
        <v>110.75999999999999</v>
      </c>
      <c r="S38" s="95">
        <v>0.08</v>
      </c>
      <c r="T38" s="96">
        <f t="shared" si="1"/>
        <v>8.8607999999999993</v>
      </c>
      <c r="U38" s="96">
        <f t="shared" si="2"/>
        <v>110.67999999999999</v>
      </c>
      <c r="V38" s="93">
        <v>0.93</v>
      </c>
      <c r="W38" s="97">
        <f t="shared" si="3"/>
        <v>111.61</v>
      </c>
    </row>
    <row r="39" spans="1:23" x14ac:dyDescent="0.25">
      <c r="A39" s="61" t="s">
        <v>134</v>
      </c>
      <c r="B39" s="91">
        <v>41903</v>
      </c>
      <c r="C39" s="92" t="s">
        <v>1325</v>
      </c>
      <c r="D39" s="92" t="s">
        <v>1326</v>
      </c>
      <c r="E39" s="92" t="s">
        <v>1199</v>
      </c>
      <c r="F39" s="92" t="s">
        <v>1254</v>
      </c>
      <c r="G39" s="92" t="s">
        <v>1202</v>
      </c>
      <c r="H39" s="92" t="s">
        <v>1255</v>
      </c>
      <c r="I39" s="92" t="s">
        <v>1237</v>
      </c>
      <c r="J39" s="92" t="s">
        <v>1327</v>
      </c>
      <c r="K39" s="92" t="s">
        <v>1239</v>
      </c>
      <c r="L39" s="92" t="s">
        <v>1260</v>
      </c>
      <c r="M39" s="92" t="s">
        <v>1241</v>
      </c>
      <c r="N39" s="91">
        <v>41905</v>
      </c>
      <c r="O39" s="93">
        <v>19.78</v>
      </c>
      <c r="P39" s="93">
        <v>45.99</v>
      </c>
      <c r="Q39" s="94">
        <v>23</v>
      </c>
      <c r="R39" s="93">
        <f t="shared" si="0"/>
        <v>1057.77</v>
      </c>
      <c r="S39" s="95">
        <v>0.1</v>
      </c>
      <c r="T39" s="96">
        <f t="shared" si="1"/>
        <v>105.777</v>
      </c>
      <c r="U39" s="96">
        <f t="shared" si="2"/>
        <v>1057.67</v>
      </c>
      <c r="V39" s="93">
        <v>4.99</v>
      </c>
      <c r="W39" s="97">
        <f t="shared" si="3"/>
        <v>1062.6600000000001</v>
      </c>
    </row>
    <row r="40" spans="1:23" x14ac:dyDescent="0.25">
      <c r="A40" s="61" t="s">
        <v>135</v>
      </c>
      <c r="B40" s="91">
        <v>41903</v>
      </c>
      <c r="C40" s="92" t="s">
        <v>1325</v>
      </c>
      <c r="D40" s="92" t="s">
        <v>1326</v>
      </c>
      <c r="E40" s="92" t="s">
        <v>1199</v>
      </c>
      <c r="F40" s="92" t="s">
        <v>1254</v>
      </c>
      <c r="G40" s="92" t="s">
        <v>1202</v>
      </c>
      <c r="H40" s="92" t="s">
        <v>1255</v>
      </c>
      <c r="I40" s="92" t="s">
        <v>1237</v>
      </c>
      <c r="J40" s="92" t="s">
        <v>1328</v>
      </c>
      <c r="K40" s="92" t="s">
        <v>1243</v>
      </c>
      <c r="L40" s="92" t="s">
        <v>1244</v>
      </c>
      <c r="M40" s="92" t="s">
        <v>1241</v>
      </c>
      <c r="N40" s="91">
        <v>41904</v>
      </c>
      <c r="O40" s="93">
        <v>0.93</v>
      </c>
      <c r="P40" s="93">
        <v>1.48</v>
      </c>
      <c r="Q40" s="94">
        <v>33</v>
      </c>
      <c r="R40" s="93">
        <f t="shared" si="0"/>
        <v>48.839999999999996</v>
      </c>
      <c r="S40" s="95">
        <v>0.06</v>
      </c>
      <c r="T40" s="96">
        <f t="shared" si="1"/>
        <v>2.9303999999999997</v>
      </c>
      <c r="U40" s="96">
        <f t="shared" si="2"/>
        <v>48.779999999999994</v>
      </c>
      <c r="V40" s="93">
        <v>0.7</v>
      </c>
      <c r="W40" s="97">
        <f t="shared" si="3"/>
        <v>49.48</v>
      </c>
    </row>
    <row r="41" spans="1:23" x14ac:dyDescent="0.25">
      <c r="A41" s="61" t="s">
        <v>136</v>
      </c>
      <c r="B41" s="91">
        <v>41929</v>
      </c>
      <c r="C41" s="92" t="s">
        <v>1329</v>
      </c>
      <c r="D41" s="92" t="s">
        <v>1330</v>
      </c>
      <c r="E41" s="92" t="s">
        <v>1199</v>
      </c>
      <c r="F41" s="92" t="s">
        <v>1254</v>
      </c>
      <c r="G41" s="92" t="s">
        <v>1203</v>
      </c>
      <c r="H41" s="92" t="s">
        <v>1255</v>
      </c>
      <c r="I41" s="92" t="s">
        <v>1237</v>
      </c>
      <c r="J41" s="92" t="s">
        <v>1331</v>
      </c>
      <c r="K41" s="92" t="s">
        <v>1243</v>
      </c>
      <c r="L41" s="92" t="s">
        <v>1240</v>
      </c>
      <c r="M41" s="92" t="s">
        <v>1241</v>
      </c>
      <c r="N41" s="91">
        <v>41929</v>
      </c>
      <c r="O41" s="93">
        <v>5.19</v>
      </c>
      <c r="P41" s="93">
        <v>12.98</v>
      </c>
      <c r="Q41" s="94">
        <v>11</v>
      </c>
      <c r="R41" s="93">
        <f t="shared" si="0"/>
        <v>142.78</v>
      </c>
      <c r="S41" s="95">
        <v>0.08</v>
      </c>
      <c r="T41" s="96">
        <f t="shared" si="1"/>
        <v>11.4224</v>
      </c>
      <c r="U41" s="96">
        <f t="shared" si="2"/>
        <v>142.69999999999999</v>
      </c>
      <c r="V41" s="93">
        <v>3.14</v>
      </c>
      <c r="W41" s="97">
        <f t="shared" si="3"/>
        <v>145.83999999999997</v>
      </c>
    </row>
    <row r="42" spans="1:23" x14ac:dyDescent="0.25">
      <c r="A42" s="61" t="s">
        <v>137</v>
      </c>
      <c r="B42" s="91">
        <v>41929</v>
      </c>
      <c r="C42" s="92" t="s">
        <v>1329</v>
      </c>
      <c r="D42" s="92" t="s">
        <v>1330</v>
      </c>
      <c r="E42" s="92" t="s">
        <v>1199</v>
      </c>
      <c r="F42" s="92" t="s">
        <v>1254</v>
      </c>
      <c r="G42" s="92" t="s">
        <v>1203</v>
      </c>
      <c r="H42" s="92" t="s">
        <v>1255</v>
      </c>
      <c r="I42" s="92" t="s">
        <v>1237</v>
      </c>
      <c r="J42" s="92" t="s">
        <v>1321</v>
      </c>
      <c r="K42" s="92" t="s">
        <v>1243</v>
      </c>
      <c r="L42" s="92" t="s">
        <v>1244</v>
      </c>
      <c r="M42" s="92" t="s">
        <v>1241</v>
      </c>
      <c r="N42" s="91">
        <v>41931</v>
      </c>
      <c r="O42" s="93">
        <v>2.52</v>
      </c>
      <c r="P42" s="93">
        <v>4</v>
      </c>
      <c r="Q42" s="94">
        <v>19</v>
      </c>
      <c r="R42" s="93">
        <f t="shared" si="0"/>
        <v>76</v>
      </c>
      <c r="S42" s="95">
        <v>0.01</v>
      </c>
      <c r="T42" s="96">
        <f t="shared" si="1"/>
        <v>0.76</v>
      </c>
      <c r="U42" s="96">
        <f t="shared" si="2"/>
        <v>75.989999999999995</v>
      </c>
      <c r="V42" s="93">
        <v>1.3</v>
      </c>
      <c r="W42" s="97">
        <f t="shared" si="3"/>
        <v>77.289999999999992</v>
      </c>
    </row>
    <row r="43" spans="1:23" x14ac:dyDescent="0.25">
      <c r="A43" s="61" t="s">
        <v>138</v>
      </c>
      <c r="B43" s="91">
        <v>42000</v>
      </c>
      <c r="C43" s="92" t="s">
        <v>1332</v>
      </c>
      <c r="D43" s="92" t="s">
        <v>1285</v>
      </c>
      <c r="E43" s="92" t="s">
        <v>1198</v>
      </c>
      <c r="F43" s="92" t="s">
        <v>1235</v>
      </c>
      <c r="G43" s="92" t="s">
        <v>1201</v>
      </c>
      <c r="H43" s="92" t="s">
        <v>1286</v>
      </c>
      <c r="I43" s="92" t="s">
        <v>1317</v>
      </c>
      <c r="J43" s="92" t="s">
        <v>1333</v>
      </c>
      <c r="K43" s="92" t="s">
        <v>1243</v>
      </c>
      <c r="L43" s="92" t="s">
        <v>1260</v>
      </c>
      <c r="M43" s="92" t="s">
        <v>1241</v>
      </c>
      <c r="N43" s="91">
        <v>42000</v>
      </c>
      <c r="O43" s="93">
        <v>14.95</v>
      </c>
      <c r="P43" s="93">
        <v>34.76</v>
      </c>
      <c r="Q43" s="94">
        <v>10</v>
      </c>
      <c r="R43" s="93">
        <f t="shared" si="0"/>
        <v>347.59999999999997</v>
      </c>
      <c r="S43" s="95">
        <v>0.03</v>
      </c>
      <c r="T43" s="96">
        <f t="shared" si="1"/>
        <v>10.427999999999999</v>
      </c>
      <c r="U43" s="96">
        <f t="shared" si="2"/>
        <v>347.57</v>
      </c>
      <c r="V43" s="93">
        <v>8.2200000000000006</v>
      </c>
      <c r="W43" s="97">
        <f t="shared" si="3"/>
        <v>355.79</v>
      </c>
    </row>
    <row r="44" spans="1:23" x14ac:dyDescent="0.25">
      <c r="A44" s="61" t="s">
        <v>139</v>
      </c>
      <c r="B44" s="91">
        <v>42000</v>
      </c>
      <c r="C44" s="92" t="s">
        <v>1332</v>
      </c>
      <c r="D44" s="92" t="s">
        <v>1285</v>
      </c>
      <c r="E44" s="92" t="s">
        <v>1198</v>
      </c>
      <c r="F44" s="92" t="s">
        <v>1235</v>
      </c>
      <c r="G44" s="92" t="s">
        <v>1201</v>
      </c>
      <c r="H44" s="92" t="s">
        <v>1286</v>
      </c>
      <c r="I44" s="92" t="s">
        <v>1317</v>
      </c>
      <c r="J44" s="92" t="s">
        <v>1334</v>
      </c>
      <c r="K44" s="92" t="s">
        <v>1243</v>
      </c>
      <c r="L44" s="92" t="s">
        <v>1244</v>
      </c>
      <c r="M44" s="92" t="s">
        <v>1241</v>
      </c>
      <c r="N44" s="91">
        <v>42002</v>
      </c>
      <c r="O44" s="93">
        <v>2.31</v>
      </c>
      <c r="P44" s="93">
        <v>3.78</v>
      </c>
      <c r="Q44" s="94">
        <v>41</v>
      </c>
      <c r="R44" s="93">
        <f t="shared" si="0"/>
        <v>154.97999999999999</v>
      </c>
      <c r="S44" s="95">
        <v>0.02</v>
      </c>
      <c r="T44" s="96">
        <f t="shared" si="1"/>
        <v>3.0995999999999997</v>
      </c>
      <c r="U44" s="96">
        <f t="shared" si="2"/>
        <v>154.95999999999998</v>
      </c>
      <c r="V44" s="93">
        <v>0.71</v>
      </c>
      <c r="W44" s="97">
        <f t="shared" si="3"/>
        <v>155.66999999999999</v>
      </c>
    </row>
    <row r="45" spans="1:23" x14ac:dyDescent="0.25">
      <c r="A45" s="61" t="s">
        <v>140</v>
      </c>
      <c r="B45" s="91">
        <v>42024</v>
      </c>
      <c r="C45" s="92" t="s">
        <v>1284</v>
      </c>
      <c r="D45" s="92" t="s">
        <v>1285</v>
      </c>
      <c r="E45" s="92" t="s">
        <v>1198</v>
      </c>
      <c r="F45" s="92" t="s">
        <v>1235</v>
      </c>
      <c r="G45" s="92" t="s">
        <v>1202</v>
      </c>
      <c r="H45" s="92" t="s">
        <v>1286</v>
      </c>
      <c r="I45" s="92" t="s">
        <v>1256</v>
      </c>
      <c r="J45" s="92" t="s">
        <v>1335</v>
      </c>
      <c r="K45" s="92" t="s">
        <v>1243</v>
      </c>
      <c r="L45" s="92" t="s">
        <v>1244</v>
      </c>
      <c r="M45" s="92" t="s">
        <v>1241</v>
      </c>
      <c r="N45" s="91">
        <v>42025</v>
      </c>
      <c r="O45" s="93">
        <v>4.4800000000000004</v>
      </c>
      <c r="P45" s="93">
        <v>8.14</v>
      </c>
      <c r="Q45" s="94">
        <v>23</v>
      </c>
      <c r="R45" s="93">
        <f t="shared" si="0"/>
        <v>187.22000000000003</v>
      </c>
      <c r="S45" s="95">
        <v>7.0000000000000007E-2</v>
      </c>
      <c r="T45" s="96">
        <f t="shared" si="1"/>
        <v>13.105400000000003</v>
      </c>
      <c r="U45" s="96">
        <f t="shared" si="2"/>
        <v>187.15000000000003</v>
      </c>
      <c r="V45" s="93">
        <v>3.12</v>
      </c>
      <c r="W45" s="97">
        <f t="shared" si="3"/>
        <v>190.27000000000004</v>
      </c>
    </row>
    <row r="46" spans="1:23" x14ac:dyDescent="0.25">
      <c r="A46" s="61" t="s">
        <v>141</v>
      </c>
      <c r="B46" s="91">
        <v>42024</v>
      </c>
      <c r="C46" s="92" t="s">
        <v>1284</v>
      </c>
      <c r="D46" s="92" t="s">
        <v>1285</v>
      </c>
      <c r="E46" s="92" t="s">
        <v>1198</v>
      </c>
      <c r="F46" s="92" t="s">
        <v>1235</v>
      </c>
      <c r="G46" s="92" t="s">
        <v>1202</v>
      </c>
      <c r="H46" s="92" t="s">
        <v>1286</v>
      </c>
      <c r="I46" s="92" t="s">
        <v>1256</v>
      </c>
      <c r="J46" s="92" t="s">
        <v>1324</v>
      </c>
      <c r="K46" s="92" t="s">
        <v>1243</v>
      </c>
      <c r="L46" s="92" t="s">
        <v>1260</v>
      </c>
      <c r="M46" s="92" t="s">
        <v>1241</v>
      </c>
      <c r="N46" s="91">
        <v>42025</v>
      </c>
      <c r="O46" s="93">
        <v>1.18</v>
      </c>
      <c r="P46" s="93">
        <v>1.88</v>
      </c>
      <c r="Q46" s="94">
        <v>33</v>
      </c>
      <c r="R46" s="93">
        <f t="shared" si="0"/>
        <v>62.04</v>
      </c>
      <c r="S46" s="95">
        <v>0.05</v>
      </c>
      <c r="T46" s="96">
        <f t="shared" si="1"/>
        <v>3.1020000000000003</v>
      </c>
      <c r="U46" s="96">
        <f t="shared" si="2"/>
        <v>61.99</v>
      </c>
      <c r="V46" s="93">
        <v>1.49</v>
      </c>
      <c r="W46" s="97">
        <f t="shared" si="3"/>
        <v>63.480000000000004</v>
      </c>
    </row>
    <row r="47" spans="1:23" x14ac:dyDescent="0.25">
      <c r="A47" s="61" t="s">
        <v>142</v>
      </c>
      <c r="B47" s="91">
        <v>42026</v>
      </c>
      <c r="C47" s="92" t="s">
        <v>1336</v>
      </c>
      <c r="D47" s="92" t="s">
        <v>1337</v>
      </c>
      <c r="E47" s="92" t="s">
        <v>1198</v>
      </c>
      <c r="F47" s="92" t="s">
        <v>1235</v>
      </c>
      <c r="G47" s="92" t="s">
        <v>1200</v>
      </c>
      <c r="H47" s="92" t="s">
        <v>1247</v>
      </c>
      <c r="I47" s="92" t="s">
        <v>1264</v>
      </c>
      <c r="J47" s="92" t="s">
        <v>1257</v>
      </c>
      <c r="K47" s="92" t="s">
        <v>1239</v>
      </c>
      <c r="L47" s="92" t="s">
        <v>1258</v>
      </c>
      <c r="M47" s="92" t="s">
        <v>1241</v>
      </c>
      <c r="N47" s="91">
        <v>42027</v>
      </c>
      <c r="O47" s="93">
        <v>8.82</v>
      </c>
      <c r="P47" s="93">
        <v>20.99</v>
      </c>
      <c r="Q47" s="94">
        <v>3</v>
      </c>
      <c r="R47" s="93">
        <f t="shared" si="0"/>
        <v>62.97</v>
      </c>
      <c r="S47" s="95">
        <v>0.01</v>
      </c>
      <c r="T47" s="96">
        <f t="shared" si="1"/>
        <v>0.62970000000000004</v>
      </c>
      <c r="U47" s="96">
        <f t="shared" si="2"/>
        <v>62.96</v>
      </c>
      <c r="V47" s="93">
        <v>4.8099999999999996</v>
      </c>
      <c r="W47" s="97">
        <f t="shared" si="3"/>
        <v>67.77</v>
      </c>
    </row>
    <row r="48" spans="1:23" x14ac:dyDescent="0.25">
      <c r="A48" s="61" t="s">
        <v>143</v>
      </c>
      <c r="B48" s="91">
        <v>42026</v>
      </c>
      <c r="C48" s="92" t="s">
        <v>1336</v>
      </c>
      <c r="D48" s="92" t="s">
        <v>1337</v>
      </c>
      <c r="E48" s="92" t="s">
        <v>1198</v>
      </c>
      <c r="F48" s="92" t="s">
        <v>1235</v>
      </c>
      <c r="G48" s="92" t="s">
        <v>1200</v>
      </c>
      <c r="H48" s="92" t="s">
        <v>1247</v>
      </c>
      <c r="I48" s="92" t="s">
        <v>1264</v>
      </c>
      <c r="J48" s="92" t="s">
        <v>1338</v>
      </c>
      <c r="K48" s="92" t="s">
        <v>1243</v>
      </c>
      <c r="L48" s="92" t="s">
        <v>1260</v>
      </c>
      <c r="M48" s="92" t="s">
        <v>1250</v>
      </c>
      <c r="N48" s="91">
        <v>42026</v>
      </c>
      <c r="O48" s="93">
        <v>13.88</v>
      </c>
      <c r="P48" s="93">
        <v>22.38</v>
      </c>
      <c r="Q48" s="94">
        <v>42</v>
      </c>
      <c r="R48" s="93">
        <f t="shared" si="0"/>
        <v>939.95999999999992</v>
      </c>
      <c r="S48" s="95">
        <v>7.0000000000000007E-2</v>
      </c>
      <c r="T48" s="96">
        <f t="shared" si="1"/>
        <v>65.797200000000004</v>
      </c>
      <c r="U48" s="96">
        <f t="shared" si="2"/>
        <v>939.88999999999987</v>
      </c>
      <c r="V48" s="93">
        <v>15.1</v>
      </c>
      <c r="W48" s="97">
        <f t="shared" si="3"/>
        <v>954.9899999999999</v>
      </c>
    </row>
    <row r="49" spans="1:23" x14ac:dyDescent="0.25">
      <c r="A49" s="61" t="s">
        <v>143</v>
      </c>
      <c r="B49" s="91">
        <v>42026</v>
      </c>
      <c r="C49" s="92" t="s">
        <v>1336</v>
      </c>
      <c r="D49" s="92" t="s">
        <v>1337</v>
      </c>
      <c r="E49" s="92" t="s">
        <v>1198</v>
      </c>
      <c r="F49" s="92" t="s">
        <v>1235</v>
      </c>
      <c r="G49" s="92" t="s">
        <v>1200</v>
      </c>
      <c r="H49" s="92" t="s">
        <v>1247</v>
      </c>
      <c r="I49" s="92" t="s">
        <v>1264</v>
      </c>
      <c r="J49" s="92" t="s">
        <v>1271</v>
      </c>
      <c r="K49" s="92" t="s">
        <v>1239</v>
      </c>
      <c r="L49" s="92" t="s">
        <v>1260</v>
      </c>
      <c r="M49" s="92" t="s">
        <v>1241</v>
      </c>
      <c r="N49" s="91">
        <v>42028</v>
      </c>
      <c r="O49" s="93">
        <v>6.39</v>
      </c>
      <c r="P49" s="93">
        <v>19.98</v>
      </c>
      <c r="Q49" s="94">
        <v>45</v>
      </c>
      <c r="R49" s="93">
        <f t="shared" si="0"/>
        <v>899.1</v>
      </c>
      <c r="S49" s="95">
        <v>0.06</v>
      </c>
      <c r="T49" s="96">
        <f t="shared" si="1"/>
        <v>53.945999999999998</v>
      </c>
      <c r="U49" s="96">
        <f t="shared" si="2"/>
        <v>899.04000000000008</v>
      </c>
      <c r="V49" s="93">
        <v>4</v>
      </c>
      <c r="W49" s="97">
        <f t="shared" si="3"/>
        <v>903.04000000000008</v>
      </c>
    </row>
    <row r="50" spans="1:23" x14ac:dyDescent="0.25">
      <c r="A50" s="61" t="s">
        <v>144</v>
      </c>
      <c r="B50" s="91">
        <v>42053</v>
      </c>
      <c r="C50" s="92" t="s">
        <v>1339</v>
      </c>
      <c r="D50" s="92" t="s">
        <v>1340</v>
      </c>
      <c r="E50" s="92" t="s">
        <v>1199</v>
      </c>
      <c r="F50" s="92" t="s">
        <v>1254</v>
      </c>
      <c r="G50" s="92" t="s">
        <v>1203</v>
      </c>
      <c r="H50" s="92" t="s">
        <v>1255</v>
      </c>
      <c r="I50" s="92" t="s">
        <v>1317</v>
      </c>
      <c r="J50" s="92" t="s">
        <v>1341</v>
      </c>
      <c r="K50" s="92" t="s">
        <v>1243</v>
      </c>
      <c r="L50" s="92" t="s">
        <v>1260</v>
      </c>
      <c r="M50" s="92" t="s">
        <v>1241</v>
      </c>
      <c r="N50" s="91">
        <v>42056</v>
      </c>
      <c r="O50" s="93">
        <v>3.37</v>
      </c>
      <c r="P50" s="93">
        <v>5.53</v>
      </c>
      <c r="Q50" s="94">
        <v>12</v>
      </c>
      <c r="R50" s="93">
        <f t="shared" si="0"/>
        <v>66.36</v>
      </c>
      <c r="S50" s="95">
        <v>0.06</v>
      </c>
      <c r="T50" s="96">
        <f t="shared" si="1"/>
        <v>3.9815999999999998</v>
      </c>
      <c r="U50" s="96">
        <f t="shared" si="2"/>
        <v>66.3</v>
      </c>
      <c r="V50" s="93">
        <v>6.98</v>
      </c>
      <c r="W50" s="97">
        <f t="shared" si="3"/>
        <v>73.28</v>
      </c>
    </row>
    <row r="51" spans="1:23" x14ac:dyDescent="0.25">
      <c r="A51" s="61" t="s">
        <v>145</v>
      </c>
      <c r="B51" s="91">
        <v>42053</v>
      </c>
      <c r="C51" s="92" t="s">
        <v>1339</v>
      </c>
      <c r="D51" s="92" t="s">
        <v>1340</v>
      </c>
      <c r="E51" s="92" t="s">
        <v>1199</v>
      </c>
      <c r="F51" s="92" t="s">
        <v>1254</v>
      </c>
      <c r="G51" s="92" t="s">
        <v>1203</v>
      </c>
      <c r="H51" s="92" t="s">
        <v>1255</v>
      </c>
      <c r="I51" s="92" t="s">
        <v>1317</v>
      </c>
      <c r="J51" s="92" t="s">
        <v>1342</v>
      </c>
      <c r="K51" s="92" t="s">
        <v>1243</v>
      </c>
      <c r="L51" s="92" t="s">
        <v>1244</v>
      </c>
      <c r="M51" s="92" t="s">
        <v>1241</v>
      </c>
      <c r="N51" s="91">
        <v>42054</v>
      </c>
      <c r="O51" s="93">
        <v>2.16</v>
      </c>
      <c r="P51" s="93">
        <v>3.85</v>
      </c>
      <c r="Q51" s="94">
        <v>12</v>
      </c>
      <c r="R51" s="93">
        <f t="shared" si="0"/>
        <v>46.2</v>
      </c>
      <c r="S51" s="95">
        <v>0.1</v>
      </c>
      <c r="T51" s="96">
        <f t="shared" si="1"/>
        <v>4.62</v>
      </c>
      <c r="U51" s="96">
        <f t="shared" si="2"/>
        <v>46.1</v>
      </c>
      <c r="V51" s="93">
        <v>0.7</v>
      </c>
      <c r="W51" s="97">
        <f t="shared" si="3"/>
        <v>46.800000000000004</v>
      </c>
    </row>
    <row r="52" spans="1:23" x14ac:dyDescent="0.25">
      <c r="A52" s="61" t="s">
        <v>146</v>
      </c>
      <c r="B52" s="91">
        <v>42119</v>
      </c>
      <c r="C52" s="92" t="s">
        <v>1343</v>
      </c>
      <c r="D52" s="92" t="s">
        <v>1330</v>
      </c>
      <c r="E52" s="92" t="s">
        <v>1199</v>
      </c>
      <c r="F52" s="92" t="s">
        <v>1254</v>
      </c>
      <c r="G52" s="92" t="s">
        <v>1201</v>
      </c>
      <c r="H52" s="92" t="s">
        <v>1255</v>
      </c>
      <c r="I52" s="92" t="s">
        <v>1264</v>
      </c>
      <c r="J52" s="92" t="s">
        <v>1344</v>
      </c>
      <c r="K52" s="92" t="s">
        <v>1243</v>
      </c>
      <c r="L52" s="92" t="s">
        <v>1244</v>
      </c>
      <c r="M52" s="92" t="s">
        <v>1241</v>
      </c>
      <c r="N52" s="91">
        <v>42120</v>
      </c>
      <c r="O52" s="93">
        <v>0.24</v>
      </c>
      <c r="P52" s="93">
        <v>1.26</v>
      </c>
      <c r="Q52" s="94">
        <v>35</v>
      </c>
      <c r="R52" s="93">
        <f t="shared" si="0"/>
        <v>44.1</v>
      </c>
      <c r="S52" s="95">
        <v>0.1</v>
      </c>
      <c r="T52" s="96">
        <f t="shared" si="1"/>
        <v>4.41</v>
      </c>
      <c r="U52" s="96">
        <f t="shared" si="2"/>
        <v>44</v>
      </c>
      <c r="V52" s="93">
        <v>0.7</v>
      </c>
      <c r="W52" s="97">
        <f t="shared" si="3"/>
        <v>44.7</v>
      </c>
    </row>
    <row r="53" spans="1:23" x14ac:dyDescent="0.25">
      <c r="A53" s="61" t="s">
        <v>147</v>
      </c>
      <c r="B53" s="91">
        <v>42119</v>
      </c>
      <c r="C53" s="92" t="s">
        <v>1343</v>
      </c>
      <c r="D53" s="92" t="s">
        <v>1330</v>
      </c>
      <c r="E53" s="92" t="s">
        <v>1199</v>
      </c>
      <c r="F53" s="92" t="s">
        <v>1254</v>
      </c>
      <c r="G53" s="92" t="s">
        <v>1201</v>
      </c>
      <c r="H53" s="92" t="s">
        <v>1255</v>
      </c>
      <c r="I53" s="92" t="s">
        <v>1264</v>
      </c>
      <c r="J53" s="92" t="s">
        <v>1345</v>
      </c>
      <c r="K53" s="92" t="s">
        <v>1243</v>
      </c>
      <c r="L53" s="92" t="s">
        <v>1244</v>
      </c>
      <c r="M53" s="92" t="s">
        <v>1241</v>
      </c>
      <c r="N53" s="91">
        <v>42121</v>
      </c>
      <c r="O53" s="93">
        <v>2.39</v>
      </c>
      <c r="P53" s="93">
        <v>4.26</v>
      </c>
      <c r="Q53" s="94">
        <v>8</v>
      </c>
      <c r="R53" s="93">
        <f t="shared" si="0"/>
        <v>34.08</v>
      </c>
      <c r="S53" s="95">
        <v>0.1</v>
      </c>
      <c r="T53" s="96">
        <f t="shared" si="1"/>
        <v>3.4079999999999999</v>
      </c>
      <c r="U53" s="96">
        <f t="shared" si="2"/>
        <v>33.979999999999997</v>
      </c>
      <c r="V53" s="93">
        <v>1.2</v>
      </c>
      <c r="W53" s="97">
        <f t="shared" si="3"/>
        <v>35.18</v>
      </c>
    </row>
    <row r="54" spans="1:23" x14ac:dyDescent="0.25">
      <c r="A54" s="61" t="s">
        <v>148</v>
      </c>
      <c r="B54" s="91">
        <v>42135</v>
      </c>
      <c r="C54" s="92" t="s">
        <v>1346</v>
      </c>
      <c r="D54" s="92" t="s">
        <v>1347</v>
      </c>
      <c r="E54" s="92" t="s">
        <v>1198</v>
      </c>
      <c r="F54" s="92" t="s">
        <v>1235</v>
      </c>
      <c r="G54" s="92" t="s">
        <v>1200</v>
      </c>
      <c r="H54" s="92" t="s">
        <v>1236</v>
      </c>
      <c r="I54" s="92" t="s">
        <v>1237</v>
      </c>
      <c r="J54" s="92" t="s">
        <v>1348</v>
      </c>
      <c r="K54" s="92" t="s">
        <v>1243</v>
      </c>
      <c r="L54" s="92" t="s">
        <v>1240</v>
      </c>
      <c r="M54" s="92" t="s">
        <v>1241</v>
      </c>
      <c r="N54" s="91">
        <v>42137</v>
      </c>
      <c r="O54" s="93">
        <v>4.1900000000000004</v>
      </c>
      <c r="P54" s="93">
        <v>10.23</v>
      </c>
      <c r="Q54" s="94">
        <v>46</v>
      </c>
      <c r="R54" s="93">
        <f t="shared" si="0"/>
        <v>470.58000000000004</v>
      </c>
      <c r="S54" s="95">
        <v>0.05</v>
      </c>
      <c r="T54" s="96">
        <f t="shared" si="1"/>
        <v>23.529000000000003</v>
      </c>
      <c r="U54" s="96">
        <f t="shared" si="2"/>
        <v>470.53000000000003</v>
      </c>
      <c r="V54" s="93">
        <v>4.68</v>
      </c>
      <c r="W54" s="97">
        <f t="shared" si="3"/>
        <v>475.21000000000004</v>
      </c>
    </row>
    <row r="55" spans="1:23" x14ac:dyDescent="0.25">
      <c r="A55" s="61" t="s">
        <v>149</v>
      </c>
      <c r="B55" s="91">
        <v>42135</v>
      </c>
      <c r="C55" s="92" t="s">
        <v>1346</v>
      </c>
      <c r="D55" s="92" t="s">
        <v>1347</v>
      </c>
      <c r="E55" s="92" t="s">
        <v>1198</v>
      </c>
      <c r="F55" s="92" t="s">
        <v>1235</v>
      </c>
      <c r="G55" s="92" t="s">
        <v>1200</v>
      </c>
      <c r="H55" s="92" t="s">
        <v>1236</v>
      </c>
      <c r="I55" s="92" t="s">
        <v>1237</v>
      </c>
      <c r="J55" s="92" t="s">
        <v>1349</v>
      </c>
      <c r="K55" s="92" t="s">
        <v>1243</v>
      </c>
      <c r="L55" s="92" t="s">
        <v>1260</v>
      </c>
      <c r="M55" s="92" t="s">
        <v>1241</v>
      </c>
      <c r="N55" s="91">
        <v>42137</v>
      </c>
      <c r="O55" s="93">
        <v>3.65</v>
      </c>
      <c r="P55" s="93">
        <v>5.98</v>
      </c>
      <c r="Q55" s="94">
        <v>4</v>
      </c>
      <c r="R55" s="93">
        <f t="shared" si="0"/>
        <v>23.92</v>
      </c>
      <c r="S55" s="95">
        <v>7.0000000000000007E-2</v>
      </c>
      <c r="T55" s="96">
        <f t="shared" si="1"/>
        <v>1.6744000000000003</v>
      </c>
      <c r="U55" s="96">
        <f t="shared" si="2"/>
        <v>23.85</v>
      </c>
      <c r="V55" s="93">
        <v>1.49</v>
      </c>
      <c r="W55" s="97">
        <f t="shared" si="3"/>
        <v>25.34</v>
      </c>
    </row>
    <row r="56" spans="1:23" x14ac:dyDescent="0.25">
      <c r="A56" s="61" t="s">
        <v>150</v>
      </c>
      <c r="B56" s="91">
        <v>42180</v>
      </c>
      <c r="C56" s="92" t="s">
        <v>1350</v>
      </c>
      <c r="D56" s="92" t="s">
        <v>1351</v>
      </c>
      <c r="E56" s="92" t="s">
        <v>1198</v>
      </c>
      <c r="F56" s="92" t="s">
        <v>1235</v>
      </c>
      <c r="G56" s="92" t="s">
        <v>1203</v>
      </c>
      <c r="H56" s="92" t="s">
        <v>1304</v>
      </c>
      <c r="I56" s="92" t="s">
        <v>1237</v>
      </c>
      <c r="J56" s="92" t="s">
        <v>1352</v>
      </c>
      <c r="K56" s="92" t="s">
        <v>1243</v>
      </c>
      <c r="L56" s="92" t="s">
        <v>1244</v>
      </c>
      <c r="M56" s="92" t="s">
        <v>1241</v>
      </c>
      <c r="N56" s="91">
        <v>42180</v>
      </c>
      <c r="O56" s="93">
        <v>1.0900000000000001</v>
      </c>
      <c r="P56" s="93">
        <v>2.6</v>
      </c>
      <c r="Q56" s="94">
        <v>26</v>
      </c>
      <c r="R56" s="93">
        <f t="shared" si="0"/>
        <v>67.600000000000009</v>
      </c>
      <c r="S56" s="95">
        <v>0.08</v>
      </c>
      <c r="T56" s="96">
        <f t="shared" si="1"/>
        <v>5.4080000000000004</v>
      </c>
      <c r="U56" s="96">
        <f t="shared" si="2"/>
        <v>67.52000000000001</v>
      </c>
      <c r="V56" s="93">
        <v>2.4</v>
      </c>
      <c r="W56" s="97">
        <f t="shared" si="3"/>
        <v>69.920000000000016</v>
      </c>
    </row>
    <row r="57" spans="1:23" x14ac:dyDescent="0.25">
      <c r="A57" s="61" t="s">
        <v>151</v>
      </c>
      <c r="B57" s="91">
        <v>42180</v>
      </c>
      <c r="C57" s="92" t="s">
        <v>1350</v>
      </c>
      <c r="D57" s="92" t="s">
        <v>1351</v>
      </c>
      <c r="E57" s="92" t="s">
        <v>1198</v>
      </c>
      <c r="F57" s="92" t="s">
        <v>1235</v>
      </c>
      <c r="G57" s="92" t="s">
        <v>1203</v>
      </c>
      <c r="H57" s="92" t="s">
        <v>1304</v>
      </c>
      <c r="I57" s="92" t="s">
        <v>1237</v>
      </c>
      <c r="J57" s="92" t="s">
        <v>1353</v>
      </c>
      <c r="K57" s="92" t="s">
        <v>1239</v>
      </c>
      <c r="L57" s="92" t="s">
        <v>1260</v>
      </c>
      <c r="M57" s="92" t="s">
        <v>1241</v>
      </c>
      <c r="N57" s="91">
        <v>42182</v>
      </c>
      <c r="O57" s="93">
        <v>42.11</v>
      </c>
      <c r="P57" s="93">
        <v>80.98</v>
      </c>
      <c r="Q57" s="94">
        <v>34</v>
      </c>
      <c r="R57" s="93">
        <f t="shared" si="0"/>
        <v>2753.32</v>
      </c>
      <c r="S57" s="95">
        <v>0.02</v>
      </c>
      <c r="T57" s="96">
        <f t="shared" si="1"/>
        <v>55.066400000000002</v>
      </c>
      <c r="U57" s="96">
        <f t="shared" si="2"/>
        <v>2753.3</v>
      </c>
      <c r="V57" s="93">
        <v>7.18</v>
      </c>
      <c r="W57" s="97">
        <f t="shared" si="3"/>
        <v>2760.48</v>
      </c>
    </row>
    <row r="58" spans="1:23" x14ac:dyDescent="0.25">
      <c r="A58" s="61" t="s">
        <v>152</v>
      </c>
      <c r="B58" s="91">
        <v>42210</v>
      </c>
      <c r="C58" s="92" t="s">
        <v>1354</v>
      </c>
      <c r="D58" s="92" t="s">
        <v>1355</v>
      </c>
      <c r="E58" s="92" t="s">
        <v>1199</v>
      </c>
      <c r="F58" s="92" t="s">
        <v>1254</v>
      </c>
      <c r="G58" s="92" t="s">
        <v>1203</v>
      </c>
      <c r="H58" s="92" t="s">
        <v>1274</v>
      </c>
      <c r="I58" s="92" t="s">
        <v>1317</v>
      </c>
      <c r="J58" s="92" t="s">
        <v>1356</v>
      </c>
      <c r="K58" s="92" t="s">
        <v>1243</v>
      </c>
      <c r="L58" s="92" t="s">
        <v>1244</v>
      </c>
      <c r="M58" s="92" t="s">
        <v>1250</v>
      </c>
      <c r="N58" s="91">
        <v>42211</v>
      </c>
      <c r="O58" s="93">
        <v>1.88</v>
      </c>
      <c r="P58" s="93">
        <v>3.14</v>
      </c>
      <c r="Q58" s="94">
        <v>43</v>
      </c>
      <c r="R58" s="93">
        <f t="shared" si="0"/>
        <v>135.02000000000001</v>
      </c>
      <c r="S58" s="95">
        <v>7.0000000000000007E-2</v>
      </c>
      <c r="T58" s="96">
        <f t="shared" si="1"/>
        <v>9.4514000000000014</v>
      </c>
      <c r="U58" s="96">
        <f t="shared" si="2"/>
        <v>134.95000000000002</v>
      </c>
      <c r="V58" s="93">
        <v>1.1399999999999999</v>
      </c>
      <c r="W58" s="97">
        <f t="shared" si="3"/>
        <v>136.09</v>
      </c>
    </row>
    <row r="59" spans="1:23" x14ac:dyDescent="0.25">
      <c r="A59" s="61" t="s">
        <v>153</v>
      </c>
      <c r="B59" s="91">
        <v>42210</v>
      </c>
      <c r="C59" s="92" t="s">
        <v>1354</v>
      </c>
      <c r="D59" s="92" t="s">
        <v>1355</v>
      </c>
      <c r="E59" s="92" t="s">
        <v>1199</v>
      </c>
      <c r="F59" s="92" t="s">
        <v>1254</v>
      </c>
      <c r="G59" s="92" t="s">
        <v>1203</v>
      </c>
      <c r="H59" s="92" t="s">
        <v>1274</v>
      </c>
      <c r="I59" s="92" t="s">
        <v>1317</v>
      </c>
      <c r="J59" s="92" t="s">
        <v>1357</v>
      </c>
      <c r="K59" s="92" t="s">
        <v>1243</v>
      </c>
      <c r="L59" s="92" t="s">
        <v>1240</v>
      </c>
      <c r="M59" s="92" t="s">
        <v>1241</v>
      </c>
      <c r="N59" s="91">
        <v>42212</v>
      </c>
      <c r="O59" s="93">
        <v>1.46</v>
      </c>
      <c r="P59" s="93">
        <v>3.57</v>
      </c>
      <c r="Q59" s="94">
        <v>19</v>
      </c>
      <c r="R59" s="93">
        <f t="shared" si="0"/>
        <v>67.83</v>
      </c>
      <c r="S59" s="95">
        <v>0.08</v>
      </c>
      <c r="T59" s="96">
        <f t="shared" si="1"/>
        <v>5.4264000000000001</v>
      </c>
      <c r="U59" s="96">
        <f t="shared" si="2"/>
        <v>67.75</v>
      </c>
      <c r="V59" s="93">
        <v>4.17</v>
      </c>
      <c r="W59" s="97">
        <f t="shared" si="3"/>
        <v>71.92</v>
      </c>
    </row>
    <row r="60" spans="1:23" x14ac:dyDescent="0.25">
      <c r="A60" s="61" t="s">
        <v>154</v>
      </c>
      <c r="B60" s="91">
        <v>42212</v>
      </c>
      <c r="C60" s="92" t="s">
        <v>1358</v>
      </c>
      <c r="D60" s="92" t="s">
        <v>1330</v>
      </c>
      <c r="E60" s="92" t="s">
        <v>1199</v>
      </c>
      <c r="F60" s="92" t="s">
        <v>1254</v>
      </c>
      <c r="G60" s="92" t="s">
        <v>1201</v>
      </c>
      <c r="H60" s="92" t="s">
        <v>1255</v>
      </c>
      <c r="I60" s="92" t="s">
        <v>1248</v>
      </c>
      <c r="J60" s="92" t="s">
        <v>1328</v>
      </c>
      <c r="K60" s="92" t="s">
        <v>1243</v>
      </c>
      <c r="L60" s="92" t="s">
        <v>1244</v>
      </c>
      <c r="M60" s="92" t="s">
        <v>1250</v>
      </c>
      <c r="N60" s="91">
        <v>42216</v>
      </c>
      <c r="O60" s="93">
        <v>0.93</v>
      </c>
      <c r="P60" s="93">
        <v>1.48</v>
      </c>
      <c r="Q60" s="94">
        <v>37</v>
      </c>
      <c r="R60" s="93">
        <f t="shared" si="0"/>
        <v>54.76</v>
      </c>
      <c r="S60" s="95">
        <v>0.04</v>
      </c>
      <c r="T60" s="96">
        <f t="shared" si="1"/>
        <v>2.1903999999999999</v>
      </c>
      <c r="U60" s="96">
        <f t="shared" si="2"/>
        <v>54.72</v>
      </c>
      <c r="V60" s="93">
        <v>0.7</v>
      </c>
      <c r="W60" s="97">
        <f t="shared" si="3"/>
        <v>55.42</v>
      </c>
    </row>
    <row r="61" spans="1:23" x14ac:dyDescent="0.25">
      <c r="A61" s="61" t="s">
        <v>155</v>
      </c>
      <c r="B61" s="91">
        <v>42212</v>
      </c>
      <c r="C61" s="92" t="s">
        <v>1358</v>
      </c>
      <c r="D61" s="92" t="s">
        <v>1330</v>
      </c>
      <c r="E61" s="92" t="s">
        <v>1199</v>
      </c>
      <c r="F61" s="92" t="s">
        <v>1254</v>
      </c>
      <c r="G61" s="92" t="s">
        <v>1201</v>
      </c>
      <c r="H61" s="92" t="s">
        <v>1255</v>
      </c>
      <c r="I61" s="92" t="s">
        <v>1248</v>
      </c>
      <c r="J61" s="92" t="s">
        <v>1359</v>
      </c>
      <c r="K61" s="92" t="s">
        <v>1243</v>
      </c>
      <c r="L61" s="92" t="s">
        <v>1244</v>
      </c>
      <c r="M61" s="92" t="s">
        <v>1241</v>
      </c>
      <c r="N61" s="91">
        <v>42217</v>
      </c>
      <c r="O61" s="93">
        <v>11.11</v>
      </c>
      <c r="P61" s="93">
        <v>19.84</v>
      </c>
      <c r="Q61" s="94">
        <v>28</v>
      </c>
      <c r="R61" s="93">
        <f t="shared" si="0"/>
        <v>555.52</v>
      </c>
      <c r="S61" s="95">
        <v>0.08</v>
      </c>
      <c r="T61" s="96">
        <f t="shared" si="1"/>
        <v>44.441600000000001</v>
      </c>
      <c r="U61" s="96">
        <f t="shared" si="2"/>
        <v>555.43999999999994</v>
      </c>
      <c r="V61" s="93">
        <v>4.0999999999999996</v>
      </c>
      <c r="W61" s="97">
        <f t="shared" si="3"/>
        <v>559.54</v>
      </c>
    </row>
    <row r="62" spans="1:23" x14ac:dyDescent="0.25">
      <c r="A62" s="61" t="s">
        <v>156</v>
      </c>
      <c r="B62" s="91">
        <v>42226</v>
      </c>
      <c r="C62" s="92" t="s">
        <v>1360</v>
      </c>
      <c r="D62" s="92" t="s">
        <v>1361</v>
      </c>
      <c r="E62" s="92" t="s">
        <v>1198</v>
      </c>
      <c r="F62" s="92" t="s">
        <v>1235</v>
      </c>
      <c r="G62" s="92" t="s">
        <v>1201</v>
      </c>
      <c r="H62" s="92" t="s">
        <v>1286</v>
      </c>
      <c r="I62" s="92" t="s">
        <v>1256</v>
      </c>
      <c r="J62" s="92" t="s">
        <v>1362</v>
      </c>
      <c r="K62" s="92" t="s">
        <v>1243</v>
      </c>
      <c r="L62" s="92" t="s">
        <v>1260</v>
      </c>
      <c r="M62" s="92" t="s">
        <v>1241</v>
      </c>
      <c r="N62" s="91">
        <v>42227</v>
      </c>
      <c r="O62" s="93">
        <v>2.76</v>
      </c>
      <c r="P62" s="93">
        <v>4.38</v>
      </c>
      <c r="Q62" s="94">
        <v>24</v>
      </c>
      <c r="R62" s="93">
        <f t="shared" si="0"/>
        <v>105.12</v>
      </c>
      <c r="S62" s="95">
        <v>0.02</v>
      </c>
      <c r="T62" s="96">
        <f t="shared" si="1"/>
        <v>2.1024000000000003</v>
      </c>
      <c r="U62" s="96">
        <f t="shared" si="2"/>
        <v>105.10000000000001</v>
      </c>
      <c r="V62" s="93">
        <v>6.21</v>
      </c>
      <c r="W62" s="97">
        <f t="shared" si="3"/>
        <v>111.31</v>
      </c>
    </row>
    <row r="63" spans="1:23" x14ac:dyDescent="0.25">
      <c r="A63" s="61" t="s">
        <v>157</v>
      </c>
      <c r="B63" s="91">
        <v>42226</v>
      </c>
      <c r="C63" s="92" t="s">
        <v>1360</v>
      </c>
      <c r="D63" s="92" t="s">
        <v>1361</v>
      </c>
      <c r="E63" s="92" t="s">
        <v>1198</v>
      </c>
      <c r="F63" s="92" t="s">
        <v>1235</v>
      </c>
      <c r="G63" s="92" t="s">
        <v>1201</v>
      </c>
      <c r="H63" s="92" t="s">
        <v>1286</v>
      </c>
      <c r="I63" s="92" t="s">
        <v>1256</v>
      </c>
      <c r="J63" s="92" t="s">
        <v>1363</v>
      </c>
      <c r="K63" s="92" t="s">
        <v>1243</v>
      </c>
      <c r="L63" s="92" t="s">
        <v>1240</v>
      </c>
      <c r="M63" s="92" t="s">
        <v>1241</v>
      </c>
      <c r="N63" s="91">
        <v>42229</v>
      </c>
      <c r="O63" s="93">
        <v>4.0999999999999996</v>
      </c>
      <c r="P63" s="93">
        <v>9.31</v>
      </c>
      <c r="Q63" s="94">
        <v>30</v>
      </c>
      <c r="R63" s="93">
        <f t="shared" si="0"/>
        <v>279.3</v>
      </c>
      <c r="S63" s="95">
        <v>0.03</v>
      </c>
      <c r="T63" s="96">
        <f t="shared" si="1"/>
        <v>8.3789999999999996</v>
      </c>
      <c r="U63" s="96">
        <f t="shared" si="2"/>
        <v>279.27000000000004</v>
      </c>
      <c r="V63" s="93">
        <v>3.98</v>
      </c>
      <c r="W63" s="97">
        <f t="shared" si="3"/>
        <v>283.25000000000006</v>
      </c>
    </row>
    <row r="64" spans="1:23" x14ac:dyDescent="0.25">
      <c r="A64" s="61" t="s">
        <v>158</v>
      </c>
      <c r="B64" s="91">
        <v>42292</v>
      </c>
      <c r="C64" s="92" t="s">
        <v>1364</v>
      </c>
      <c r="D64" s="92" t="s">
        <v>1365</v>
      </c>
      <c r="E64" s="92" t="s">
        <v>1198</v>
      </c>
      <c r="F64" s="92" t="s">
        <v>1235</v>
      </c>
      <c r="G64" s="92" t="s">
        <v>1202</v>
      </c>
      <c r="H64" s="92" t="s">
        <v>1263</v>
      </c>
      <c r="I64" s="92" t="s">
        <v>1248</v>
      </c>
      <c r="J64" s="92" t="s">
        <v>1306</v>
      </c>
      <c r="K64" s="92" t="s">
        <v>1243</v>
      </c>
      <c r="L64" s="92" t="s">
        <v>1244</v>
      </c>
      <c r="M64" s="92" t="s">
        <v>1250</v>
      </c>
      <c r="N64" s="91">
        <v>42292</v>
      </c>
      <c r="O64" s="93">
        <v>1.53</v>
      </c>
      <c r="P64" s="93">
        <v>2.4700000000000002</v>
      </c>
      <c r="Q64" s="94">
        <v>45</v>
      </c>
      <c r="R64" s="93">
        <f t="shared" si="0"/>
        <v>111.15</v>
      </c>
      <c r="S64" s="95">
        <v>7.0000000000000007E-2</v>
      </c>
      <c r="T64" s="96">
        <f t="shared" si="1"/>
        <v>7.7805000000000009</v>
      </c>
      <c r="U64" s="96">
        <f t="shared" si="2"/>
        <v>111.08000000000001</v>
      </c>
      <c r="V64" s="93">
        <v>1.02</v>
      </c>
      <c r="W64" s="97">
        <f t="shared" si="3"/>
        <v>112.10000000000001</v>
      </c>
    </row>
    <row r="65" spans="1:23" x14ac:dyDescent="0.25">
      <c r="A65" s="61" t="s">
        <v>159</v>
      </c>
      <c r="B65" s="91">
        <v>42292</v>
      </c>
      <c r="C65" s="92" t="s">
        <v>1364</v>
      </c>
      <c r="D65" s="92" t="s">
        <v>1365</v>
      </c>
      <c r="E65" s="92" t="s">
        <v>1198</v>
      </c>
      <c r="F65" s="92" t="s">
        <v>1235</v>
      </c>
      <c r="G65" s="92" t="s">
        <v>1202</v>
      </c>
      <c r="H65" s="92" t="s">
        <v>1263</v>
      </c>
      <c r="I65" s="92" t="s">
        <v>1248</v>
      </c>
      <c r="J65" s="92" t="s">
        <v>1366</v>
      </c>
      <c r="K65" s="92" t="s">
        <v>1243</v>
      </c>
      <c r="L65" s="92" t="s">
        <v>1244</v>
      </c>
      <c r="M65" s="92" t="s">
        <v>1241</v>
      </c>
      <c r="N65" s="91">
        <v>42296</v>
      </c>
      <c r="O65" s="93">
        <v>3.48</v>
      </c>
      <c r="P65" s="93">
        <v>5.43</v>
      </c>
      <c r="Q65" s="94">
        <v>11</v>
      </c>
      <c r="R65" s="93">
        <f t="shared" si="0"/>
        <v>59.73</v>
      </c>
      <c r="S65" s="95">
        <v>0</v>
      </c>
      <c r="T65" s="96">
        <f t="shared" si="1"/>
        <v>0</v>
      </c>
      <c r="U65" s="96">
        <f t="shared" si="2"/>
        <v>59.73</v>
      </c>
      <c r="V65" s="93">
        <v>0.95</v>
      </c>
      <c r="W65" s="97">
        <f t="shared" si="3"/>
        <v>60.68</v>
      </c>
    </row>
    <row r="66" spans="1:23" x14ac:dyDescent="0.25">
      <c r="A66" s="61" t="s">
        <v>160</v>
      </c>
      <c r="B66" s="91">
        <v>42309</v>
      </c>
      <c r="C66" s="92" t="s">
        <v>1367</v>
      </c>
      <c r="D66" s="92" t="s">
        <v>1323</v>
      </c>
      <c r="E66" s="92" t="s">
        <v>1198</v>
      </c>
      <c r="F66" s="92" t="s">
        <v>1235</v>
      </c>
      <c r="G66" s="92" t="s">
        <v>1201</v>
      </c>
      <c r="H66" s="92" t="s">
        <v>1263</v>
      </c>
      <c r="I66" s="92" t="s">
        <v>1248</v>
      </c>
      <c r="J66" s="92" t="s">
        <v>1345</v>
      </c>
      <c r="K66" s="92" t="s">
        <v>1243</v>
      </c>
      <c r="L66" s="92" t="s">
        <v>1244</v>
      </c>
      <c r="M66" s="92" t="s">
        <v>1241</v>
      </c>
      <c r="N66" s="91">
        <v>42311</v>
      </c>
      <c r="O66" s="93">
        <v>2.39</v>
      </c>
      <c r="P66" s="93">
        <v>4.26</v>
      </c>
      <c r="Q66" s="94">
        <v>47</v>
      </c>
      <c r="R66" s="93">
        <f t="shared" si="0"/>
        <v>200.22</v>
      </c>
      <c r="S66" s="95">
        <v>7.0000000000000007E-2</v>
      </c>
      <c r="T66" s="96">
        <f t="shared" si="1"/>
        <v>14.015400000000001</v>
      </c>
      <c r="U66" s="96">
        <f t="shared" si="2"/>
        <v>200.15</v>
      </c>
      <c r="V66" s="93">
        <v>1.2</v>
      </c>
      <c r="W66" s="97">
        <f t="shared" si="3"/>
        <v>201.35</v>
      </c>
    </row>
    <row r="67" spans="1:23" x14ac:dyDescent="0.25">
      <c r="A67" s="61" t="s">
        <v>161</v>
      </c>
      <c r="B67" s="91">
        <v>42309</v>
      </c>
      <c r="C67" s="92" t="s">
        <v>1367</v>
      </c>
      <c r="D67" s="92" t="s">
        <v>1323</v>
      </c>
      <c r="E67" s="92" t="s">
        <v>1198</v>
      </c>
      <c r="F67" s="92" t="s">
        <v>1235</v>
      </c>
      <c r="G67" s="92" t="s">
        <v>1201</v>
      </c>
      <c r="H67" s="92" t="s">
        <v>1263</v>
      </c>
      <c r="I67" s="92" t="s">
        <v>1248</v>
      </c>
      <c r="J67" s="92" t="s">
        <v>1368</v>
      </c>
      <c r="K67" s="92" t="s">
        <v>1243</v>
      </c>
      <c r="L67" s="92" t="s">
        <v>1244</v>
      </c>
      <c r="M67" s="92" t="s">
        <v>1241</v>
      </c>
      <c r="N67" s="91">
        <v>42314</v>
      </c>
      <c r="O67" s="93">
        <v>1.3</v>
      </c>
      <c r="P67" s="93">
        <v>2.88</v>
      </c>
      <c r="Q67" s="94">
        <v>17</v>
      </c>
      <c r="R67" s="93">
        <f t="shared" si="0"/>
        <v>48.96</v>
      </c>
      <c r="S67" s="95">
        <v>0.09</v>
      </c>
      <c r="T67" s="96">
        <f t="shared" si="1"/>
        <v>4.4063999999999997</v>
      </c>
      <c r="U67" s="96">
        <f t="shared" si="2"/>
        <v>48.87</v>
      </c>
      <c r="V67" s="93">
        <v>1.01</v>
      </c>
      <c r="W67" s="97">
        <f t="shared" si="3"/>
        <v>49.879999999999995</v>
      </c>
    </row>
    <row r="68" spans="1:23" x14ac:dyDescent="0.25">
      <c r="A68" s="61" t="s">
        <v>162</v>
      </c>
      <c r="B68" s="91">
        <v>42354</v>
      </c>
      <c r="C68" s="92" t="s">
        <v>1369</v>
      </c>
      <c r="D68" s="92" t="s">
        <v>1370</v>
      </c>
      <c r="E68" s="92" t="s">
        <v>1198</v>
      </c>
      <c r="F68" s="92" t="s">
        <v>1235</v>
      </c>
      <c r="G68" s="92" t="s">
        <v>1203</v>
      </c>
      <c r="H68" s="92" t="s">
        <v>1236</v>
      </c>
      <c r="I68" s="92" t="s">
        <v>1264</v>
      </c>
      <c r="J68" s="92" t="s">
        <v>1271</v>
      </c>
      <c r="K68" s="92" t="s">
        <v>1239</v>
      </c>
      <c r="L68" s="92" t="s">
        <v>1260</v>
      </c>
      <c r="M68" s="92" t="s">
        <v>1250</v>
      </c>
      <c r="N68" s="91">
        <v>42356</v>
      </c>
      <c r="O68" s="93">
        <v>6.39</v>
      </c>
      <c r="P68" s="93">
        <v>19.98</v>
      </c>
      <c r="Q68" s="94">
        <v>18</v>
      </c>
      <c r="R68" s="93">
        <f t="shared" si="0"/>
        <v>359.64</v>
      </c>
      <c r="S68" s="95">
        <v>0.04</v>
      </c>
      <c r="T68" s="96">
        <f t="shared" si="1"/>
        <v>14.3856</v>
      </c>
      <c r="U68" s="96">
        <f t="shared" si="2"/>
        <v>359.59999999999997</v>
      </c>
      <c r="V68" s="93">
        <v>4</v>
      </c>
      <c r="W68" s="97">
        <f t="shared" si="3"/>
        <v>363.59999999999997</v>
      </c>
    </row>
    <row r="69" spans="1:23" x14ac:dyDescent="0.25">
      <c r="A69" s="61" t="s">
        <v>163</v>
      </c>
      <c r="B69" s="91">
        <v>42354</v>
      </c>
      <c r="C69" s="92" t="s">
        <v>1369</v>
      </c>
      <c r="D69" s="92" t="s">
        <v>1370</v>
      </c>
      <c r="E69" s="92" t="s">
        <v>1198</v>
      </c>
      <c r="F69" s="92" t="s">
        <v>1235</v>
      </c>
      <c r="G69" s="92" t="s">
        <v>1203</v>
      </c>
      <c r="H69" s="92" t="s">
        <v>1236</v>
      </c>
      <c r="I69" s="92" t="s">
        <v>1264</v>
      </c>
      <c r="J69" s="92" t="s">
        <v>1333</v>
      </c>
      <c r="K69" s="92" t="s">
        <v>1243</v>
      </c>
      <c r="L69" s="92" t="s">
        <v>1260</v>
      </c>
      <c r="M69" s="92" t="s">
        <v>1241</v>
      </c>
      <c r="N69" s="91">
        <v>42356</v>
      </c>
      <c r="O69" s="93">
        <v>14.95</v>
      </c>
      <c r="P69" s="93">
        <v>34.76</v>
      </c>
      <c r="Q69" s="94">
        <v>46</v>
      </c>
      <c r="R69" s="93">
        <f t="shared" ref="R69:R132" si="4">P69*Q69</f>
        <v>1598.9599999999998</v>
      </c>
      <c r="S69" s="95">
        <v>0.09</v>
      </c>
      <c r="T69" s="96">
        <f t="shared" ref="T69:T132" si="5">R69*S69</f>
        <v>143.90639999999999</v>
      </c>
      <c r="U69" s="96">
        <f t="shared" ref="U69:U132" si="6">R69-S69</f>
        <v>1598.87</v>
      </c>
      <c r="V69" s="93">
        <v>8.2200000000000006</v>
      </c>
      <c r="W69" s="97">
        <f t="shared" ref="W69:W132" si="7">U69+V69</f>
        <v>1607.09</v>
      </c>
    </row>
    <row r="70" spans="1:23" x14ac:dyDescent="0.25">
      <c r="A70" s="61" t="s">
        <v>164</v>
      </c>
      <c r="B70" s="91">
        <v>42369</v>
      </c>
      <c r="C70" s="92" t="s">
        <v>1371</v>
      </c>
      <c r="D70" s="92" t="s">
        <v>1372</v>
      </c>
      <c r="E70" s="92" t="s">
        <v>1198</v>
      </c>
      <c r="F70" s="92" t="s">
        <v>1235</v>
      </c>
      <c r="G70" s="92" t="s">
        <v>1203</v>
      </c>
      <c r="H70" s="92" t="s">
        <v>1313</v>
      </c>
      <c r="I70" s="92" t="s">
        <v>1317</v>
      </c>
      <c r="J70" s="92" t="s">
        <v>1305</v>
      </c>
      <c r="K70" s="92" t="s">
        <v>1243</v>
      </c>
      <c r="L70" s="92" t="s">
        <v>1260</v>
      </c>
      <c r="M70" s="92" t="s">
        <v>1241</v>
      </c>
      <c r="N70" s="91">
        <v>42370</v>
      </c>
      <c r="O70" s="93">
        <v>4.53</v>
      </c>
      <c r="P70" s="93">
        <v>7.3</v>
      </c>
      <c r="Q70" s="94">
        <v>38</v>
      </c>
      <c r="R70" s="93">
        <f t="shared" si="4"/>
        <v>277.39999999999998</v>
      </c>
      <c r="S70" s="95">
        <v>0.05</v>
      </c>
      <c r="T70" s="96">
        <f t="shared" si="5"/>
        <v>13.87</v>
      </c>
      <c r="U70" s="96">
        <f t="shared" si="6"/>
        <v>277.34999999999997</v>
      </c>
      <c r="V70" s="93">
        <v>7.72</v>
      </c>
      <c r="W70" s="97">
        <f t="shared" si="7"/>
        <v>285.07</v>
      </c>
    </row>
    <row r="71" spans="1:23" x14ac:dyDescent="0.25">
      <c r="A71" s="61" t="s">
        <v>165</v>
      </c>
      <c r="B71" s="91">
        <v>42369</v>
      </c>
      <c r="C71" s="92" t="s">
        <v>1371</v>
      </c>
      <c r="D71" s="92" t="s">
        <v>1372</v>
      </c>
      <c r="E71" s="92" t="s">
        <v>1198</v>
      </c>
      <c r="F71" s="92" t="s">
        <v>1235</v>
      </c>
      <c r="G71" s="92" t="s">
        <v>1203</v>
      </c>
      <c r="H71" s="92" t="s">
        <v>1313</v>
      </c>
      <c r="I71" s="92" t="s">
        <v>1237</v>
      </c>
      <c r="J71" s="92" t="s">
        <v>1373</v>
      </c>
      <c r="K71" s="92" t="s">
        <v>1243</v>
      </c>
      <c r="L71" s="92" t="s">
        <v>1260</v>
      </c>
      <c r="M71" s="92" t="s">
        <v>1241</v>
      </c>
      <c r="N71" s="91">
        <v>42370</v>
      </c>
      <c r="O71" s="93">
        <v>2.29</v>
      </c>
      <c r="P71" s="93">
        <v>3.69</v>
      </c>
      <c r="Q71" s="94">
        <v>41</v>
      </c>
      <c r="R71" s="93">
        <f t="shared" si="4"/>
        <v>151.29</v>
      </c>
      <c r="S71" s="95">
        <v>0.01</v>
      </c>
      <c r="T71" s="96">
        <f t="shared" si="5"/>
        <v>1.5128999999999999</v>
      </c>
      <c r="U71" s="96">
        <f t="shared" si="6"/>
        <v>151.28</v>
      </c>
      <c r="V71" s="93">
        <v>0.5</v>
      </c>
      <c r="W71" s="97">
        <f t="shared" si="7"/>
        <v>151.78</v>
      </c>
    </row>
    <row r="72" spans="1:23" x14ac:dyDescent="0.25">
      <c r="A72" s="61" t="s">
        <v>165</v>
      </c>
      <c r="B72" s="91">
        <v>42369</v>
      </c>
      <c r="C72" s="92" t="s">
        <v>1371</v>
      </c>
      <c r="D72" s="92" t="s">
        <v>1372</v>
      </c>
      <c r="E72" s="92" t="s">
        <v>1198</v>
      </c>
      <c r="F72" s="92" t="s">
        <v>1235</v>
      </c>
      <c r="G72" s="92" t="s">
        <v>1203</v>
      </c>
      <c r="H72" s="92" t="s">
        <v>1313</v>
      </c>
      <c r="I72" s="92" t="s">
        <v>1317</v>
      </c>
      <c r="J72" s="92" t="s">
        <v>1374</v>
      </c>
      <c r="K72" s="92" t="s">
        <v>1243</v>
      </c>
      <c r="L72" s="92" t="s">
        <v>1244</v>
      </c>
      <c r="M72" s="92" t="s">
        <v>1250</v>
      </c>
      <c r="N72" s="91">
        <v>42370</v>
      </c>
      <c r="O72" s="93">
        <v>4.37</v>
      </c>
      <c r="P72" s="93">
        <v>9.11</v>
      </c>
      <c r="Q72" s="94">
        <v>21</v>
      </c>
      <c r="R72" s="93">
        <f t="shared" si="4"/>
        <v>191.31</v>
      </c>
      <c r="S72" s="95">
        <v>0.03</v>
      </c>
      <c r="T72" s="96">
        <f t="shared" si="5"/>
        <v>5.7393000000000001</v>
      </c>
      <c r="U72" s="96">
        <f t="shared" si="6"/>
        <v>191.28</v>
      </c>
      <c r="V72" s="93">
        <v>2.25</v>
      </c>
      <c r="W72" s="97">
        <f t="shared" si="7"/>
        <v>193.53</v>
      </c>
    </row>
    <row r="73" spans="1:23" x14ac:dyDescent="0.25">
      <c r="A73" s="61" t="s">
        <v>166</v>
      </c>
      <c r="B73" s="91">
        <v>42412</v>
      </c>
      <c r="C73" s="92" t="s">
        <v>1375</v>
      </c>
      <c r="D73" s="92" t="s">
        <v>1376</v>
      </c>
      <c r="E73" s="92" t="s">
        <v>1199</v>
      </c>
      <c r="F73" s="92" t="s">
        <v>1254</v>
      </c>
      <c r="G73" s="92" t="s">
        <v>1201</v>
      </c>
      <c r="H73" s="92" t="s">
        <v>1255</v>
      </c>
      <c r="I73" s="92" t="s">
        <v>1264</v>
      </c>
      <c r="J73" s="92" t="s">
        <v>1377</v>
      </c>
      <c r="K73" s="92" t="s">
        <v>1243</v>
      </c>
      <c r="L73" s="92" t="s">
        <v>1244</v>
      </c>
      <c r="M73" s="92" t="s">
        <v>1241</v>
      </c>
      <c r="N73" s="91">
        <v>42413</v>
      </c>
      <c r="O73" s="93">
        <v>5.22</v>
      </c>
      <c r="P73" s="93">
        <v>9.85</v>
      </c>
      <c r="Q73" s="94">
        <v>48</v>
      </c>
      <c r="R73" s="93">
        <f t="shared" si="4"/>
        <v>472.79999999999995</v>
      </c>
      <c r="S73" s="95">
        <v>0.09</v>
      </c>
      <c r="T73" s="96">
        <f t="shared" si="5"/>
        <v>42.551999999999992</v>
      </c>
      <c r="U73" s="96">
        <f t="shared" si="6"/>
        <v>472.71</v>
      </c>
      <c r="V73" s="93">
        <v>4.82</v>
      </c>
      <c r="W73" s="97">
        <f t="shared" si="7"/>
        <v>477.53</v>
      </c>
    </row>
    <row r="74" spans="1:23" x14ac:dyDescent="0.25">
      <c r="A74" s="61" t="s">
        <v>167</v>
      </c>
      <c r="B74" s="91">
        <v>42412</v>
      </c>
      <c r="C74" s="92" t="s">
        <v>1375</v>
      </c>
      <c r="D74" s="92" t="s">
        <v>1376</v>
      </c>
      <c r="E74" s="92" t="s">
        <v>1199</v>
      </c>
      <c r="F74" s="92" t="s">
        <v>1254</v>
      </c>
      <c r="G74" s="92" t="s">
        <v>1201</v>
      </c>
      <c r="H74" s="92" t="s">
        <v>1255</v>
      </c>
      <c r="I74" s="92" t="s">
        <v>1264</v>
      </c>
      <c r="J74" s="92" t="s">
        <v>1378</v>
      </c>
      <c r="K74" s="92" t="s">
        <v>1243</v>
      </c>
      <c r="L74" s="92" t="s">
        <v>1244</v>
      </c>
      <c r="M74" s="92" t="s">
        <v>1241</v>
      </c>
      <c r="N74" s="91">
        <v>42413</v>
      </c>
      <c r="O74" s="93">
        <v>1.76</v>
      </c>
      <c r="P74" s="93">
        <v>2.94</v>
      </c>
      <c r="Q74" s="94">
        <v>18</v>
      </c>
      <c r="R74" s="93">
        <f t="shared" si="4"/>
        <v>52.92</v>
      </c>
      <c r="S74" s="95">
        <v>0.01</v>
      </c>
      <c r="T74" s="96">
        <f t="shared" si="5"/>
        <v>0.5292</v>
      </c>
      <c r="U74" s="96">
        <f t="shared" si="6"/>
        <v>52.910000000000004</v>
      </c>
      <c r="V74" s="93">
        <v>0.81</v>
      </c>
      <c r="W74" s="97">
        <f t="shared" si="7"/>
        <v>53.720000000000006</v>
      </c>
    </row>
    <row r="75" spans="1:23" x14ac:dyDescent="0.25">
      <c r="A75" s="61" t="s">
        <v>168</v>
      </c>
      <c r="B75" s="91">
        <v>42478</v>
      </c>
      <c r="C75" s="92" t="s">
        <v>1379</v>
      </c>
      <c r="D75" s="92" t="s">
        <v>1380</v>
      </c>
      <c r="E75" s="92" t="s">
        <v>1198</v>
      </c>
      <c r="F75" s="92" t="s">
        <v>1235</v>
      </c>
      <c r="G75" s="92" t="s">
        <v>1200</v>
      </c>
      <c r="H75" s="92" t="s">
        <v>1291</v>
      </c>
      <c r="I75" s="92" t="s">
        <v>1237</v>
      </c>
      <c r="J75" s="92" t="s">
        <v>1381</v>
      </c>
      <c r="K75" s="92" t="s">
        <v>1382</v>
      </c>
      <c r="L75" s="92" t="s">
        <v>1296</v>
      </c>
      <c r="M75" s="92" t="s">
        <v>1241</v>
      </c>
      <c r="N75" s="91">
        <v>42479</v>
      </c>
      <c r="O75" s="93">
        <v>56.16</v>
      </c>
      <c r="P75" s="93">
        <v>136.97999999999999</v>
      </c>
      <c r="Q75" s="94">
        <v>14</v>
      </c>
      <c r="R75" s="93">
        <f t="shared" si="4"/>
        <v>1917.7199999999998</v>
      </c>
      <c r="S75" s="95">
        <v>0</v>
      </c>
      <c r="T75" s="96">
        <f t="shared" si="5"/>
        <v>0</v>
      </c>
      <c r="U75" s="96">
        <f t="shared" si="6"/>
        <v>1917.7199999999998</v>
      </c>
      <c r="V75" s="93">
        <v>24.49</v>
      </c>
      <c r="W75" s="97">
        <f t="shared" si="7"/>
        <v>1942.2099999999998</v>
      </c>
    </row>
    <row r="76" spans="1:23" x14ac:dyDescent="0.25">
      <c r="A76" s="61" t="s">
        <v>169</v>
      </c>
      <c r="B76" s="91">
        <v>42478</v>
      </c>
      <c r="C76" s="92" t="s">
        <v>1379</v>
      </c>
      <c r="D76" s="92" t="s">
        <v>1380</v>
      </c>
      <c r="E76" s="92" t="s">
        <v>1198</v>
      </c>
      <c r="F76" s="92" t="s">
        <v>1235</v>
      </c>
      <c r="G76" s="92" t="s">
        <v>1200</v>
      </c>
      <c r="H76" s="92" t="s">
        <v>1291</v>
      </c>
      <c r="I76" s="92" t="s">
        <v>1237</v>
      </c>
      <c r="J76" s="92" t="s">
        <v>1328</v>
      </c>
      <c r="K76" s="92" t="s">
        <v>1243</v>
      </c>
      <c r="L76" s="92" t="s">
        <v>1244</v>
      </c>
      <c r="M76" s="92" t="s">
        <v>1241</v>
      </c>
      <c r="N76" s="91">
        <v>42480</v>
      </c>
      <c r="O76" s="93">
        <v>0.93</v>
      </c>
      <c r="P76" s="93">
        <v>1.48</v>
      </c>
      <c r="Q76" s="94">
        <v>3</v>
      </c>
      <c r="R76" s="93">
        <f t="shared" si="4"/>
        <v>4.4399999999999995</v>
      </c>
      <c r="S76" s="95">
        <v>0.1</v>
      </c>
      <c r="T76" s="96">
        <f t="shared" si="5"/>
        <v>0.44399999999999995</v>
      </c>
      <c r="U76" s="96">
        <f t="shared" si="6"/>
        <v>4.34</v>
      </c>
      <c r="V76" s="93">
        <v>0.7</v>
      </c>
      <c r="W76" s="97">
        <f t="shared" si="7"/>
        <v>5.04</v>
      </c>
    </row>
    <row r="77" spans="1:23" x14ac:dyDescent="0.25">
      <c r="A77" s="61" t="s">
        <v>170</v>
      </c>
      <c r="B77" s="91">
        <v>42491</v>
      </c>
      <c r="C77" s="92" t="s">
        <v>1383</v>
      </c>
      <c r="D77" s="92" t="s">
        <v>1262</v>
      </c>
      <c r="E77" s="92" t="s">
        <v>1198</v>
      </c>
      <c r="F77" s="92" t="s">
        <v>1235</v>
      </c>
      <c r="G77" s="92" t="s">
        <v>1202</v>
      </c>
      <c r="H77" s="92" t="s">
        <v>1263</v>
      </c>
      <c r="I77" s="92" t="s">
        <v>1256</v>
      </c>
      <c r="J77" s="92" t="s">
        <v>1270</v>
      </c>
      <c r="K77" s="92" t="s">
        <v>1243</v>
      </c>
      <c r="L77" s="92" t="s">
        <v>1260</v>
      </c>
      <c r="M77" s="92" t="s">
        <v>1241</v>
      </c>
      <c r="N77" s="91">
        <v>42493</v>
      </c>
      <c r="O77" s="93">
        <v>1.84</v>
      </c>
      <c r="P77" s="93">
        <v>2.88</v>
      </c>
      <c r="Q77" s="94">
        <v>45</v>
      </c>
      <c r="R77" s="93">
        <f t="shared" si="4"/>
        <v>129.6</v>
      </c>
      <c r="S77" s="95">
        <v>0.02</v>
      </c>
      <c r="T77" s="96">
        <f t="shared" si="5"/>
        <v>2.5920000000000001</v>
      </c>
      <c r="U77" s="96">
        <f t="shared" si="6"/>
        <v>129.57999999999998</v>
      </c>
      <c r="V77" s="93">
        <v>1.49</v>
      </c>
      <c r="W77" s="97">
        <f t="shared" si="7"/>
        <v>131.07</v>
      </c>
    </row>
    <row r="78" spans="1:23" x14ac:dyDescent="0.25">
      <c r="A78" s="61" t="s">
        <v>171</v>
      </c>
      <c r="B78" s="91">
        <v>42491</v>
      </c>
      <c r="C78" s="92" t="s">
        <v>1383</v>
      </c>
      <c r="D78" s="92" t="s">
        <v>1262</v>
      </c>
      <c r="E78" s="92" t="s">
        <v>1198</v>
      </c>
      <c r="F78" s="92" t="s">
        <v>1235</v>
      </c>
      <c r="G78" s="92" t="s">
        <v>1202</v>
      </c>
      <c r="H78" s="92" t="s">
        <v>1263</v>
      </c>
      <c r="I78" s="92" t="s">
        <v>1256</v>
      </c>
      <c r="J78" s="92" t="s">
        <v>1384</v>
      </c>
      <c r="K78" s="92" t="s">
        <v>1243</v>
      </c>
      <c r="L78" s="92" t="s">
        <v>1260</v>
      </c>
      <c r="M78" s="92" t="s">
        <v>1241</v>
      </c>
      <c r="N78" s="91">
        <v>42492</v>
      </c>
      <c r="O78" s="93">
        <v>4.46</v>
      </c>
      <c r="P78" s="93">
        <v>10.89</v>
      </c>
      <c r="Q78" s="94">
        <v>39</v>
      </c>
      <c r="R78" s="93">
        <f t="shared" si="4"/>
        <v>424.71000000000004</v>
      </c>
      <c r="S78" s="95">
        <v>0.06</v>
      </c>
      <c r="T78" s="96">
        <f t="shared" si="5"/>
        <v>25.482600000000001</v>
      </c>
      <c r="U78" s="96">
        <f t="shared" si="6"/>
        <v>424.65000000000003</v>
      </c>
      <c r="V78" s="93">
        <v>4.5</v>
      </c>
      <c r="W78" s="97">
        <f t="shared" si="7"/>
        <v>429.15000000000003</v>
      </c>
    </row>
    <row r="79" spans="1:23" x14ac:dyDescent="0.25">
      <c r="A79" s="61" t="s">
        <v>172</v>
      </c>
      <c r="B79" s="91">
        <v>42492</v>
      </c>
      <c r="C79" s="92" t="s">
        <v>1385</v>
      </c>
      <c r="D79" s="92" t="s">
        <v>1281</v>
      </c>
      <c r="E79" s="92" t="s">
        <v>1199</v>
      </c>
      <c r="F79" s="92" t="s">
        <v>1254</v>
      </c>
      <c r="G79" s="92" t="s">
        <v>1203</v>
      </c>
      <c r="H79" s="92" t="s">
        <v>1274</v>
      </c>
      <c r="I79" s="92" t="s">
        <v>1317</v>
      </c>
      <c r="J79" s="92" t="s">
        <v>1386</v>
      </c>
      <c r="K79" s="92" t="s">
        <v>1382</v>
      </c>
      <c r="L79" s="92" t="s">
        <v>1240</v>
      </c>
      <c r="M79" s="92" t="s">
        <v>1241</v>
      </c>
      <c r="N79" s="91">
        <v>42494</v>
      </c>
      <c r="O79" s="93">
        <v>5.5</v>
      </c>
      <c r="P79" s="93">
        <v>12.22</v>
      </c>
      <c r="Q79" s="94">
        <v>46</v>
      </c>
      <c r="R79" s="93">
        <f t="shared" si="4"/>
        <v>562.12</v>
      </c>
      <c r="S79" s="95">
        <v>0.06</v>
      </c>
      <c r="T79" s="96">
        <f t="shared" si="5"/>
        <v>33.727199999999996</v>
      </c>
      <c r="U79" s="96">
        <f t="shared" si="6"/>
        <v>562.06000000000006</v>
      </c>
      <c r="V79" s="93">
        <v>2.85</v>
      </c>
      <c r="W79" s="97">
        <f t="shared" si="7"/>
        <v>564.91000000000008</v>
      </c>
    </row>
    <row r="80" spans="1:23" x14ac:dyDescent="0.25">
      <c r="A80" s="61" t="s">
        <v>173</v>
      </c>
      <c r="B80" s="91">
        <v>42492</v>
      </c>
      <c r="C80" s="92" t="s">
        <v>1385</v>
      </c>
      <c r="D80" s="92" t="s">
        <v>1281</v>
      </c>
      <c r="E80" s="92" t="s">
        <v>1199</v>
      </c>
      <c r="F80" s="92" t="s">
        <v>1254</v>
      </c>
      <c r="G80" s="92" t="s">
        <v>1203</v>
      </c>
      <c r="H80" s="92" t="s">
        <v>1274</v>
      </c>
      <c r="I80" s="92" t="s">
        <v>1317</v>
      </c>
      <c r="J80" s="92" t="s">
        <v>1300</v>
      </c>
      <c r="K80" s="92" t="s">
        <v>1243</v>
      </c>
      <c r="L80" s="92" t="s">
        <v>1260</v>
      </c>
      <c r="M80" s="92" t="s">
        <v>1241</v>
      </c>
      <c r="N80" s="91">
        <v>42493</v>
      </c>
      <c r="O80" s="93">
        <v>2.2599999999999998</v>
      </c>
      <c r="P80" s="93">
        <v>3.58</v>
      </c>
      <c r="Q80" s="94">
        <v>8</v>
      </c>
      <c r="R80" s="93">
        <f t="shared" si="4"/>
        <v>28.64</v>
      </c>
      <c r="S80" s="95">
        <v>0.09</v>
      </c>
      <c r="T80" s="96">
        <f t="shared" si="5"/>
        <v>2.5775999999999999</v>
      </c>
      <c r="U80" s="96">
        <f t="shared" si="6"/>
        <v>28.55</v>
      </c>
      <c r="V80" s="93">
        <v>5.47</v>
      </c>
      <c r="W80" s="97">
        <f t="shared" si="7"/>
        <v>34.020000000000003</v>
      </c>
    </row>
    <row r="81" spans="1:23" x14ac:dyDescent="0.25">
      <c r="A81" s="61" t="s">
        <v>174</v>
      </c>
      <c r="B81" s="91">
        <v>42535</v>
      </c>
      <c r="C81" s="92" t="s">
        <v>1387</v>
      </c>
      <c r="D81" s="92" t="s">
        <v>1388</v>
      </c>
      <c r="E81" s="92" t="s">
        <v>1199</v>
      </c>
      <c r="F81" s="92" t="s">
        <v>1254</v>
      </c>
      <c r="G81" s="92" t="s">
        <v>1203</v>
      </c>
      <c r="H81" s="92" t="s">
        <v>1255</v>
      </c>
      <c r="I81" s="92" t="s">
        <v>1248</v>
      </c>
      <c r="J81" s="92" t="s">
        <v>1257</v>
      </c>
      <c r="K81" s="92" t="s">
        <v>1239</v>
      </c>
      <c r="L81" s="92" t="s">
        <v>1258</v>
      </c>
      <c r="M81" s="92" t="s">
        <v>1241</v>
      </c>
      <c r="N81" s="91">
        <v>42535</v>
      </c>
      <c r="O81" s="93">
        <v>8.82</v>
      </c>
      <c r="P81" s="93">
        <v>20.99</v>
      </c>
      <c r="Q81" s="94">
        <v>2</v>
      </c>
      <c r="R81" s="93">
        <f t="shared" si="4"/>
        <v>41.98</v>
      </c>
      <c r="S81" s="95">
        <v>0.01</v>
      </c>
      <c r="T81" s="96">
        <f t="shared" si="5"/>
        <v>0.41979999999999995</v>
      </c>
      <c r="U81" s="96">
        <f t="shared" si="6"/>
        <v>41.97</v>
      </c>
      <c r="V81" s="93">
        <v>4.8099999999999996</v>
      </c>
      <c r="W81" s="97">
        <f t="shared" si="7"/>
        <v>46.78</v>
      </c>
    </row>
    <row r="82" spans="1:23" x14ac:dyDescent="0.25">
      <c r="A82" s="61" t="s">
        <v>175</v>
      </c>
      <c r="B82" s="91">
        <v>42535</v>
      </c>
      <c r="C82" s="92" t="s">
        <v>1389</v>
      </c>
      <c r="D82" s="92" t="s">
        <v>1390</v>
      </c>
      <c r="E82" s="92" t="s">
        <v>1198</v>
      </c>
      <c r="F82" s="92" t="s">
        <v>1235</v>
      </c>
      <c r="G82" s="92" t="s">
        <v>1203</v>
      </c>
      <c r="H82" s="92" t="s">
        <v>1247</v>
      </c>
      <c r="I82" s="92" t="s">
        <v>1317</v>
      </c>
      <c r="J82" s="92" t="s">
        <v>1391</v>
      </c>
      <c r="K82" s="92" t="s">
        <v>1239</v>
      </c>
      <c r="L82" s="92" t="s">
        <v>1260</v>
      </c>
      <c r="M82" s="92" t="s">
        <v>1241</v>
      </c>
      <c r="N82" s="91">
        <v>42537</v>
      </c>
      <c r="O82" s="93">
        <v>32.020000000000003</v>
      </c>
      <c r="P82" s="93">
        <v>152.47999999999999</v>
      </c>
      <c r="Q82" s="94">
        <v>37</v>
      </c>
      <c r="R82" s="93">
        <f t="shared" si="4"/>
        <v>5641.7599999999993</v>
      </c>
      <c r="S82" s="95">
        <v>0.1</v>
      </c>
      <c r="T82" s="96">
        <f t="shared" si="5"/>
        <v>564.17599999999993</v>
      </c>
      <c r="U82" s="96">
        <f t="shared" si="6"/>
        <v>5641.6599999999989</v>
      </c>
      <c r="V82" s="93">
        <v>4</v>
      </c>
      <c r="W82" s="97">
        <f t="shared" si="7"/>
        <v>5645.6599999999989</v>
      </c>
    </row>
    <row r="83" spans="1:23" x14ac:dyDescent="0.25">
      <c r="A83" s="61" t="s">
        <v>176</v>
      </c>
      <c r="B83" s="91">
        <v>42535</v>
      </c>
      <c r="C83" s="92" t="s">
        <v>1389</v>
      </c>
      <c r="D83" s="92" t="s">
        <v>1390</v>
      </c>
      <c r="E83" s="92" t="s">
        <v>1198</v>
      </c>
      <c r="F83" s="92" t="s">
        <v>1235</v>
      </c>
      <c r="G83" s="92" t="s">
        <v>1203</v>
      </c>
      <c r="H83" s="92" t="s">
        <v>1247</v>
      </c>
      <c r="I83" s="92" t="s">
        <v>1317</v>
      </c>
      <c r="J83" s="92" t="s">
        <v>1392</v>
      </c>
      <c r="K83" s="92" t="s">
        <v>1239</v>
      </c>
      <c r="L83" s="92" t="s">
        <v>1240</v>
      </c>
      <c r="M83" s="92" t="s">
        <v>1241</v>
      </c>
      <c r="N83" s="91">
        <v>42537</v>
      </c>
      <c r="O83" s="93">
        <v>20.18</v>
      </c>
      <c r="P83" s="93">
        <v>35.409999999999997</v>
      </c>
      <c r="Q83" s="94">
        <v>30</v>
      </c>
      <c r="R83" s="93">
        <f t="shared" si="4"/>
        <v>1062.3</v>
      </c>
      <c r="S83" s="95">
        <v>0.08</v>
      </c>
      <c r="T83" s="96">
        <f t="shared" si="5"/>
        <v>84.983999999999995</v>
      </c>
      <c r="U83" s="96">
        <f t="shared" si="6"/>
        <v>1062.22</v>
      </c>
      <c r="V83" s="93">
        <v>1.99</v>
      </c>
      <c r="W83" s="97">
        <f t="shared" si="7"/>
        <v>1064.21</v>
      </c>
    </row>
    <row r="84" spans="1:23" x14ac:dyDescent="0.25">
      <c r="A84" s="61" t="s">
        <v>177</v>
      </c>
      <c r="B84" s="91">
        <v>42535</v>
      </c>
      <c r="C84" s="92" t="s">
        <v>1387</v>
      </c>
      <c r="D84" s="92" t="s">
        <v>1388</v>
      </c>
      <c r="E84" s="92" t="s">
        <v>1199</v>
      </c>
      <c r="F84" s="92" t="s">
        <v>1254</v>
      </c>
      <c r="G84" s="92" t="s">
        <v>1203</v>
      </c>
      <c r="H84" s="92" t="s">
        <v>1255</v>
      </c>
      <c r="I84" s="92" t="s">
        <v>1248</v>
      </c>
      <c r="J84" s="92" t="s">
        <v>1393</v>
      </c>
      <c r="K84" s="92" t="s">
        <v>1243</v>
      </c>
      <c r="L84" s="92" t="s">
        <v>1244</v>
      </c>
      <c r="M84" s="92" t="s">
        <v>1241</v>
      </c>
      <c r="N84" s="91">
        <v>42540</v>
      </c>
      <c r="O84" s="93">
        <v>0.71</v>
      </c>
      <c r="P84" s="93">
        <v>1.1399999999999999</v>
      </c>
      <c r="Q84" s="94">
        <v>31</v>
      </c>
      <c r="R84" s="93">
        <f t="shared" si="4"/>
        <v>35.339999999999996</v>
      </c>
      <c r="S84" s="95">
        <v>7.0000000000000007E-2</v>
      </c>
      <c r="T84" s="96">
        <f t="shared" si="5"/>
        <v>2.4737999999999998</v>
      </c>
      <c r="U84" s="96">
        <f t="shared" si="6"/>
        <v>35.269999999999996</v>
      </c>
      <c r="V84" s="93">
        <v>0.7</v>
      </c>
      <c r="W84" s="97">
        <f t="shared" si="7"/>
        <v>35.97</v>
      </c>
    </row>
    <row r="85" spans="1:23" x14ac:dyDescent="0.25">
      <c r="A85" s="61" t="s">
        <v>178</v>
      </c>
      <c r="B85" s="91">
        <v>42541</v>
      </c>
      <c r="C85" s="92" t="s">
        <v>1394</v>
      </c>
      <c r="D85" s="92" t="s">
        <v>1395</v>
      </c>
      <c r="E85" s="92" t="s">
        <v>1198</v>
      </c>
      <c r="F85" s="92" t="s">
        <v>1235</v>
      </c>
      <c r="G85" s="92" t="s">
        <v>1202</v>
      </c>
      <c r="H85" s="92" t="s">
        <v>1236</v>
      </c>
      <c r="I85" s="92" t="s">
        <v>1237</v>
      </c>
      <c r="J85" s="92" t="s">
        <v>1396</v>
      </c>
      <c r="K85" s="92" t="s">
        <v>1243</v>
      </c>
      <c r="L85" s="92" t="s">
        <v>1244</v>
      </c>
      <c r="M85" s="92" t="s">
        <v>1250</v>
      </c>
      <c r="N85" s="91">
        <v>42541</v>
      </c>
      <c r="O85" s="93">
        <v>1.53</v>
      </c>
      <c r="P85" s="93">
        <v>2.78</v>
      </c>
      <c r="Q85" s="94">
        <v>47</v>
      </c>
      <c r="R85" s="93">
        <f t="shared" si="4"/>
        <v>130.66</v>
      </c>
      <c r="S85" s="95">
        <v>0.1</v>
      </c>
      <c r="T85" s="96">
        <f t="shared" si="5"/>
        <v>13.066000000000001</v>
      </c>
      <c r="U85" s="96">
        <f t="shared" si="6"/>
        <v>130.56</v>
      </c>
      <c r="V85" s="93">
        <v>1.34</v>
      </c>
      <c r="W85" s="97">
        <f t="shared" si="7"/>
        <v>131.9</v>
      </c>
    </row>
    <row r="86" spans="1:23" x14ac:dyDescent="0.25">
      <c r="A86" s="61" t="s">
        <v>179</v>
      </c>
      <c r="B86" s="91">
        <v>42541</v>
      </c>
      <c r="C86" s="92" t="s">
        <v>1394</v>
      </c>
      <c r="D86" s="92" t="s">
        <v>1395</v>
      </c>
      <c r="E86" s="92" t="s">
        <v>1198</v>
      </c>
      <c r="F86" s="92" t="s">
        <v>1235</v>
      </c>
      <c r="G86" s="92" t="s">
        <v>1202</v>
      </c>
      <c r="H86" s="92" t="s">
        <v>1236</v>
      </c>
      <c r="I86" s="92" t="s">
        <v>1237</v>
      </c>
      <c r="J86" s="92" t="s">
        <v>1314</v>
      </c>
      <c r="K86" s="92" t="s">
        <v>1243</v>
      </c>
      <c r="L86" s="92" t="s">
        <v>1244</v>
      </c>
      <c r="M86" s="92" t="s">
        <v>1241</v>
      </c>
      <c r="N86" s="91">
        <v>42544</v>
      </c>
      <c r="O86" s="93">
        <v>1.6</v>
      </c>
      <c r="P86" s="93">
        <v>2.62</v>
      </c>
      <c r="Q86" s="94">
        <v>30</v>
      </c>
      <c r="R86" s="93">
        <f t="shared" si="4"/>
        <v>78.600000000000009</v>
      </c>
      <c r="S86" s="95">
        <v>0.05</v>
      </c>
      <c r="T86" s="96">
        <f t="shared" si="5"/>
        <v>3.9300000000000006</v>
      </c>
      <c r="U86" s="96">
        <f t="shared" si="6"/>
        <v>78.550000000000011</v>
      </c>
      <c r="V86" s="93">
        <v>0.8</v>
      </c>
      <c r="W86" s="97">
        <f t="shared" si="7"/>
        <v>79.350000000000009</v>
      </c>
    </row>
    <row r="87" spans="1:23" x14ac:dyDescent="0.25">
      <c r="A87" s="61" t="s">
        <v>180</v>
      </c>
      <c r="B87" s="91">
        <v>42606</v>
      </c>
      <c r="C87" s="92" t="s">
        <v>1397</v>
      </c>
      <c r="D87" s="92" t="s">
        <v>1398</v>
      </c>
      <c r="E87" s="92" t="s">
        <v>1198</v>
      </c>
      <c r="F87" s="92" t="s">
        <v>1235</v>
      </c>
      <c r="G87" s="92" t="s">
        <v>1203</v>
      </c>
      <c r="H87" s="92" t="s">
        <v>1269</v>
      </c>
      <c r="I87" s="92" t="s">
        <v>1248</v>
      </c>
      <c r="J87" s="92" t="s">
        <v>1295</v>
      </c>
      <c r="K87" s="92" t="s">
        <v>1239</v>
      </c>
      <c r="L87" s="92" t="s">
        <v>1296</v>
      </c>
      <c r="M87" s="92" t="s">
        <v>1241</v>
      </c>
      <c r="N87" s="91">
        <v>42615</v>
      </c>
      <c r="O87" s="93">
        <v>377.99</v>
      </c>
      <c r="P87" s="93">
        <v>599.99</v>
      </c>
      <c r="Q87" s="94">
        <v>16</v>
      </c>
      <c r="R87" s="93">
        <f t="shared" si="4"/>
        <v>9599.84</v>
      </c>
      <c r="S87" s="95">
        <v>0</v>
      </c>
      <c r="T87" s="96">
        <f t="shared" si="5"/>
        <v>0</v>
      </c>
      <c r="U87" s="96">
        <f t="shared" si="6"/>
        <v>9599.84</v>
      </c>
      <c r="V87" s="93">
        <v>24.49</v>
      </c>
      <c r="W87" s="97">
        <f t="shared" si="7"/>
        <v>9624.33</v>
      </c>
    </row>
    <row r="88" spans="1:23" x14ac:dyDescent="0.25">
      <c r="A88" s="61" t="s">
        <v>181</v>
      </c>
      <c r="B88" s="91">
        <v>42606</v>
      </c>
      <c r="C88" s="92" t="s">
        <v>1397</v>
      </c>
      <c r="D88" s="92" t="s">
        <v>1398</v>
      </c>
      <c r="E88" s="92" t="s">
        <v>1198</v>
      </c>
      <c r="F88" s="92" t="s">
        <v>1235</v>
      </c>
      <c r="G88" s="92" t="s">
        <v>1203</v>
      </c>
      <c r="H88" s="92" t="s">
        <v>1269</v>
      </c>
      <c r="I88" s="92" t="s">
        <v>1248</v>
      </c>
      <c r="J88" s="92" t="s">
        <v>1359</v>
      </c>
      <c r="K88" s="92" t="s">
        <v>1243</v>
      </c>
      <c r="L88" s="92" t="s">
        <v>1244</v>
      </c>
      <c r="M88" s="92" t="s">
        <v>1241</v>
      </c>
      <c r="N88" s="91">
        <v>42615</v>
      </c>
      <c r="O88" s="93">
        <v>11.11</v>
      </c>
      <c r="P88" s="93">
        <v>19.84</v>
      </c>
      <c r="Q88" s="94">
        <v>39</v>
      </c>
      <c r="R88" s="93">
        <f t="shared" si="4"/>
        <v>773.76</v>
      </c>
      <c r="S88" s="95">
        <v>0.01</v>
      </c>
      <c r="T88" s="96">
        <f t="shared" si="5"/>
        <v>7.7376000000000005</v>
      </c>
      <c r="U88" s="96">
        <f t="shared" si="6"/>
        <v>773.75</v>
      </c>
      <c r="V88" s="93">
        <v>4.0999999999999996</v>
      </c>
      <c r="W88" s="97">
        <f t="shared" si="7"/>
        <v>777.85</v>
      </c>
    </row>
    <row r="89" spans="1:23" x14ac:dyDescent="0.25">
      <c r="A89" s="61" t="s">
        <v>182</v>
      </c>
      <c r="B89" s="91">
        <v>42631</v>
      </c>
      <c r="C89" s="92" t="s">
        <v>1360</v>
      </c>
      <c r="D89" s="92" t="s">
        <v>1361</v>
      </c>
      <c r="E89" s="92" t="s">
        <v>1198</v>
      </c>
      <c r="F89" s="92" t="s">
        <v>1235</v>
      </c>
      <c r="G89" s="92" t="s">
        <v>1201</v>
      </c>
      <c r="H89" s="92" t="s">
        <v>1286</v>
      </c>
      <c r="I89" s="92" t="s">
        <v>1237</v>
      </c>
      <c r="J89" s="92" t="s">
        <v>1282</v>
      </c>
      <c r="K89" s="92" t="s">
        <v>1243</v>
      </c>
      <c r="L89" s="92" t="s">
        <v>1260</v>
      </c>
      <c r="M89" s="92" t="s">
        <v>1241</v>
      </c>
      <c r="N89" s="91">
        <v>42633</v>
      </c>
      <c r="O89" s="93">
        <v>5.33</v>
      </c>
      <c r="P89" s="93">
        <v>8.6</v>
      </c>
      <c r="Q89" s="94">
        <v>2</v>
      </c>
      <c r="R89" s="93">
        <f t="shared" si="4"/>
        <v>17.2</v>
      </c>
      <c r="S89" s="95">
        <v>0.03</v>
      </c>
      <c r="T89" s="96">
        <f t="shared" si="5"/>
        <v>0.51600000000000001</v>
      </c>
      <c r="U89" s="96">
        <f t="shared" si="6"/>
        <v>17.169999999999998</v>
      </c>
      <c r="V89" s="93">
        <v>6.19</v>
      </c>
      <c r="W89" s="97">
        <f t="shared" si="7"/>
        <v>23.36</v>
      </c>
    </row>
    <row r="90" spans="1:23" x14ac:dyDescent="0.25">
      <c r="A90" s="61" t="s">
        <v>183</v>
      </c>
      <c r="B90" s="91">
        <v>42631</v>
      </c>
      <c r="C90" s="92" t="s">
        <v>1360</v>
      </c>
      <c r="D90" s="92" t="s">
        <v>1361</v>
      </c>
      <c r="E90" s="92" t="s">
        <v>1198</v>
      </c>
      <c r="F90" s="92" t="s">
        <v>1235</v>
      </c>
      <c r="G90" s="92" t="s">
        <v>1201</v>
      </c>
      <c r="H90" s="92" t="s">
        <v>1286</v>
      </c>
      <c r="I90" s="92" t="s">
        <v>1237</v>
      </c>
      <c r="J90" s="92" t="s">
        <v>1276</v>
      </c>
      <c r="K90" s="92" t="s">
        <v>1243</v>
      </c>
      <c r="L90" s="92" t="s">
        <v>1260</v>
      </c>
      <c r="M90" s="92" t="s">
        <v>1241</v>
      </c>
      <c r="N90" s="91">
        <v>42632</v>
      </c>
      <c r="O90" s="93">
        <v>67.73</v>
      </c>
      <c r="P90" s="93">
        <v>165.2</v>
      </c>
      <c r="Q90" s="94">
        <v>10</v>
      </c>
      <c r="R90" s="93">
        <f t="shared" si="4"/>
        <v>1652</v>
      </c>
      <c r="S90" s="95">
        <v>0.08</v>
      </c>
      <c r="T90" s="96">
        <f t="shared" si="5"/>
        <v>132.16</v>
      </c>
      <c r="U90" s="96">
        <f t="shared" si="6"/>
        <v>1651.92</v>
      </c>
      <c r="V90" s="93">
        <v>19.989999999999998</v>
      </c>
      <c r="W90" s="97">
        <f t="shared" si="7"/>
        <v>1671.91</v>
      </c>
    </row>
    <row r="91" spans="1:23" x14ac:dyDescent="0.25">
      <c r="A91" s="61" t="s">
        <v>184</v>
      </c>
      <c r="B91" s="91">
        <v>42639</v>
      </c>
      <c r="C91" s="92" t="s">
        <v>1399</v>
      </c>
      <c r="D91" s="92" t="s">
        <v>1347</v>
      </c>
      <c r="E91" s="92" t="s">
        <v>1198</v>
      </c>
      <c r="F91" s="92" t="s">
        <v>1235</v>
      </c>
      <c r="G91" s="92" t="s">
        <v>1201</v>
      </c>
      <c r="H91" s="92" t="s">
        <v>1236</v>
      </c>
      <c r="I91" s="92" t="s">
        <v>1237</v>
      </c>
      <c r="J91" s="92" t="s">
        <v>1338</v>
      </c>
      <c r="K91" s="92" t="s">
        <v>1243</v>
      </c>
      <c r="L91" s="92" t="s">
        <v>1260</v>
      </c>
      <c r="M91" s="92" t="s">
        <v>1241</v>
      </c>
      <c r="N91" s="91">
        <v>42641</v>
      </c>
      <c r="O91" s="93">
        <v>13.88</v>
      </c>
      <c r="P91" s="93">
        <v>22.38</v>
      </c>
      <c r="Q91" s="94">
        <v>34</v>
      </c>
      <c r="R91" s="93">
        <f t="shared" si="4"/>
        <v>760.92</v>
      </c>
      <c r="S91" s="95">
        <v>7.0000000000000007E-2</v>
      </c>
      <c r="T91" s="96">
        <f t="shared" si="5"/>
        <v>53.264400000000002</v>
      </c>
      <c r="U91" s="96">
        <f t="shared" si="6"/>
        <v>760.84999999999991</v>
      </c>
      <c r="V91" s="93">
        <v>15.1</v>
      </c>
      <c r="W91" s="97">
        <f t="shared" si="7"/>
        <v>775.94999999999993</v>
      </c>
    </row>
    <row r="92" spans="1:23" x14ac:dyDescent="0.25">
      <c r="A92" s="61" t="s">
        <v>185</v>
      </c>
      <c r="B92" s="91">
        <v>42639</v>
      </c>
      <c r="C92" s="92" t="s">
        <v>1399</v>
      </c>
      <c r="D92" s="92" t="s">
        <v>1347</v>
      </c>
      <c r="E92" s="92" t="s">
        <v>1198</v>
      </c>
      <c r="F92" s="92" t="s">
        <v>1235</v>
      </c>
      <c r="G92" s="92" t="s">
        <v>1201</v>
      </c>
      <c r="H92" s="92" t="s">
        <v>1236</v>
      </c>
      <c r="I92" s="92" t="s">
        <v>1237</v>
      </c>
      <c r="J92" s="92" t="s">
        <v>1400</v>
      </c>
      <c r="K92" s="92" t="s">
        <v>1239</v>
      </c>
      <c r="L92" s="92" t="s">
        <v>1260</v>
      </c>
      <c r="M92" s="92" t="s">
        <v>1250</v>
      </c>
      <c r="N92" s="91">
        <v>42640</v>
      </c>
      <c r="O92" s="93">
        <v>14.7</v>
      </c>
      <c r="P92" s="93">
        <v>29.99</v>
      </c>
      <c r="Q92" s="94">
        <v>36</v>
      </c>
      <c r="R92" s="93">
        <f t="shared" si="4"/>
        <v>1079.6399999999999</v>
      </c>
      <c r="S92" s="95">
        <v>0.03</v>
      </c>
      <c r="T92" s="96">
        <f t="shared" si="5"/>
        <v>32.389199999999995</v>
      </c>
      <c r="U92" s="96">
        <f t="shared" si="6"/>
        <v>1079.6099999999999</v>
      </c>
      <c r="V92" s="93">
        <v>5.5</v>
      </c>
      <c r="W92" s="97">
        <f t="shared" si="7"/>
        <v>1085.1099999999999</v>
      </c>
    </row>
    <row r="93" spans="1:23" x14ac:dyDescent="0.25">
      <c r="A93" s="61" t="s">
        <v>186</v>
      </c>
      <c r="B93" s="91">
        <v>42670</v>
      </c>
      <c r="C93" s="92" t="s">
        <v>1280</v>
      </c>
      <c r="D93" s="92" t="s">
        <v>1281</v>
      </c>
      <c r="E93" s="92" t="s">
        <v>1199</v>
      </c>
      <c r="F93" s="92" t="s">
        <v>1254</v>
      </c>
      <c r="G93" s="92" t="s">
        <v>1203</v>
      </c>
      <c r="H93" s="92" t="s">
        <v>1274</v>
      </c>
      <c r="I93" s="92" t="s">
        <v>1237</v>
      </c>
      <c r="J93" s="92" t="s">
        <v>1401</v>
      </c>
      <c r="K93" s="92" t="s">
        <v>1239</v>
      </c>
      <c r="L93" s="92" t="s">
        <v>1260</v>
      </c>
      <c r="M93" s="92" t="s">
        <v>1241</v>
      </c>
      <c r="N93" s="91">
        <v>42671</v>
      </c>
      <c r="O93" s="93">
        <v>54.52</v>
      </c>
      <c r="P93" s="93">
        <v>100.97</v>
      </c>
      <c r="Q93" s="94">
        <v>29</v>
      </c>
      <c r="R93" s="93">
        <f t="shared" si="4"/>
        <v>2928.13</v>
      </c>
      <c r="S93" s="95">
        <v>0.05</v>
      </c>
      <c r="T93" s="96">
        <f t="shared" si="5"/>
        <v>146.40650000000002</v>
      </c>
      <c r="U93" s="96">
        <f t="shared" si="6"/>
        <v>2928.08</v>
      </c>
      <c r="V93" s="93">
        <v>7.18</v>
      </c>
      <c r="W93" s="97">
        <f t="shared" si="7"/>
        <v>2935.2599999999998</v>
      </c>
    </row>
    <row r="94" spans="1:23" x14ac:dyDescent="0.25">
      <c r="A94" s="61" t="s">
        <v>187</v>
      </c>
      <c r="B94" s="91">
        <v>42670</v>
      </c>
      <c r="C94" s="92" t="s">
        <v>1280</v>
      </c>
      <c r="D94" s="92" t="s">
        <v>1281</v>
      </c>
      <c r="E94" s="92" t="s">
        <v>1199</v>
      </c>
      <c r="F94" s="92" t="s">
        <v>1254</v>
      </c>
      <c r="G94" s="92" t="s">
        <v>1203</v>
      </c>
      <c r="H94" s="92" t="s">
        <v>1274</v>
      </c>
      <c r="I94" s="92" t="s">
        <v>1237</v>
      </c>
      <c r="J94" s="92" t="s">
        <v>1297</v>
      </c>
      <c r="K94" s="92" t="s">
        <v>1243</v>
      </c>
      <c r="L94" s="92" t="s">
        <v>1244</v>
      </c>
      <c r="M94" s="92" t="s">
        <v>1241</v>
      </c>
      <c r="N94" s="91">
        <v>42670</v>
      </c>
      <c r="O94" s="93">
        <v>2.59</v>
      </c>
      <c r="P94" s="93">
        <v>3.98</v>
      </c>
      <c r="Q94" s="94">
        <v>4</v>
      </c>
      <c r="R94" s="93">
        <f t="shared" si="4"/>
        <v>15.92</v>
      </c>
      <c r="S94" s="95">
        <v>0.09</v>
      </c>
      <c r="T94" s="96">
        <f t="shared" si="5"/>
        <v>1.4327999999999999</v>
      </c>
      <c r="U94" s="96">
        <f t="shared" si="6"/>
        <v>15.83</v>
      </c>
      <c r="V94" s="93">
        <v>2.97</v>
      </c>
      <c r="W94" s="97">
        <f t="shared" si="7"/>
        <v>18.8</v>
      </c>
    </row>
    <row r="95" spans="1:23" x14ac:dyDescent="0.25">
      <c r="A95" s="61" t="s">
        <v>188</v>
      </c>
      <c r="B95" s="91">
        <v>42712</v>
      </c>
      <c r="C95" s="92" t="s">
        <v>1402</v>
      </c>
      <c r="D95" s="92" t="s">
        <v>1403</v>
      </c>
      <c r="E95" s="92" t="s">
        <v>1198</v>
      </c>
      <c r="F95" s="92" t="s">
        <v>1235</v>
      </c>
      <c r="G95" s="92" t="s">
        <v>1201</v>
      </c>
      <c r="H95" s="92" t="s">
        <v>1404</v>
      </c>
      <c r="I95" s="92" t="s">
        <v>1248</v>
      </c>
      <c r="J95" s="92" t="s">
        <v>1405</v>
      </c>
      <c r="K95" s="92" t="s">
        <v>1243</v>
      </c>
      <c r="L95" s="92" t="s">
        <v>1260</v>
      </c>
      <c r="M95" s="92" t="s">
        <v>1241</v>
      </c>
      <c r="N95" s="91">
        <v>42719</v>
      </c>
      <c r="O95" s="93">
        <v>4.59</v>
      </c>
      <c r="P95" s="93">
        <v>7.28</v>
      </c>
      <c r="Q95" s="94">
        <v>18</v>
      </c>
      <c r="R95" s="93">
        <f t="shared" si="4"/>
        <v>131.04</v>
      </c>
      <c r="S95" s="95">
        <v>0.09</v>
      </c>
      <c r="T95" s="96">
        <f t="shared" si="5"/>
        <v>11.7936</v>
      </c>
      <c r="U95" s="96">
        <f t="shared" si="6"/>
        <v>130.94999999999999</v>
      </c>
      <c r="V95" s="93">
        <v>11.15</v>
      </c>
      <c r="W95" s="97">
        <f t="shared" si="7"/>
        <v>142.1</v>
      </c>
    </row>
    <row r="96" spans="1:23" x14ac:dyDescent="0.25">
      <c r="A96" s="61" t="s">
        <v>189</v>
      </c>
      <c r="B96" s="91">
        <v>42712</v>
      </c>
      <c r="C96" s="92" t="s">
        <v>1402</v>
      </c>
      <c r="D96" s="92" t="s">
        <v>1403</v>
      </c>
      <c r="E96" s="92" t="s">
        <v>1198</v>
      </c>
      <c r="F96" s="92" t="s">
        <v>1235</v>
      </c>
      <c r="G96" s="92" t="s">
        <v>1201</v>
      </c>
      <c r="H96" s="92" t="s">
        <v>1404</v>
      </c>
      <c r="I96" s="92" t="s">
        <v>1248</v>
      </c>
      <c r="J96" s="92" t="s">
        <v>1393</v>
      </c>
      <c r="K96" s="92" t="s">
        <v>1243</v>
      </c>
      <c r="L96" s="92" t="s">
        <v>1244</v>
      </c>
      <c r="M96" s="92" t="s">
        <v>1241</v>
      </c>
      <c r="N96" s="91">
        <v>42716</v>
      </c>
      <c r="O96" s="93">
        <v>0.71</v>
      </c>
      <c r="P96" s="93">
        <v>1.1399999999999999</v>
      </c>
      <c r="Q96" s="94">
        <v>28</v>
      </c>
      <c r="R96" s="93">
        <f t="shared" si="4"/>
        <v>31.919999999999998</v>
      </c>
      <c r="S96" s="95">
        <v>0.09</v>
      </c>
      <c r="T96" s="96">
        <f t="shared" si="5"/>
        <v>2.8727999999999998</v>
      </c>
      <c r="U96" s="96">
        <f t="shared" si="6"/>
        <v>31.83</v>
      </c>
      <c r="V96" s="93">
        <v>0.7</v>
      </c>
      <c r="W96" s="97">
        <f t="shared" si="7"/>
        <v>32.53</v>
      </c>
    </row>
    <row r="97" spans="1:23" x14ac:dyDescent="0.25">
      <c r="A97" s="61" t="s">
        <v>190</v>
      </c>
      <c r="B97" s="91">
        <v>41316</v>
      </c>
      <c r="C97" s="92" t="s">
        <v>1280</v>
      </c>
      <c r="D97" s="92" t="s">
        <v>1281</v>
      </c>
      <c r="E97" s="92" t="s">
        <v>1199</v>
      </c>
      <c r="F97" s="92" t="s">
        <v>1254</v>
      </c>
      <c r="G97" s="92" t="s">
        <v>1203</v>
      </c>
      <c r="H97" s="92" t="s">
        <v>1274</v>
      </c>
      <c r="I97" s="92" t="s">
        <v>1317</v>
      </c>
      <c r="J97" s="92" t="s">
        <v>1287</v>
      </c>
      <c r="K97" s="92" t="s">
        <v>1243</v>
      </c>
      <c r="L97" s="92" t="s">
        <v>1260</v>
      </c>
      <c r="M97" s="92" t="s">
        <v>1241</v>
      </c>
      <c r="N97" s="91">
        <v>41317</v>
      </c>
      <c r="O97" s="93">
        <v>3.52</v>
      </c>
      <c r="P97" s="93">
        <v>5.58</v>
      </c>
      <c r="Q97" s="94">
        <v>29</v>
      </c>
      <c r="R97" s="93">
        <f t="shared" si="4"/>
        <v>161.82</v>
      </c>
      <c r="S97" s="95">
        <v>0.03</v>
      </c>
      <c r="T97" s="96">
        <f t="shared" si="5"/>
        <v>4.8545999999999996</v>
      </c>
      <c r="U97" s="96">
        <f t="shared" si="6"/>
        <v>161.79</v>
      </c>
      <c r="V97" s="93">
        <v>2.99</v>
      </c>
      <c r="W97" s="97">
        <f t="shared" si="7"/>
        <v>164.78</v>
      </c>
    </row>
    <row r="98" spans="1:23" x14ac:dyDescent="0.25">
      <c r="A98" s="61" t="s">
        <v>191</v>
      </c>
      <c r="B98" s="91">
        <v>41316</v>
      </c>
      <c r="C98" s="92" t="s">
        <v>1406</v>
      </c>
      <c r="D98" s="92" t="s">
        <v>1388</v>
      </c>
      <c r="E98" s="92" t="s">
        <v>1199</v>
      </c>
      <c r="F98" s="92" t="s">
        <v>1254</v>
      </c>
      <c r="G98" s="92" t="s">
        <v>1203</v>
      </c>
      <c r="H98" s="92" t="s">
        <v>1255</v>
      </c>
      <c r="I98" s="92" t="s">
        <v>1317</v>
      </c>
      <c r="J98" s="92" t="s">
        <v>1345</v>
      </c>
      <c r="K98" s="92" t="s">
        <v>1243</v>
      </c>
      <c r="L98" s="92" t="s">
        <v>1244</v>
      </c>
      <c r="M98" s="92" t="s">
        <v>1241</v>
      </c>
      <c r="N98" s="91">
        <v>41317</v>
      </c>
      <c r="O98" s="93">
        <v>2.39</v>
      </c>
      <c r="P98" s="93">
        <v>4.26</v>
      </c>
      <c r="Q98" s="94">
        <v>29</v>
      </c>
      <c r="R98" s="93">
        <f t="shared" si="4"/>
        <v>123.53999999999999</v>
      </c>
      <c r="S98" s="95">
        <v>0.03</v>
      </c>
      <c r="T98" s="96">
        <f t="shared" si="5"/>
        <v>3.7061999999999995</v>
      </c>
      <c r="U98" s="96">
        <f t="shared" si="6"/>
        <v>123.50999999999999</v>
      </c>
      <c r="V98" s="93">
        <v>1.2</v>
      </c>
      <c r="W98" s="97">
        <f t="shared" si="7"/>
        <v>124.71</v>
      </c>
    </row>
    <row r="99" spans="1:23" x14ac:dyDescent="0.25">
      <c r="A99" s="61" t="s">
        <v>192</v>
      </c>
      <c r="B99" s="91">
        <v>41317</v>
      </c>
      <c r="C99" s="92" t="s">
        <v>1407</v>
      </c>
      <c r="D99" s="92" t="s">
        <v>1408</v>
      </c>
      <c r="E99" s="92" t="s">
        <v>1198</v>
      </c>
      <c r="F99" s="92" t="s">
        <v>1235</v>
      </c>
      <c r="G99" s="92" t="s">
        <v>1200</v>
      </c>
      <c r="H99" s="92" t="s">
        <v>1409</v>
      </c>
      <c r="I99" s="92" t="s">
        <v>1264</v>
      </c>
      <c r="J99" s="92" t="s">
        <v>1410</v>
      </c>
      <c r="K99" s="92" t="s">
        <v>1243</v>
      </c>
      <c r="L99" s="92" t="s">
        <v>1244</v>
      </c>
      <c r="M99" s="92" t="s">
        <v>1250</v>
      </c>
      <c r="N99" s="91">
        <v>41319</v>
      </c>
      <c r="O99" s="93">
        <v>2.41</v>
      </c>
      <c r="P99" s="93">
        <v>3.71</v>
      </c>
      <c r="Q99" s="94">
        <v>42</v>
      </c>
      <c r="R99" s="93">
        <f t="shared" si="4"/>
        <v>155.82</v>
      </c>
      <c r="S99" s="95">
        <v>7.0000000000000007E-2</v>
      </c>
      <c r="T99" s="96">
        <f t="shared" si="5"/>
        <v>10.907400000000001</v>
      </c>
      <c r="U99" s="96">
        <f t="shared" si="6"/>
        <v>155.75</v>
      </c>
      <c r="V99" s="93">
        <v>1.93</v>
      </c>
      <c r="W99" s="97">
        <f t="shared" si="7"/>
        <v>157.68</v>
      </c>
    </row>
    <row r="100" spans="1:23" x14ac:dyDescent="0.25">
      <c r="A100" s="61" t="s">
        <v>193</v>
      </c>
      <c r="B100" s="91">
        <v>41318</v>
      </c>
      <c r="C100" s="92" t="s">
        <v>1411</v>
      </c>
      <c r="D100" s="92" t="s">
        <v>1412</v>
      </c>
      <c r="E100" s="92" t="s">
        <v>1199</v>
      </c>
      <c r="F100" s="92" t="s">
        <v>1254</v>
      </c>
      <c r="G100" s="92" t="s">
        <v>1203</v>
      </c>
      <c r="H100" s="92" t="s">
        <v>1274</v>
      </c>
      <c r="I100" s="92" t="s">
        <v>1317</v>
      </c>
      <c r="J100" s="92" t="s">
        <v>1413</v>
      </c>
      <c r="K100" s="92" t="s">
        <v>1239</v>
      </c>
      <c r="L100" s="92" t="s">
        <v>1319</v>
      </c>
      <c r="M100" s="92" t="s">
        <v>1320</v>
      </c>
      <c r="N100" s="91">
        <v>41320</v>
      </c>
      <c r="O100" s="93">
        <v>75</v>
      </c>
      <c r="P100" s="93">
        <v>120.97</v>
      </c>
      <c r="Q100" s="94">
        <v>6</v>
      </c>
      <c r="R100" s="93">
        <f t="shared" si="4"/>
        <v>725.81999999999994</v>
      </c>
      <c r="S100" s="95">
        <v>0.08</v>
      </c>
      <c r="T100" s="96">
        <f t="shared" si="5"/>
        <v>58.065599999999996</v>
      </c>
      <c r="U100" s="96">
        <f t="shared" si="6"/>
        <v>725.7399999999999</v>
      </c>
      <c r="V100" s="93">
        <v>26.3</v>
      </c>
      <c r="W100" s="97">
        <f t="shared" si="7"/>
        <v>752.03999999999985</v>
      </c>
    </row>
    <row r="101" spans="1:23" x14ac:dyDescent="0.25">
      <c r="A101" s="61" t="s">
        <v>194</v>
      </c>
      <c r="B101" s="91">
        <v>41319</v>
      </c>
      <c r="C101" s="92" t="s">
        <v>1414</v>
      </c>
      <c r="D101" s="92" t="s">
        <v>1415</v>
      </c>
      <c r="E101" s="92" t="s">
        <v>1198</v>
      </c>
      <c r="F101" s="92" t="s">
        <v>1235</v>
      </c>
      <c r="G101" s="92" t="s">
        <v>1202</v>
      </c>
      <c r="H101" s="92" t="s">
        <v>1404</v>
      </c>
      <c r="I101" s="92" t="s">
        <v>1264</v>
      </c>
      <c r="J101" s="92" t="s">
        <v>1416</v>
      </c>
      <c r="K101" s="92" t="s">
        <v>1243</v>
      </c>
      <c r="L101" s="92" t="s">
        <v>1244</v>
      </c>
      <c r="M101" s="92" t="s">
        <v>1241</v>
      </c>
      <c r="N101" s="91">
        <v>41320</v>
      </c>
      <c r="O101" s="93">
        <v>0.9</v>
      </c>
      <c r="P101" s="93">
        <v>2.1</v>
      </c>
      <c r="Q101" s="94">
        <v>17</v>
      </c>
      <c r="R101" s="93">
        <f t="shared" si="4"/>
        <v>35.700000000000003</v>
      </c>
      <c r="S101" s="95">
        <v>0.03</v>
      </c>
      <c r="T101" s="96">
        <f t="shared" si="5"/>
        <v>1.071</v>
      </c>
      <c r="U101" s="96">
        <f t="shared" si="6"/>
        <v>35.67</v>
      </c>
      <c r="V101" s="93">
        <v>0.7</v>
      </c>
      <c r="W101" s="97">
        <f t="shared" si="7"/>
        <v>36.370000000000005</v>
      </c>
    </row>
    <row r="102" spans="1:23" x14ac:dyDescent="0.25">
      <c r="A102" s="61" t="s">
        <v>195</v>
      </c>
      <c r="B102" s="91">
        <v>41320</v>
      </c>
      <c r="C102" s="92" t="s">
        <v>1397</v>
      </c>
      <c r="D102" s="92" t="s">
        <v>1398</v>
      </c>
      <c r="E102" s="92" t="s">
        <v>1198</v>
      </c>
      <c r="F102" s="92" t="s">
        <v>1235</v>
      </c>
      <c r="G102" s="92" t="s">
        <v>1203</v>
      </c>
      <c r="H102" s="92" t="s">
        <v>1269</v>
      </c>
      <c r="I102" s="92" t="s">
        <v>1237</v>
      </c>
      <c r="J102" s="92" t="s">
        <v>1417</v>
      </c>
      <c r="K102" s="92" t="s">
        <v>1243</v>
      </c>
      <c r="L102" s="92" t="s">
        <v>1260</v>
      </c>
      <c r="M102" s="92" t="s">
        <v>1241</v>
      </c>
      <c r="N102" s="91">
        <v>41321</v>
      </c>
      <c r="O102" s="93">
        <v>1.19</v>
      </c>
      <c r="P102" s="93">
        <v>1.98</v>
      </c>
      <c r="Q102" s="94">
        <v>3</v>
      </c>
      <c r="R102" s="93">
        <f t="shared" si="4"/>
        <v>5.9399999999999995</v>
      </c>
      <c r="S102" s="95">
        <v>0.05</v>
      </c>
      <c r="T102" s="96">
        <f t="shared" si="5"/>
        <v>0.29699999999999999</v>
      </c>
      <c r="U102" s="96">
        <f t="shared" si="6"/>
        <v>5.89</v>
      </c>
      <c r="V102" s="93">
        <v>4.7699999999999996</v>
      </c>
      <c r="W102" s="97">
        <f t="shared" si="7"/>
        <v>10.66</v>
      </c>
    </row>
    <row r="103" spans="1:23" x14ac:dyDescent="0.25">
      <c r="A103" s="61" t="s">
        <v>196</v>
      </c>
      <c r="B103" s="91">
        <v>41322</v>
      </c>
      <c r="C103" s="92" t="s">
        <v>1418</v>
      </c>
      <c r="D103" s="92" t="s">
        <v>1412</v>
      </c>
      <c r="E103" s="92" t="s">
        <v>1199</v>
      </c>
      <c r="F103" s="92" t="s">
        <v>1254</v>
      </c>
      <c r="G103" s="92" t="s">
        <v>1203</v>
      </c>
      <c r="H103" s="92" t="s">
        <v>1274</v>
      </c>
      <c r="I103" s="92" t="s">
        <v>1248</v>
      </c>
      <c r="J103" s="92" t="s">
        <v>1352</v>
      </c>
      <c r="K103" s="92" t="s">
        <v>1243</v>
      </c>
      <c r="L103" s="92" t="s">
        <v>1244</v>
      </c>
      <c r="M103" s="92" t="s">
        <v>1241</v>
      </c>
      <c r="N103" s="91">
        <v>41327</v>
      </c>
      <c r="O103" s="93">
        <v>1.0900000000000001</v>
      </c>
      <c r="P103" s="93">
        <v>2.6</v>
      </c>
      <c r="Q103" s="94">
        <v>47</v>
      </c>
      <c r="R103" s="93">
        <f t="shared" si="4"/>
        <v>122.2</v>
      </c>
      <c r="S103" s="95">
        <v>0.1</v>
      </c>
      <c r="T103" s="96">
        <f t="shared" si="5"/>
        <v>12.22</v>
      </c>
      <c r="U103" s="96">
        <f t="shared" si="6"/>
        <v>122.10000000000001</v>
      </c>
      <c r="V103" s="93">
        <v>2.4</v>
      </c>
      <c r="W103" s="97">
        <f t="shared" si="7"/>
        <v>124.50000000000001</v>
      </c>
    </row>
    <row r="104" spans="1:23" x14ac:dyDescent="0.25">
      <c r="A104" s="61" t="s">
        <v>197</v>
      </c>
      <c r="B104" s="91">
        <v>41323</v>
      </c>
      <c r="C104" s="92" t="s">
        <v>1419</v>
      </c>
      <c r="D104" s="92" t="s">
        <v>1420</v>
      </c>
      <c r="E104" s="92" t="s">
        <v>1198</v>
      </c>
      <c r="F104" s="92" t="s">
        <v>1235</v>
      </c>
      <c r="G104" s="92" t="s">
        <v>1200</v>
      </c>
      <c r="H104" s="92" t="s">
        <v>1247</v>
      </c>
      <c r="I104" s="92" t="s">
        <v>1264</v>
      </c>
      <c r="J104" s="92" t="s">
        <v>1421</v>
      </c>
      <c r="K104" s="92" t="s">
        <v>1243</v>
      </c>
      <c r="L104" s="92" t="s">
        <v>1260</v>
      </c>
      <c r="M104" s="92" t="s">
        <v>1241</v>
      </c>
      <c r="N104" s="91">
        <v>41325</v>
      </c>
      <c r="O104" s="93">
        <v>99.39</v>
      </c>
      <c r="P104" s="93">
        <v>162.93</v>
      </c>
      <c r="Q104" s="94">
        <v>32</v>
      </c>
      <c r="R104" s="93">
        <f t="shared" si="4"/>
        <v>5213.76</v>
      </c>
      <c r="S104" s="95">
        <v>0.09</v>
      </c>
      <c r="T104" s="96">
        <f t="shared" si="5"/>
        <v>469.23840000000001</v>
      </c>
      <c r="U104" s="96">
        <f t="shared" si="6"/>
        <v>5213.67</v>
      </c>
      <c r="V104" s="93">
        <v>19.989999999999998</v>
      </c>
      <c r="W104" s="97">
        <f t="shared" si="7"/>
        <v>5233.66</v>
      </c>
    </row>
    <row r="105" spans="1:23" x14ac:dyDescent="0.25">
      <c r="A105" s="61" t="s">
        <v>198</v>
      </c>
      <c r="B105" s="91">
        <v>41325</v>
      </c>
      <c r="C105" s="92" t="s">
        <v>1422</v>
      </c>
      <c r="D105" s="92" t="s">
        <v>1246</v>
      </c>
      <c r="E105" s="92" t="s">
        <v>1198</v>
      </c>
      <c r="F105" s="92" t="s">
        <v>1235</v>
      </c>
      <c r="G105" s="92" t="s">
        <v>1202</v>
      </c>
      <c r="H105" s="92" t="s">
        <v>1247</v>
      </c>
      <c r="I105" s="92" t="s">
        <v>1264</v>
      </c>
      <c r="J105" s="92" t="s">
        <v>1423</v>
      </c>
      <c r="K105" s="92" t="s">
        <v>1243</v>
      </c>
      <c r="L105" s="92" t="s">
        <v>1244</v>
      </c>
      <c r="M105" s="92" t="s">
        <v>1241</v>
      </c>
      <c r="N105" s="91">
        <v>41327</v>
      </c>
      <c r="O105" s="93">
        <v>1.0900000000000001</v>
      </c>
      <c r="P105" s="93">
        <v>1.68</v>
      </c>
      <c r="Q105" s="94">
        <v>33</v>
      </c>
      <c r="R105" s="93">
        <f t="shared" si="4"/>
        <v>55.44</v>
      </c>
      <c r="S105" s="95">
        <v>0.04</v>
      </c>
      <c r="T105" s="96">
        <f t="shared" si="5"/>
        <v>2.2176</v>
      </c>
      <c r="U105" s="96">
        <f t="shared" si="6"/>
        <v>55.4</v>
      </c>
      <c r="V105" s="93">
        <v>1</v>
      </c>
      <c r="W105" s="97">
        <f t="shared" si="7"/>
        <v>56.4</v>
      </c>
    </row>
    <row r="106" spans="1:23" x14ac:dyDescent="0.25">
      <c r="A106" s="61" t="s">
        <v>199</v>
      </c>
      <c r="B106" s="91">
        <v>41327</v>
      </c>
      <c r="C106" s="92" t="s">
        <v>1424</v>
      </c>
      <c r="D106" s="92" t="s">
        <v>1425</v>
      </c>
      <c r="E106" s="92" t="s">
        <v>1198</v>
      </c>
      <c r="F106" s="92" t="s">
        <v>1235</v>
      </c>
      <c r="G106" s="92" t="s">
        <v>1201</v>
      </c>
      <c r="H106" s="92" t="s">
        <v>1409</v>
      </c>
      <c r="I106" s="92" t="s">
        <v>1256</v>
      </c>
      <c r="J106" s="92" t="s">
        <v>1426</v>
      </c>
      <c r="K106" s="92" t="s">
        <v>1243</v>
      </c>
      <c r="L106" s="92" t="s">
        <v>1260</v>
      </c>
      <c r="M106" s="92" t="s">
        <v>1241</v>
      </c>
      <c r="N106" s="91">
        <v>41328</v>
      </c>
      <c r="O106" s="93">
        <v>54.29</v>
      </c>
      <c r="P106" s="93">
        <v>90.48</v>
      </c>
      <c r="Q106" s="94">
        <v>8</v>
      </c>
      <c r="R106" s="93">
        <f t="shared" si="4"/>
        <v>723.84</v>
      </c>
      <c r="S106" s="95">
        <v>7.0000000000000007E-2</v>
      </c>
      <c r="T106" s="96">
        <f t="shared" si="5"/>
        <v>50.668800000000005</v>
      </c>
      <c r="U106" s="96">
        <f t="shared" si="6"/>
        <v>723.77</v>
      </c>
      <c r="V106" s="93">
        <v>19.989999999999998</v>
      </c>
      <c r="W106" s="97">
        <f t="shared" si="7"/>
        <v>743.76</v>
      </c>
    </row>
    <row r="107" spans="1:23" x14ac:dyDescent="0.25">
      <c r="A107" s="61" t="s">
        <v>200</v>
      </c>
      <c r="B107" s="91">
        <v>41328</v>
      </c>
      <c r="C107" s="92" t="s">
        <v>1427</v>
      </c>
      <c r="D107" s="92" t="s">
        <v>1428</v>
      </c>
      <c r="E107" s="92" t="s">
        <v>1198</v>
      </c>
      <c r="F107" s="92" t="s">
        <v>1235</v>
      </c>
      <c r="G107" s="92" t="s">
        <v>1200</v>
      </c>
      <c r="H107" s="92" t="s">
        <v>1313</v>
      </c>
      <c r="I107" s="92" t="s">
        <v>1256</v>
      </c>
      <c r="J107" s="92" t="s">
        <v>1282</v>
      </c>
      <c r="K107" s="92" t="s">
        <v>1243</v>
      </c>
      <c r="L107" s="92" t="s">
        <v>1260</v>
      </c>
      <c r="M107" s="92" t="s">
        <v>1241</v>
      </c>
      <c r="N107" s="91">
        <v>41328</v>
      </c>
      <c r="O107" s="93">
        <v>5.33</v>
      </c>
      <c r="P107" s="93">
        <v>8.6</v>
      </c>
      <c r="Q107" s="94">
        <v>48</v>
      </c>
      <c r="R107" s="93">
        <f t="shared" si="4"/>
        <v>412.79999999999995</v>
      </c>
      <c r="S107" s="95">
        <v>0</v>
      </c>
      <c r="T107" s="96">
        <f t="shared" si="5"/>
        <v>0</v>
      </c>
      <c r="U107" s="96">
        <f t="shared" si="6"/>
        <v>412.79999999999995</v>
      </c>
      <c r="V107" s="93">
        <v>6.19</v>
      </c>
      <c r="W107" s="97">
        <f t="shared" si="7"/>
        <v>418.98999999999995</v>
      </c>
    </row>
    <row r="108" spans="1:23" x14ac:dyDescent="0.25">
      <c r="A108" s="61" t="s">
        <v>201</v>
      </c>
      <c r="B108" s="91">
        <v>41329</v>
      </c>
      <c r="C108" s="92" t="s">
        <v>1277</v>
      </c>
      <c r="D108" s="92" t="s">
        <v>1278</v>
      </c>
      <c r="E108" s="92" t="s">
        <v>1198</v>
      </c>
      <c r="F108" s="92" t="s">
        <v>1235</v>
      </c>
      <c r="G108" s="92" t="s">
        <v>1200</v>
      </c>
      <c r="H108" s="92" t="s">
        <v>1236</v>
      </c>
      <c r="I108" s="92" t="s">
        <v>1237</v>
      </c>
      <c r="J108" s="92" t="s">
        <v>1301</v>
      </c>
      <c r="K108" s="92" t="s">
        <v>1243</v>
      </c>
      <c r="L108" s="92" t="s">
        <v>1244</v>
      </c>
      <c r="M108" s="92" t="s">
        <v>1241</v>
      </c>
      <c r="N108" s="91">
        <v>41330</v>
      </c>
      <c r="O108" s="93">
        <v>0.87</v>
      </c>
      <c r="P108" s="93">
        <v>1.81</v>
      </c>
      <c r="Q108" s="94">
        <v>41</v>
      </c>
      <c r="R108" s="93">
        <f t="shared" si="4"/>
        <v>74.210000000000008</v>
      </c>
      <c r="S108" s="95">
        <v>0.03</v>
      </c>
      <c r="T108" s="96">
        <f t="shared" si="5"/>
        <v>2.2263000000000002</v>
      </c>
      <c r="U108" s="96">
        <f t="shared" si="6"/>
        <v>74.180000000000007</v>
      </c>
      <c r="V108" s="93">
        <v>0.75</v>
      </c>
      <c r="W108" s="97">
        <f t="shared" si="7"/>
        <v>74.930000000000007</v>
      </c>
    </row>
    <row r="109" spans="1:23" x14ac:dyDescent="0.25">
      <c r="A109" s="61" t="s">
        <v>202</v>
      </c>
      <c r="B109" s="91">
        <v>41330</v>
      </c>
      <c r="C109" s="92" t="s">
        <v>1429</v>
      </c>
      <c r="D109" s="92" t="s">
        <v>1430</v>
      </c>
      <c r="E109" s="92" t="s">
        <v>1199</v>
      </c>
      <c r="F109" s="92" t="s">
        <v>1254</v>
      </c>
      <c r="G109" s="92" t="s">
        <v>1200</v>
      </c>
      <c r="H109" s="92" t="s">
        <v>1255</v>
      </c>
      <c r="I109" s="92" t="s">
        <v>1237</v>
      </c>
      <c r="J109" s="92" t="s">
        <v>1431</v>
      </c>
      <c r="K109" s="92" t="s">
        <v>1243</v>
      </c>
      <c r="L109" s="92" t="s">
        <v>1260</v>
      </c>
      <c r="M109" s="92" t="s">
        <v>1241</v>
      </c>
      <c r="N109" s="91">
        <v>41332</v>
      </c>
      <c r="O109" s="93">
        <v>4.8899999999999997</v>
      </c>
      <c r="P109" s="93">
        <v>7.64</v>
      </c>
      <c r="Q109" s="94">
        <v>18</v>
      </c>
      <c r="R109" s="93">
        <f t="shared" si="4"/>
        <v>137.51999999999998</v>
      </c>
      <c r="S109" s="95">
        <v>0.1</v>
      </c>
      <c r="T109" s="96">
        <f t="shared" si="5"/>
        <v>13.751999999999999</v>
      </c>
      <c r="U109" s="96">
        <f t="shared" si="6"/>
        <v>137.41999999999999</v>
      </c>
      <c r="V109" s="93">
        <v>1.39</v>
      </c>
      <c r="W109" s="97">
        <f t="shared" si="7"/>
        <v>138.80999999999997</v>
      </c>
    </row>
    <row r="110" spans="1:23" x14ac:dyDescent="0.25">
      <c r="A110" s="61" t="s">
        <v>203</v>
      </c>
      <c r="B110" s="91">
        <v>41330</v>
      </c>
      <c r="C110" s="92" t="s">
        <v>1432</v>
      </c>
      <c r="D110" s="92" t="s">
        <v>1433</v>
      </c>
      <c r="E110" s="92" t="s">
        <v>1198</v>
      </c>
      <c r="F110" s="92" t="s">
        <v>1235</v>
      </c>
      <c r="G110" s="92" t="s">
        <v>1200</v>
      </c>
      <c r="H110" s="92" t="s">
        <v>1304</v>
      </c>
      <c r="I110" s="92" t="s">
        <v>1237</v>
      </c>
      <c r="J110" s="92" t="s">
        <v>1426</v>
      </c>
      <c r="K110" s="92" t="s">
        <v>1243</v>
      </c>
      <c r="L110" s="92" t="s">
        <v>1260</v>
      </c>
      <c r="M110" s="92" t="s">
        <v>1241</v>
      </c>
      <c r="N110" s="91">
        <v>41332</v>
      </c>
      <c r="O110" s="93">
        <v>54.29</v>
      </c>
      <c r="P110" s="93">
        <v>90.48</v>
      </c>
      <c r="Q110" s="94">
        <v>3</v>
      </c>
      <c r="R110" s="93">
        <f t="shared" si="4"/>
        <v>271.44</v>
      </c>
      <c r="S110" s="95">
        <v>0.03</v>
      </c>
      <c r="T110" s="96">
        <f t="shared" si="5"/>
        <v>8.1432000000000002</v>
      </c>
      <c r="U110" s="96">
        <f t="shared" si="6"/>
        <v>271.41000000000003</v>
      </c>
      <c r="V110" s="93">
        <v>19.989999999999998</v>
      </c>
      <c r="W110" s="97">
        <f t="shared" si="7"/>
        <v>291.40000000000003</v>
      </c>
    </row>
    <row r="111" spans="1:23" x14ac:dyDescent="0.25">
      <c r="A111" s="61" t="s">
        <v>204</v>
      </c>
      <c r="B111" s="91">
        <v>41331</v>
      </c>
      <c r="C111" s="92" t="s">
        <v>1434</v>
      </c>
      <c r="D111" s="92" t="s">
        <v>1435</v>
      </c>
      <c r="E111" s="92" t="s">
        <v>1198</v>
      </c>
      <c r="F111" s="92" t="s">
        <v>1235</v>
      </c>
      <c r="G111" s="92" t="s">
        <v>1200</v>
      </c>
      <c r="H111" s="92" t="s">
        <v>1247</v>
      </c>
      <c r="I111" s="92" t="s">
        <v>1317</v>
      </c>
      <c r="J111" s="92" t="s">
        <v>1436</v>
      </c>
      <c r="K111" s="92" t="s">
        <v>1243</v>
      </c>
      <c r="L111" s="92" t="s">
        <v>1260</v>
      </c>
      <c r="M111" s="92" t="s">
        <v>1241</v>
      </c>
      <c r="N111" s="91">
        <v>41331</v>
      </c>
      <c r="O111" s="93">
        <v>36.020000000000003</v>
      </c>
      <c r="P111" s="93">
        <v>58.1</v>
      </c>
      <c r="Q111" s="94">
        <v>50</v>
      </c>
      <c r="R111" s="93">
        <f t="shared" si="4"/>
        <v>2905</v>
      </c>
      <c r="S111" s="95">
        <v>0.05</v>
      </c>
      <c r="T111" s="96">
        <f t="shared" si="5"/>
        <v>145.25</v>
      </c>
      <c r="U111" s="96">
        <f t="shared" si="6"/>
        <v>2904.95</v>
      </c>
      <c r="V111" s="93">
        <v>1.49</v>
      </c>
      <c r="W111" s="97">
        <f t="shared" si="7"/>
        <v>2906.4399999999996</v>
      </c>
    </row>
    <row r="112" spans="1:23" x14ac:dyDescent="0.25">
      <c r="A112" s="61" t="s">
        <v>205</v>
      </c>
      <c r="B112" s="91">
        <v>41340</v>
      </c>
      <c r="C112" s="92" t="s">
        <v>1437</v>
      </c>
      <c r="D112" s="92" t="s">
        <v>1273</v>
      </c>
      <c r="E112" s="92" t="s">
        <v>1199</v>
      </c>
      <c r="F112" s="92" t="s">
        <v>1254</v>
      </c>
      <c r="G112" s="92" t="s">
        <v>1200</v>
      </c>
      <c r="H112" s="92" t="s">
        <v>1274</v>
      </c>
      <c r="I112" s="92" t="s">
        <v>1264</v>
      </c>
      <c r="J112" s="92" t="s">
        <v>1393</v>
      </c>
      <c r="K112" s="92" t="s">
        <v>1243</v>
      </c>
      <c r="L112" s="92" t="s">
        <v>1244</v>
      </c>
      <c r="M112" s="92" t="s">
        <v>1241</v>
      </c>
      <c r="N112" s="91">
        <v>41343</v>
      </c>
      <c r="O112" s="93">
        <v>0.71</v>
      </c>
      <c r="P112" s="93">
        <v>1.1399999999999999</v>
      </c>
      <c r="Q112" s="94">
        <v>50</v>
      </c>
      <c r="R112" s="93">
        <f t="shared" si="4"/>
        <v>56.999999999999993</v>
      </c>
      <c r="S112" s="95">
        <v>0.06</v>
      </c>
      <c r="T112" s="96">
        <f t="shared" si="5"/>
        <v>3.4199999999999995</v>
      </c>
      <c r="U112" s="96">
        <f t="shared" si="6"/>
        <v>56.939999999999991</v>
      </c>
      <c r="V112" s="93">
        <v>0.7</v>
      </c>
      <c r="W112" s="97">
        <f t="shared" si="7"/>
        <v>57.639999999999993</v>
      </c>
    </row>
    <row r="113" spans="1:23" x14ac:dyDescent="0.25">
      <c r="A113" s="61" t="s">
        <v>206</v>
      </c>
      <c r="B113" s="91">
        <v>41344</v>
      </c>
      <c r="C113" s="92" t="s">
        <v>1438</v>
      </c>
      <c r="D113" s="92" t="s">
        <v>1439</v>
      </c>
      <c r="E113" s="92" t="s">
        <v>1198</v>
      </c>
      <c r="F113" s="92" t="s">
        <v>1235</v>
      </c>
      <c r="G113" s="92" t="s">
        <v>1203</v>
      </c>
      <c r="H113" s="92" t="s">
        <v>1440</v>
      </c>
      <c r="I113" s="92" t="s">
        <v>1264</v>
      </c>
      <c r="J113" s="92" t="s">
        <v>1441</v>
      </c>
      <c r="K113" s="92" t="s">
        <v>1243</v>
      </c>
      <c r="L113" s="92" t="s">
        <v>1240</v>
      </c>
      <c r="M113" s="92" t="s">
        <v>1241</v>
      </c>
      <c r="N113" s="91">
        <v>41346</v>
      </c>
      <c r="O113" s="93">
        <v>3.42</v>
      </c>
      <c r="P113" s="93">
        <v>8.34</v>
      </c>
      <c r="Q113" s="94">
        <v>16</v>
      </c>
      <c r="R113" s="93">
        <f t="shared" si="4"/>
        <v>133.44</v>
      </c>
      <c r="S113" s="95">
        <v>0.03</v>
      </c>
      <c r="T113" s="96">
        <f t="shared" si="5"/>
        <v>4.0031999999999996</v>
      </c>
      <c r="U113" s="96">
        <f t="shared" si="6"/>
        <v>133.41</v>
      </c>
      <c r="V113" s="93">
        <v>2.64</v>
      </c>
      <c r="W113" s="97">
        <f t="shared" si="7"/>
        <v>136.04999999999998</v>
      </c>
    </row>
    <row r="114" spans="1:23" x14ac:dyDescent="0.25">
      <c r="A114" s="61" t="s">
        <v>207</v>
      </c>
      <c r="B114" s="91">
        <v>41346</v>
      </c>
      <c r="C114" s="92" t="s">
        <v>1442</v>
      </c>
      <c r="D114" s="92" t="s">
        <v>1430</v>
      </c>
      <c r="E114" s="92" t="s">
        <v>1199</v>
      </c>
      <c r="F114" s="92" t="s">
        <v>1254</v>
      </c>
      <c r="G114" s="92" t="s">
        <v>1200</v>
      </c>
      <c r="H114" s="92" t="s">
        <v>1255</v>
      </c>
      <c r="I114" s="92" t="s">
        <v>1248</v>
      </c>
      <c r="J114" s="92" t="s">
        <v>1393</v>
      </c>
      <c r="K114" s="92" t="s">
        <v>1243</v>
      </c>
      <c r="L114" s="92" t="s">
        <v>1244</v>
      </c>
      <c r="M114" s="92" t="s">
        <v>1241</v>
      </c>
      <c r="N114" s="91">
        <v>41346</v>
      </c>
      <c r="O114" s="93">
        <v>0.71</v>
      </c>
      <c r="P114" s="93">
        <v>1.1399999999999999</v>
      </c>
      <c r="Q114" s="94">
        <v>38</v>
      </c>
      <c r="R114" s="93">
        <f t="shared" si="4"/>
        <v>43.319999999999993</v>
      </c>
      <c r="S114" s="95">
        <v>0.02</v>
      </c>
      <c r="T114" s="96">
        <f t="shared" si="5"/>
        <v>0.86639999999999984</v>
      </c>
      <c r="U114" s="96">
        <f t="shared" si="6"/>
        <v>43.29999999999999</v>
      </c>
      <c r="V114" s="93">
        <v>0.7</v>
      </c>
      <c r="W114" s="97">
        <f t="shared" si="7"/>
        <v>43.999999999999993</v>
      </c>
    </row>
    <row r="115" spans="1:23" x14ac:dyDescent="0.25">
      <c r="A115" s="61" t="s">
        <v>208</v>
      </c>
      <c r="B115" s="91">
        <v>41348</v>
      </c>
      <c r="C115" s="92" t="s">
        <v>1443</v>
      </c>
      <c r="D115" s="92" t="s">
        <v>1444</v>
      </c>
      <c r="E115" s="92" t="s">
        <v>1198</v>
      </c>
      <c r="F115" s="92" t="s">
        <v>1235</v>
      </c>
      <c r="G115" s="92" t="s">
        <v>1200</v>
      </c>
      <c r="H115" s="92" t="s">
        <v>1313</v>
      </c>
      <c r="I115" s="92" t="s">
        <v>1237</v>
      </c>
      <c r="J115" s="92" t="s">
        <v>1405</v>
      </c>
      <c r="K115" s="92" t="s">
        <v>1243</v>
      </c>
      <c r="L115" s="92" t="s">
        <v>1260</v>
      </c>
      <c r="M115" s="92" t="s">
        <v>1241</v>
      </c>
      <c r="N115" s="91">
        <v>41349</v>
      </c>
      <c r="O115" s="93">
        <v>4.59</v>
      </c>
      <c r="P115" s="93">
        <v>7.28</v>
      </c>
      <c r="Q115" s="94">
        <v>22</v>
      </c>
      <c r="R115" s="93">
        <f t="shared" si="4"/>
        <v>160.16</v>
      </c>
      <c r="S115" s="95">
        <v>0.01</v>
      </c>
      <c r="T115" s="96">
        <f t="shared" si="5"/>
        <v>1.6015999999999999</v>
      </c>
      <c r="U115" s="96">
        <f t="shared" si="6"/>
        <v>160.15</v>
      </c>
      <c r="V115" s="93">
        <v>11.15</v>
      </c>
      <c r="W115" s="97">
        <f t="shared" si="7"/>
        <v>171.3</v>
      </c>
    </row>
    <row r="116" spans="1:23" x14ac:dyDescent="0.25">
      <c r="A116" s="61" t="s">
        <v>209</v>
      </c>
      <c r="B116" s="91">
        <v>41349</v>
      </c>
      <c r="C116" s="92" t="s">
        <v>1445</v>
      </c>
      <c r="D116" s="92" t="s">
        <v>1347</v>
      </c>
      <c r="E116" s="92" t="s">
        <v>1198</v>
      </c>
      <c r="F116" s="92" t="s">
        <v>1235</v>
      </c>
      <c r="G116" s="92" t="s">
        <v>1201</v>
      </c>
      <c r="H116" s="92" t="s">
        <v>1236</v>
      </c>
      <c r="I116" s="92" t="s">
        <v>1248</v>
      </c>
      <c r="J116" s="92" t="s">
        <v>1368</v>
      </c>
      <c r="K116" s="92" t="s">
        <v>1243</v>
      </c>
      <c r="L116" s="92" t="s">
        <v>1244</v>
      </c>
      <c r="M116" s="92" t="s">
        <v>1241</v>
      </c>
      <c r="N116" s="91">
        <v>41353</v>
      </c>
      <c r="O116" s="93">
        <v>1.3</v>
      </c>
      <c r="P116" s="93">
        <v>2.88</v>
      </c>
      <c r="Q116" s="94">
        <v>48</v>
      </c>
      <c r="R116" s="93">
        <f t="shared" si="4"/>
        <v>138.24</v>
      </c>
      <c r="S116" s="95">
        <v>7.0000000000000007E-2</v>
      </c>
      <c r="T116" s="96">
        <f t="shared" si="5"/>
        <v>9.6768000000000018</v>
      </c>
      <c r="U116" s="96">
        <f t="shared" si="6"/>
        <v>138.17000000000002</v>
      </c>
      <c r="V116" s="93">
        <v>1.01</v>
      </c>
      <c r="W116" s="97">
        <f t="shared" si="7"/>
        <v>139.18</v>
      </c>
    </row>
    <row r="117" spans="1:23" x14ac:dyDescent="0.25">
      <c r="A117" s="61" t="s">
        <v>210</v>
      </c>
      <c r="B117" s="91">
        <v>41354</v>
      </c>
      <c r="C117" s="92" t="s">
        <v>1446</v>
      </c>
      <c r="D117" s="92" t="s">
        <v>1395</v>
      </c>
      <c r="E117" s="92" t="s">
        <v>1198</v>
      </c>
      <c r="F117" s="92" t="s">
        <v>1235</v>
      </c>
      <c r="G117" s="92" t="s">
        <v>1201</v>
      </c>
      <c r="H117" s="92" t="s">
        <v>1236</v>
      </c>
      <c r="I117" s="92" t="s">
        <v>1248</v>
      </c>
      <c r="J117" s="92" t="s">
        <v>1386</v>
      </c>
      <c r="K117" s="92" t="s">
        <v>1382</v>
      </c>
      <c r="L117" s="92" t="s">
        <v>1240</v>
      </c>
      <c r="M117" s="92" t="s">
        <v>1241</v>
      </c>
      <c r="N117" s="91">
        <v>41361</v>
      </c>
      <c r="O117" s="93">
        <v>5.5</v>
      </c>
      <c r="P117" s="93">
        <v>12.22</v>
      </c>
      <c r="Q117" s="94">
        <v>5</v>
      </c>
      <c r="R117" s="93">
        <f t="shared" si="4"/>
        <v>61.1</v>
      </c>
      <c r="S117" s="95">
        <v>0.04</v>
      </c>
      <c r="T117" s="96">
        <f t="shared" si="5"/>
        <v>2.444</v>
      </c>
      <c r="U117" s="96">
        <f t="shared" si="6"/>
        <v>61.06</v>
      </c>
      <c r="V117" s="93">
        <v>2.85</v>
      </c>
      <c r="W117" s="97">
        <f t="shared" si="7"/>
        <v>63.910000000000004</v>
      </c>
    </row>
    <row r="118" spans="1:23" x14ac:dyDescent="0.25">
      <c r="A118" s="61" t="s">
        <v>211</v>
      </c>
      <c r="B118" s="91">
        <v>41356</v>
      </c>
      <c r="C118" s="92" t="s">
        <v>1447</v>
      </c>
      <c r="D118" s="92" t="s">
        <v>1448</v>
      </c>
      <c r="E118" s="92" t="s">
        <v>1198</v>
      </c>
      <c r="F118" s="92" t="s">
        <v>1235</v>
      </c>
      <c r="G118" s="92" t="s">
        <v>1201</v>
      </c>
      <c r="H118" s="92" t="s">
        <v>1404</v>
      </c>
      <c r="I118" s="92" t="s">
        <v>1317</v>
      </c>
      <c r="J118" s="92" t="s">
        <v>1449</v>
      </c>
      <c r="K118" s="92" t="s">
        <v>1243</v>
      </c>
      <c r="L118" s="92" t="s">
        <v>1244</v>
      </c>
      <c r="M118" s="92" t="s">
        <v>1241</v>
      </c>
      <c r="N118" s="91">
        <v>41359</v>
      </c>
      <c r="O118" s="93">
        <v>1.82</v>
      </c>
      <c r="P118" s="93">
        <v>2.98</v>
      </c>
      <c r="Q118" s="94">
        <v>22</v>
      </c>
      <c r="R118" s="93">
        <f t="shared" si="4"/>
        <v>65.56</v>
      </c>
      <c r="S118" s="95">
        <v>0.04</v>
      </c>
      <c r="T118" s="96">
        <f t="shared" si="5"/>
        <v>2.6224000000000003</v>
      </c>
      <c r="U118" s="96">
        <f t="shared" si="6"/>
        <v>65.52</v>
      </c>
      <c r="V118" s="93">
        <v>1.58</v>
      </c>
      <c r="W118" s="97">
        <f t="shared" si="7"/>
        <v>67.099999999999994</v>
      </c>
    </row>
    <row r="119" spans="1:23" x14ac:dyDescent="0.25">
      <c r="A119" s="61" t="s">
        <v>212</v>
      </c>
      <c r="B119" s="91">
        <v>41359</v>
      </c>
      <c r="C119" s="92" t="s">
        <v>1450</v>
      </c>
      <c r="D119" s="92" t="s">
        <v>1451</v>
      </c>
      <c r="E119" s="92" t="s">
        <v>1198</v>
      </c>
      <c r="F119" s="92" t="s">
        <v>1235</v>
      </c>
      <c r="G119" s="92" t="s">
        <v>1202</v>
      </c>
      <c r="H119" s="92" t="s">
        <v>1291</v>
      </c>
      <c r="I119" s="92" t="s">
        <v>1256</v>
      </c>
      <c r="J119" s="92" t="s">
        <v>1452</v>
      </c>
      <c r="K119" s="92" t="s">
        <v>1239</v>
      </c>
      <c r="L119" s="92" t="s">
        <v>1260</v>
      </c>
      <c r="M119" s="92" t="s">
        <v>1241</v>
      </c>
      <c r="N119" s="91">
        <v>41361</v>
      </c>
      <c r="O119" s="93">
        <v>81.59</v>
      </c>
      <c r="P119" s="93">
        <v>159.99</v>
      </c>
      <c r="Q119" s="94">
        <v>30</v>
      </c>
      <c r="R119" s="93">
        <f t="shared" si="4"/>
        <v>4799.7000000000007</v>
      </c>
      <c r="S119" s="95">
        <v>0.01</v>
      </c>
      <c r="T119" s="96">
        <f t="shared" si="5"/>
        <v>47.997000000000007</v>
      </c>
      <c r="U119" s="96">
        <f t="shared" si="6"/>
        <v>4799.6900000000005</v>
      </c>
      <c r="V119" s="93">
        <v>5.5</v>
      </c>
      <c r="W119" s="97">
        <f t="shared" si="7"/>
        <v>4805.1900000000005</v>
      </c>
    </row>
    <row r="120" spans="1:23" x14ac:dyDescent="0.25">
      <c r="A120" s="61" t="s">
        <v>213</v>
      </c>
      <c r="B120" s="91">
        <v>41360</v>
      </c>
      <c r="C120" s="92" t="s">
        <v>1453</v>
      </c>
      <c r="D120" s="92" t="s">
        <v>1454</v>
      </c>
      <c r="E120" s="92" t="s">
        <v>1198</v>
      </c>
      <c r="F120" s="92" t="s">
        <v>1235</v>
      </c>
      <c r="G120" s="92" t="s">
        <v>1203</v>
      </c>
      <c r="H120" s="92" t="s">
        <v>1304</v>
      </c>
      <c r="I120" s="92" t="s">
        <v>1248</v>
      </c>
      <c r="J120" s="92" t="s">
        <v>1282</v>
      </c>
      <c r="K120" s="92" t="s">
        <v>1243</v>
      </c>
      <c r="L120" s="92" t="s">
        <v>1260</v>
      </c>
      <c r="M120" s="92" t="s">
        <v>1241</v>
      </c>
      <c r="N120" s="91">
        <v>41367</v>
      </c>
      <c r="O120" s="93">
        <v>5.33</v>
      </c>
      <c r="P120" s="93">
        <v>8.6</v>
      </c>
      <c r="Q120" s="94">
        <v>37</v>
      </c>
      <c r="R120" s="93">
        <f t="shared" si="4"/>
        <v>318.2</v>
      </c>
      <c r="S120" s="95">
        <v>0.04</v>
      </c>
      <c r="T120" s="96">
        <f t="shared" si="5"/>
        <v>12.728</v>
      </c>
      <c r="U120" s="96">
        <f t="shared" si="6"/>
        <v>318.15999999999997</v>
      </c>
      <c r="V120" s="93">
        <v>6.19</v>
      </c>
      <c r="W120" s="97">
        <f t="shared" si="7"/>
        <v>324.34999999999997</v>
      </c>
    </row>
    <row r="121" spans="1:23" x14ac:dyDescent="0.25">
      <c r="A121" s="61" t="s">
        <v>214</v>
      </c>
      <c r="B121" s="91">
        <v>41360</v>
      </c>
      <c r="C121" s="92" t="s">
        <v>1455</v>
      </c>
      <c r="D121" s="92" t="s">
        <v>1347</v>
      </c>
      <c r="E121" s="92" t="s">
        <v>1198</v>
      </c>
      <c r="F121" s="92" t="s">
        <v>1235</v>
      </c>
      <c r="G121" s="92" t="s">
        <v>1201</v>
      </c>
      <c r="H121" s="92" t="s">
        <v>1236</v>
      </c>
      <c r="I121" s="92" t="s">
        <v>1237</v>
      </c>
      <c r="J121" s="92" t="s">
        <v>1456</v>
      </c>
      <c r="K121" s="92" t="s">
        <v>1243</v>
      </c>
      <c r="L121" s="92" t="s">
        <v>1260</v>
      </c>
      <c r="M121" s="92" t="s">
        <v>1241</v>
      </c>
      <c r="N121" s="91">
        <v>41360</v>
      </c>
      <c r="O121" s="93">
        <v>3.52</v>
      </c>
      <c r="P121" s="93">
        <v>5.68</v>
      </c>
      <c r="Q121" s="94">
        <v>24</v>
      </c>
      <c r="R121" s="93">
        <f t="shared" si="4"/>
        <v>136.32</v>
      </c>
      <c r="S121" s="95">
        <v>0.06</v>
      </c>
      <c r="T121" s="96">
        <f t="shared" si="5"/>
        <v>8.1791999999999998</v>
      </c>
      <c r="U121" s="96">
        <f t="shared" si="6"/>
        <v>136.26</v>
      </c>
      <c r="V121" s="93">
        <v>1.39</v>
      </c>
      <c r="W121" s="97">
        <f t="shared" si="7"/>
        <v>137.64999999999998</v>
      </c>
    </row>
    <row r="122" spans="1:23" x14ac:dyDescent="0.25">
      <c r="A122" s="61" t="s">
        <v>215</v>
      </c>
      <c r="B122" s="91">
        <v>41363</v>
      </c>
      <c r="C122" s="92" t="s">
        <v>1457</v>
      </c>
      <c r="D122" s="92" t="s">
        <v>1458</v>
      </c>
      <c r="E122" s="92" t="s">
        <v>1198</v>
      </c>
      <c r="F122" s="92" t="s">
        <v>1235</v>
      </c>
      <c r="G122" s="92" t="s">
        <v>1200</v>
      </c>
      <c r="H122" s="92" t="s">
        <v>1404</v>
      </c>
      <c r="I122" s="92" t="s">
        <v>1256</v>
      </c>
      <c r="J122" s="92" t="s">
        <v>1292</v>
      </c>
      <c r="K122" s="92" t="s">
        <v>1243</v>
      </c>
      <c r="L122" s="92" t="s">
        <v>1240</v>
      </c>
      <c r="M122" s="92" t="s">
        <v>1241</v>
      </c>
      <c r="N122" s="91">
        <v>41364</v>
      </c>
      <c r="O122" s="93">
        <v>0.94</v>
      </c>
      <c r="P122" s="93">
        <v>2.08</v>
      </c>
      <c r="Q122" s="94">
        <v>4</v>
      </c>
      <c r="R122" s="93">
        <f t="shared" si="4"/>
        <v>8.32</v>
      </c>
      <c r="S122" s="95">
        <v>0.02</v>
      </c>
      <c r="T122" s="96">
        <f t="shared" si="5"/>
        <v>0.16640000000000002</v>
      </c>
      <c r="U122" s="96">
        <f t="shared" si="6"/>
        <v>8.3000000000000007</v>
      </c>
      <c r="V122" s="93">
        <v>2.56</v>
      </c>
      <c r="W122" s="97">
        <f t="shared" si="7"/>
        <v>10.860000000000001</v>
      </c>
    </row>
    <row r="123" spans="1:23" x14ac:dyDescent="0.25">
      <c r="A123" s="61" t="s">
        <v>216</v>
      </c>
      <c r="B123" s="91">
        <v>41383</v>
      </c>
      <c r="C123" s="92" t="s">
        <v>1459</v>
      </c>
      <c r="D123" s="92" t="s">
        <v>1388</v>
      </c>
      <c r="E123" s="92" t="s">
        <v>1199</v>
      </c>
      <c r="F123" s="92" t="s">
        <v>1254</v>
      </c>
      <c r="G123" s="92" t="s">
        <v>1200</v>
      </c>
      <c r="H123" s="92" t="s">
        <v>1255</v>
      </c>
      <c r="I123" s="92" t="s">
        <v>1256</v>
      </c>
      <c r="J123" s="92" t="s">
        <v>1282</v>
      </c>
      <c r="K123" s="92" t="s">
        <v>1243</v>
      </c>
      <c r="L123" s="92" t="s">
        <v>1260</v>
      </c>
      <c r="M123" s="92" t="s">
        <v>1241</v>
      </c>
      <c r="N123" s="91">
        <v>41384</v>
      </c>
      <c r="O123" s="93">
        <v>5.33</v>
      </c>
      <c r="P123" s="93">
        <v>8.6</v>
      </c>
      <c r="Q123" s="94">
        <v>36</v>
      </c>
      <c r="R123" s="93">
        <f t="shared" si="4"/>
        <v>309.59999999999997</v>
      </c>
      <c r="S123" s="95">
        <v>0.06</v>
      </c>
      <c r="T123" s="96">
        <f t="shared" si="5"/>
        <v>18.575999999999997</v>
      </c>
      <c r="U123" s="96">
        <f t="shared" si="6"/>
        <v>309.53999999999996</v>
      </c>
      <c r="V123" s="93">
        <v>6.19</v>
      </c>
      <c r="W123" s="97">
        <f t="shared" si="7"/>
        <v>315.72999999999996</v>
      </c>
    </row>
    <row r="124" spans="1:23" x14ac:dyDescent="0.25">
      <c r="A124" s="61" t="s">
        <v>217</v>
      </c>
      <c r="B124" s="91">
        <v>41384</v>
      </c>
      <c r="C124" s="92" t="s">
        <v>1460</v>
      </c>
      <c r="D124" s="92" t="s">
        <v>1461</v>
      </c>
      <c r="E124" s="92" t="s">
        <v>1199</v>
      </c>
      <c r="F124" s="92" t="s">
        <v>1254</v>
      </c>
      <c r="G124" s="92" t="s">
        <v>1201</v>
      </c>
      <c r="H124" s="92" t="s">
        <v>1255</v>
      </c>
      <c r="I124" s="92" t="s">
        <v>1256</v>
      </c>
      <c r="J124" s="92" t="s">
        <v>1321</v>
      </c>
      <c r="K124" s="92" t="s">
        <v>1243</v>
      </c>
      <c r="L124" s="92" t="s">
        <v>1244</v>
      </c>
      <c r="M124" s="92" t="s">
        <v>1241</v>
      </c>
      <c r="N124" s="91">
        <v>41386</v>
      </c>
      <c r="O124" s="93">
        <v>2.52</v>
      </c>
      <c r="P124" s="93">
        <v>4</v>
      </c>
      <c r="Q124" s="94">
        <v>31</v>
      </c>
      <c r="R124" s="93">
        <f t="shared" si="4"/>
        <v>124</v>
      </c>
      <c r="S124" s="95">
        <v>0.01</v>
      </c>
      <c r="T124" s="96">
        <f t="shared" si="5"/>
        <v>1.24</v>
      </c>
      <c r="U124" s="96">
        <f t="shared" si="6"/>
        <v>123.99</v>
      </c>
      <c r="V124" s="93">
        <v>1.3</v>
      </c>
      <c r="W124" s="97">
        <f t="shared" si="7"/>
        <v>125.28999999999999</v>
      </c>
    </row>
    <row r="125" spans="1:23" x14ac:dyDescent="0.25">
      <c r="A125" s="61" t="s">
        <v>218</v>
      </c>
      <c r="B125" s="91">
        <v>41390</v>
      </c>
      <c r="C125" s="92" t="s">
        <v>1462</v>
      </c>
      <c r="D125" s="92" t="s">
        <v>1463</v>
      </c>
      <c r="E125" s="92" t="s">
        <v>1198</v>
      </c>
      <c r="F125" s="92" t="s">
        <v>1235</v>
      </c>
      <c r="G125" s="92" t="s">
        <v>1200</v>
      </c>
      <c r="H125" s="92" t="s">
        <v>1263</v>
      </c>
      <c r="I125" s="92" t="s">
        <v>1264</v>
      </c>
      <c r="J125" s="92" t="s">
        <v>1257</v>
      </c>
      <c r="K125" s="92" t="s">
        <v>1239</v>
      </c>
      <c r="L125" s="92" t="s">
        <v>1258</v>
      </c>
      <c r="M125" s="92" t="s">
        <v>1241</v>
      </c>
      <c r="N125" s="91">
        <v>41390</v>
      </c>
      <c r="O125" s="93">
        <v>8.82</v>
      </c>
      <c r="P125" s="93">
        <v>20.99</v>
      </c>
      <c r="Q125" s="94">
        <v>19</v>
      </c>
      <c r="R125" s="93">
        <f t="shared" si="4"/>
        <v>398.80999999999995</v>
      </c>
      <c r="S125" s="95">
        <v>0.01</v>
      </c>
      <c r="T125" s="96">
        <f t="shared" si="5"/>
        <v>3.9880999999999998</v>
      </c>
      <c r="U125" s="96">
        <f t="shared" si="6"/>
        <v>398.79999999999995</v>
      </c>
      <c r="V125" s="93">
        <v>4.8099999999999996</v>
      </c>
      <c r="W125" s="97">
        <f t="shared" si="7"/>
        <v>403.60999999999996</v>
      </c>
    </row>
    <row r="126" spans="1:23" x14ac:dyDescent="0.25">
      <c r="A126" s="61" t="s">
        <v>219</v>
      </c>
      <c r="B126" s="91">
        <v>41391</v>
      </c>
      <c r="C126" s="92" t="s">
        <v>1464</v>
      </c>
      <c r="D126" s="92" t="s">
        <v>1465</v>
      </c>
      <c r="E126" s="92" t="s">
        <v>1198</v>
      </c>
      <c r="F126" s="92" t="s">
        <v>1235</v>
      </c>
      <c r="G126" s="92" t="s">
        <v>1203</v>
      </c>
      <c r="H126" s="92" t="s">
        <v>1247</v>
      </c>
      <c r="I126" s="92" t="s">
        <v>1317</v>
      </c>
      <c r="J126" s="92" t="s">
        <v>1466</v>
      </c>
      <c r="K126" s="92" t="s">
        <v>1243</v>
      </c>
      <c r="L126" s="92" t="s">
        <v>1260</v>
      </c>
      <c r="M126" s="92" t="s">
        <v>1250</v>
      </c>
      <c r="N126" s="91">
        <v>41392</v>
      </c>
      <c r="O126" s="93">
        <v>7.61</v>
      </c>
      <c r="P126" s="93">
        <v>12.28</v>
      </c>
      <c r="Q126" s="94">
        <v>29</v>
      </c>
      <c r="R126" s="93">
        <f t="shared" si="4"/>
        <v>356.12</v>
      </c>
      <c r="S126" s="95">
        <v>0</v>
      </c>
      <c r="T126" s="96">
        <f t="shared" si="5"/>
        <v>0</v>
      </c>
      <c r="U126" s="96">
        <f t="shared" si="6"/>
        <v>356.12</v>
      </c>
      <c r="V126" s="93">
        <v>6.35</v>
      </c>
      <c r="W126" s="97">
        <f t="shared" si="7"/>
        <v>362.47</v>
      </c>
    </row>
    <row r="127" spans="1:23" x14ac:dyDescent="0.25">
      <c r="A127" s="61" t="s">
        <v>220</v>
      </c>
      <c r="B127" s="91">
        <v>41392</v>
      </c>
      <c r="C127" s="92" t="s">
        <v>1467</v>
      </c>
      <c r="D127" s="92" t="s">
        <v>1330</v>
      </c>
      <c r="E127" s="92" t="s">
        <v>1199</v>
      </c>
      <c r="F127" s="92" t="s">
        <v>1254</v>
      </c>
      <c r="G127" s="92" t="s">
        <v>1200</v>
      </c>
      <c r="H127" s="92" t="s">
        <v>1255</v>
      </c>
      <c r="I127" s="92" t="s">
        <v>1237</v>
      </c>
      <c r="J127" s="92" t="s">
        <v>1468</v>
      </c>
      <c r="K127" s="92" t="s">
        <v>1243</v>
      </c>
      <c r="L127" s="92" t="s">
        <v>1260</v>
      </c>
      <c r="M127" s="92" t="s">
        <v>1241</v>
      </c>
      <c r="N127" s="91">
        <v>41394</v>
      </c>
      <c r="O127" s="93">
        <v>1.59</v>
      </c>
      <c r="P127" s="93">
        <v>2.61</v>
      </c>
      <c r="Q127" s="94">
        <v>9</v>
      </c>
      <c r="R127" s="93">
        <f t="shared" si="4"/>
        <v>23.49</v>
      </c>
      <c r="S127" s="95">
        <v>0.06</v>
      </c>
      <c r="T127" s="96">
        <f t="shared" si="5"/>
        <v>1.4093999999999998</v>
      </c>
      <c r="U127" s="96">
        <f t="shared" si="6"/>
        <v>23.43</v>
      </c>
      <c r="V127" s="93">
        <v>0.5</v>
      </c>
      <c r="W127" s="97">
        <f t="shared" si="7"/>
        <v>23.93</v>
      </c>
    </row>
    <row r="128" spans="1:23" x14ac:dyDescent="0.25">
      <c r="A128" s="61" t="s">
        <v>221</v>
      </c>
      <c r="B128" s="91">
        <v>41392</v>
      </c>
      <c r="C128" s="92" t="s">
        <v>1469</v>
      </c>
      <c r="D128" s="92" t="s">
        <v>1470</v>
      </c>
      <c r="E128" s="92" t="s">
        <v>1198</v>
      </c>
      <c r="F128" s="92" t="s">
        <v>1235</v>
      </c>
      <c r="G128" s="92" t="s">
        <v>1200</v>
      </c>
      <c r="H128" s="92" t="s">
        <v>1471</v>
      </c>
      <c r="I128" s="92" t="s">
        <v>1237</v>
      </c>
      <c r="J128" s="92" t="s">
        <v>1271</v>
      </c>
      <c r="K128" s="92" t="s">
        <v>1239</v>
      </c>
      <c r="L128" s="92" t="s">
        <v>1260</v>
      </c>
      <c r="M128" s="92" t="s">
        <v>1241</v>
      </c>
      <c r="N128" s="91">
        <v>41392</v>
      </c>
      <c r="O128" s="93">
        <v>6.39</v>
      </c>
      <c r="P128" s="93">
        <v>19.98</v>
      </c>
      <c r="Q128" s="94">
        <v>7</v>
      </c>
      <c r="R128" s="93">
        <f t="shared" si="4"/>
        <v>139.86000000000001</v>
      </c>
      <c r="S128" s="95">
        <v>0.01</v>
      </c>
      <c r="T128" s="96">
        <f t="shared" si="5"/>
        <v>1.3986000000000001</v>
      </c>
      <c r="U128" s="96">
        <f t="shared" si="6"/>
        <v>139.85000000000002</v>
      </c>
      <c r="V128" s="93">
        <v>4</v>
      </c>
      <c r="W128" s="97">
        <f t="shared" si="7"/>
        <v>143.85000000000002</v>
      </c>
    </row>
    <row r="129" spans="1:23" x14ac:dyDescent="0.25">
      <c r="A129" s="61" t="s">
        <v>222</v>
      </c>
      <c r="B129" s="91">
        <v>41394</v>
      </c>
      <c r="C129" s="92" t="s">
        <v>1472</v>
      </c>
      <c r="D129" s="92" t="s">
        <v>1355</v>
      </c>
      <c r="E129" s="92" t="s">
        <v>1199</v>
      </c>
      <c r="F129" s="92" t="s">
        <v>1254</v>
      </c>
      <c r="G129" s="92" t="s">
        <v>1200</v>
      </c>
      <c r="H129" s="92" t="s">
        <v>1274</v>
      </c>
      <c r="I129" s="92" t="s">
        <v>1237</v>
      </c>
      <c r="J129" s="92" t="s">
        <v>1391</v>
      </c>
      <c r="K129" s="92" t="s">
        <v>1239</v>
      </c>
      <c r="L129" s="92" t="s">
        <v>1260</v>
      </c>
      <c r="M129" s="92" t="s">
        <v>1250</v>
      </c>
      <c r="N129" s="91">
        <v>41395</v>
      </c>
      <c r="O129" s="93">
        <v>32.020000000000003</v>
      </c>
      <c r="P129" s="93">
        <v>152.47999999999999</v>
      </c>
      <c r="Q129" s="94">
        <v>16</v>
      </c>
      <c r="R129" s="93">
        <f t="shared" si="4"/>
        <v>2439.6799999999998</v>
      </c>
      <c r="S129" s="95">
        <v>0.1</v>
      </c>
      <c r="T129" s="96">
        <f t="shared" si="5"/>
        <v>243.96799999999999</v>
      </c>
      <c r="U129" s="96">
        <f t="shared" si="6"/>
        <v>2439.58</v>
      </c>
      <c r="V129" s="93">
        <v>4</v>
      </c>
      <c r="W129" s="97">
        <f t="shared" si="7"/>
        <v>2443.58</v>
      </c>
    </row>
    <row r="130" spans="1:23" x14ac:dyDescent="0.25">
      <c r="A130" s="61" t="s">
        <v>223</v>
      </c>
      <c r="B130" s="91">
        <v>41394</v>
      </c>
      <c r="C130" s="92" t="s">
        <v>1473</v>
      </c>
      <c r="D130" s="92" t="s">
        <v>1323</v>
      </c>
      <c r="E130" s="92" t="s">
        <v>1198</v>
      </c>
      <c r="F130" s="92" t="s">
        <v>1235</v>
      </c>
      <c r="G130" s="92" t="s">
        <v>1201</v>
      </c>
      <c r="H130" s="92" t="s">
        <v>1263</v>
      </c>
      <c r="I130" s="92" t="s">
        <v>1256</v>
      </c>
      <c r="J130" s="92" t="s">
        <v>1466</v>
      </c>
      <c r="K130" s="92" t="s">
        <v>1243</v>
      </c>
      <c r="L130" s="92" t="s">
        <v>1260</v>
      </c>
      <c r="M130" s="92" t="s">
        <v>1241</v>
      </c>
      <c r="N130" s="91">
        <v>41396</v>
      </c>
      <c r="O130" s="93">
        <v>7.61</v>
      </c>
      <c r="P130" s="93">
        <v>12.28</v>
      </c>
      <c r="Q130" s="94">
        <v>27</v>
      </c>
      <c r="R130" s="93">
        <f t="shared" si="4"/>
        <v>331.56</v>
      </c>
      <c r="S130" s="95">
        <v>0.03</v>
      </c>
      <c r="T130" s="96">
        <f t="shared" si="5"/>
        <v>9.9467999999999996</v>
      </c>
      <c r="U130" s="96">
        <f t="shared" si="6"/>
        <v>331.53000000000003</v>
      </c>
      <c r="V130" s="93">
        <v>6.35</v>
      </c>
      <c r="W130" s="97">
        <f t="shared" si="7"/>
        <v>337.88000000000005</v>
      </c>
    </row>
    <row r="131" spans="1:23" x14ac:dyDescent="0.25">
      <c r="A131" s="61" t="s">
        <v>224</v>
      </c>
      <c r="B131" s="91">
        <v>41394</v>
      </c>
      <c r="C131" s="92" t="s">
        <v>1474</v>
      </c>
      <c r="D131" s="92" t="s">
        <v>1425</v>
      </c>
      <c r="E131" s="92" t="s">
        <v>1198</v>
      </c>
      <c r="F131" s="92" t="s">
        <v>1235</v>
      </c>
      <c r="G131" s="92" t="s">
        <v>1202</v>
      </c>
      <c r="H131" s="92" t="s">
        <v>1409</v>
      </c>
      <c r="I131" s="92" t="s">
        <v>1256</v>
      </c>
      <c r="J131" s="92" t="s">
        <v>1475</v>
      </c>
      <c r="K131" s="92" t="s">
        <v>1239</v>
      </c>
      <c r="L131" s="92" t="s">
        <v>1260</v>
      </c>
      <c r="M131" s="92" t="s">
        <v>1241</v>
      </c>
      <c r="N131" s="91">
        <v>41396</v>
      </c>
      <c r="O131" s="93">
        <v>10.07</v>
      </c>
      <c r="P131" s="93">
        <v>15.98</v>
      </c>
      <c r="Q131" s="94">
        <v>39</v>
      </c>
      <c r="R131" s="93">
        <f t="shared" si="4"/>
        <v>623.22</v>
      </c>
      <c r="S131" s="95">
        <v>0.09</v>
      </c>
      <c r="T131" s="96">
        <f t="shared" si="5"/>
        <v>56.089800000000004</v>
      </c>
      <c r="U131" s="96">
        <f t="shared" si="6"/>
        <v>623.13</v>
      </c>
      <c r="V131" s="93">
        <v>4</v>
      </c>
      <c r="W131" s="97">
        <f t="shared" si="7"/>
        <v>627.13</v>
      </c>
    </row>
    <row r="132" spans="1:23" x14ac:dyDescent="0.25">
      <c r="A132" s="61" t="s">
        <v>225</v>
      </c>
      <c r="B132" s="91">
        <v>41395</v>
      </c>
      <c r="C132" s="92" t="s">
        <v>1476</v>
      </c>
      <c r="D132" s="92" t="s">
        <v>1412</v>
      </c>
      <c r="E132" s="92" t="s">
        <v>1199</v>
      </c>
      <c r="F132" s="92" t="s">
        <v>1254</v>
      </c>
      <c r="G132" s="92" t="s">
        <v>1200</v>
      </c>
      <c r="H132" s="92" t="s">
        <v>1274</v>
      </c>
      <c r="I132" s="92" t="s">
        <v>1256</v>
      </c>
      <c r="J132" s="92" t="s">
        <v>1477</v>
      </c>
      <c r="K132" s="92" t="s">
        <v>1243</v>
      </c>
      <c r="L132" s="92" t="s">
        <v>1240</v>
      </c>
      <c r="M132" s="92" t="s">
        <v>1241</v>
      </c>
      <c r="N132" s="91">
        <v>41397</v>
      </c>
      <c r="O132" s="93">
        <v>4.79</v>
      </c>
      <c r="P132" s="93">
        <v>11.97</v>
      </c>
      <c r="Q132" s="94">
        <v>7</v>
      </c>
      <c r="R132" s="93">
        <f t="shared" si="4"/>
        <v>83.79</v>
      </c>
      <c r="S132" s="95">
        <v>0.05</v>
      </c>
      <c r="T132" s="96">
        <f t="shared" si="5"/>
        <v>4.1895000000000007</v>
      </c>
      <c r="U132" s="96">
        <f t="shared" si="6"/>
        <v>83.740000000000009</v>
      </c>
      <c r="V132" s="93">
        <v>5.81</v>
      </c>
      <c r="W132" s="97">
        <f t="shared" si="7"/>
        <v>89.550000000000011</v>
      </c>
    </row>
    <row r="133" spans="1:23" x14ac:dyDescent="0.25">
      <c r="A133" s="61" t="s">
        <v>226</v>
      </c>
      <c r="B133" s="91">
        <v>41396</v>
      </c>
      <c r="C133" s="92" t="s">
        <v>1478</v>
      </c>
      <c r="D133" s="92" t="s">
        <v>1355</v>
      </c>
      <c r="E133" s="92" t="s">
        <v>1199</v>
      </c>
      <c r="F133" s="92" t="s">
        <v>1254</v>
      </c>
      <c r="G133" s="92" t="s">
        <v>1203</v>
      </c>
      <c r="H133" s="92" t="s">
        <v>1274</v>
      </c>
      <c r="I133" s="92" t="s">
        <v>1256</v>
      </c>
      <c r="J133" s="92" t="s">
        <v>1479</v>
      </c>
      <c r="K133" s="92" t="s">
        <v>1243</v>
      </c>
      <c r="L133" s="92" t="s">
        <v>1260</v>
      </c>
      <c r="M133" s="92" t="s">
        <v>1241</v>
      </c>
      <c r="N133" s="91">
        <v>41397</v>
      </c>
      <c r="O133" s="93">
        <v>8.7100000000000009</v>
      </c>
      <c r="P133" s="93">
        <v>14.28</v>
      </c>
      <c r="Q133" s="94">
        <v>42</v>
      </c>
      <c r="R133" s="93">
        <f t="shared" ref="R133:R196" si="8">P133*Q133</f>
        <v>599.76</v>
      </c>
      <c r="S133" s="95">
        <v>0.1</v>
      </c>
      <c r="T133" s="96">
        <f t="shared" ref="T133:T196" si="9">R133*S133</f>
        <v>59.975999999999999</v>
      </c>
      <c r="U133" s="96">
        <f t="shared" ref="U133:U196" si="10">R133-S133</f>
        <v>599.66</v>
      </c>
      <c r="V133" s="93">
        <v>2.99</v>
      </c>
      <c r="W133" s="97">
        <f t="shared" ref="W133:W196" si="11">U133+V133</f>
        <v>602.65</v>
      </c>
    </row>
    <row r="134" spans="1:23" x14ac:dyDescent="0.25">
      <c r="A134" s="61" t="s">
        <v>227</v>
      </c>
      <c r="B134" s="91">
        <v>41396</v>
      </c>
      <c r="C134" s="92" t="s">
        <v>1480</v>
      </c>
      <c r="D134" s="92" t="s">
        <v>1290</v>
      </c>
      <c r="E134" s="92" t="s">
        <v>1198</v>
      </c>
      <c r="F134" s="92" t="s">
        <v>1235</v>
      </c>
      <c r="G134" s="92" t="s">
        <v>1201</v>
      </c>
      <c r="H134" s="92" t="s">
        <v>1291</v>
      </c>
      <c r="I134" s="92" t="s">
        <v>1264</v>
      </c>
      <c r="J134" s="92" t="s">
        <v>1426</v>
      </c>
      <c r="K134" s="92" t="s">
        <v>1243</v>
      </c>
      <c r="L134" s="92" t="s">
        <v>1260</v>
      </c>
      <c r="M134" s="92" t="s">
        <v>1241</v>
      </c>
      <c r="N134" s="91">
        <v>41397</v>
      </c>
      <c r="O134" s="93">
        <v>54.29</v>
      </c>
      <c r="P134" s="93">
        <v>90.48</v>
      </c>
      <c r="Q134" s="94">
        <v>15</v>
      </c>
      <c r="R134" s="93">
        <f t="shared" si="8"/>
        <v>1357.2</v>
      </c>
      <c r="S134" s="95">
        <v>0.05</v>
      </c>
      <c r="T134" s="96">
        <f t="shared" si="9"/>
        <v>67.86</v>
      </c>
      <c r="U134" s="96">
        <f t="shared" si="10"/>
        <v>1357.15</v>
      </c>
      <c r="V134" s="93">
        <v>19.989999999999998</v>
      </c>
      <c r="W134" s="97">
        <f t="shared" si="11"/>
        <v>1377.14</v>
      </c>
    </row>
    <row r="135" spans="1:23" x14ac:dyDescent="0.25">
      <c r="A135" s="61" t="s">
        <v>228</v>
      </c>
      <c r="B135" s="91">
        <v>41397</v>
      </c>
      <c r="C135" s="92" t="s">
        <v>1481</v>
      </c>
      <c r="D135" s="92" t="s">
        <v>1482</v>
      </c>
      <c r="E135" s="92" t="s">
        <v>1198</v>
      </c>
      <c r="F135" s="92" t="s">
        <v>1235</v>
      </c>
      <c r="G135" s="92" t="s">
        <v>1201</v>
      </c>
      <c r="H135" s="92" t="s">
        <v>1471</v>
      </c>
      <c r="I135" s="92" t="s">
        <v>1264</v>
      </c>
      <c r="J135" s="92" t="s">
        <v>1456</v>
      </c>
      <c r="K135" s="92" t="s">
        <v>1243</v>
      </c>
      <c r="L135" s="92" t="s">
        <v>1260</v>
      </c>
      <c r="M135" s="92" t="s">
        <v>1241</v>
      </c>
      <c r="N135" s="91">
        <v>41399</v>
      </c>
      <c r="O135" s="93">
        <v>3.52</v>
      </c>
      <c r="P135" s="93">
        <v>5.68</v>
      </c>
      <c r="Q135" s="94">
        <v>20</v>
      </c>
      <c r="R135" s="93">
        <f t="shared" si="8"/>
        <v>113.6</v>
      </c>
      <c r="S135" s="95">
        <v>7.0000000000000007E-2</v>
      </c>
      <c r="T135" s="96">
        <f t="shared" si="9"/>
        <v>7.952</v>
      </c>
      <c r="U135" s="96">
        <f t="shared" si="10"/>
        <v>113.53</v>
      </c>
      <c r="V135" s="93">
        <v>1.39</v>
      </c>
      <c r="W135" s="97">
        <f t="shared" si="11"/>
        <v>114.92</v>
      </c>
    </row>
    <row r="136" spans="1:23" x14ac:dyDescent="0.25">
      <c r="A136" s="61" t="s">
        <v>229</v>
      </c>
      <c r="B136" s="91">
        <v>41398</v>
      </c>
      <c r="C136" s="92" t="s">
        <v>1483</v>
      </c>
      <c r="D136" s="92" t="s">
        <v>1433</v>
      </c>
      <c r="E136" s="92" t="s">
        <v>1198</v>
      </c>
      <c r="F136" s="92" t="s">
        <v>1235</v>
      </c>
      <c r="G136" s="92" t="s">
        <v>1200</v>
      </c>
      <c r="H136" s="92" t="s">
        <v>1304</v>
      </c>
      <c r="I136" s="92" t="s">
        <v>1264</v>
      </c>
      <c r="J136" s="92" t="s">
        <v>1242</v>
      </c>
      <c r="K136" s="92" t="s">
        <v>1243</v>
      </c>
      <c r="L136" s="92" t="s">
        <v>1244</v>
      </c>
      <c r="M136" s="92" t="s">
        <v>1241</v>
      </c>
      <c r="N136" s="91">
        <v>41400</v>
      </c>
      <c r="O136" s="93">
        <v>3.47</v>
      </c>
      <c r="P136" s="93">
        <v>6.68</v>
      </c>
      <c r="Q136" s="94">
        <v>41</v>
      </c>
      <c r="R136" s="93">
        <f t="shared" si="8"/>
        <v>273.88</v>
      </c>
      <c r="S136" s="95">
        <v>0.08</v>
      </c>
      <c r="T136" s="96">
        <f t="shared" si="9"/>
        <v>21.910399999999999</v>
      </c>
      <c r="U136" s="96">
        <f t="shared" si="10"/>
        <v>273.8</v>
      </c>
      <c r="V136" s="93">
        <v>1.5</v>
      </c>
      <c r="W136" s="97">
        <f t="shared" si="11"/>
        <v>275.3</v>
      </c>
    </row>
    <row r="137" spans="1:23" x14ac:dyDescent="0.25">
      <c r="A137" s="61" t="s">
        <v>230</v>
      </c>
      <c r="B137" s="91">
        <v>41399</v>
      </c>
      <c r="C137" s="92" t="s">
        <v>1484</v>
      </c>
      <c r="D137" s="92" t="s">
        <v>1281</v>
      </c>
      <c r="E137" s="92" t="s">
        <v>1199</v>
      </c>
      <c r="F137" s="92" t="s">
        <v>1254</v>
      </c>
      <c r="G137" s="92" t="s">
        <v>1200</v>
      </c>
      <c r="H137" s="92" t="s">
        <v>1274</v>
      </c>
      <c r="I137" s="92" t="s">
        <v>1248</v>
      </c>
      <c r="J137" s="92" t="s">
        <v>1475</v>
      </c>
      <c r="K137" s="92" t="s">
        <v>1239</v>
      </c>
      <c r="L137" s="92" t="s">
        <v>1260</v>
      </c>
      <c r="M137" s="92" t="s">
        <v>1241</v>
      </c>
      <c r="N137" s="91">
        <v>41404</v>
      </c>
      <c r="O137" s="93">
        <v>10.07</v>
      </c>
      <c r="P137" s="93">
        <v>15.98</v>
      </c>
      <c r="Q137" s="94">
        <v>34</v>
      </c>
      <c r="R137" s="93">
        <f t="shared" si="8"/>
        <v>543.32000000000005</v>
      </c>
      <c r="S137" s="95">
        <v>0.1</v>
      </c>
      <c r="T137" s="96">
        <f t="shared" si="9"/>
        <v>54.332000000000008</v>
      </c>
      <c r="U137" s="96">
        <f t="shared" si="10"/>
        <v>543.22</v>
      </c>
      <c r="V137" s="93">
        <v>4</v>
      </c>
      <c r="W137" s="97">
        <f t="shared" si="11"/>
        <v>547.22</v>
      </c>
    </row>
    <row r="138" spans="1:23" x14ac:dyDescent="0.25">
      <c r="A138" s="61" t="s">
        <v>231</v>
      </c>
      <c r="B138" s="91">
        <v>41401</v>
      </c>
      <c r="C138" s="92" t="s">
        <v>1485</v>
      </c>
      <c r="D138" s="92" t="s">
        <v>1486</v>
      </c>
      <c r="E138" s="92" t="s">
        <v>1198</v>
      </c>
      <c r="F138" s="92" t="s">
        <v>1235</v>
      </c>
      <c r="G138" s="92" t="s">
        <v>1201</v>
      </c>
      <c r="H138" s="92" t="s">
        <v>1291</v>
      </c>
      <c r="I138" s="92" t="s">
        <v>1256</v>
      </c>
      <c r="J138" s="92" t="s">
        <v>1477</v>
      </c>
      <c r="K138" s="92" t="s">
        <v>1243</v>
      </c>
      <c r="L138" s="92" t="s">
        <v>1240</v>
      </c>
      <c r="M138" s="92" t="s">
        <v>1241</v>
      </c>
      <c r="N138" s="91">
        <v>41403</v>
      </c>
      <c r="O138" s="93">
        <v>4.79</v>
      </c>
      <c r="P138" s="93">
        <v>11.97</v>
      </c>
      <c r="Q138" s="94">
        <v>18</v>
      </c>
      <c r="R138" s="93">
        <f t="shared" si="8"/>
        <v>215.46</v>
      </c>
      <c r="S138" s="95">
        <v>0.08</v>
      </c>
      <c r="T138" s="96">
        <f t="shared" si="9"/>
        <v>17.236800000000002</v>
      </c>
      <c r="U138" s="96">
        <f t="shared" si="10"/>
        <v>215.38</v>
      </c>
      <c r="V138" s="93">
        <v>5.81</v>
      </c>
      <c r="W138" s="97">
        <f t="shared" si="11"/>
        <v>221.19</v>
      </c>
    </row>
    <row r="139" spans="1:23" x14ac:dyDescent="0.25">
      <c r="A139" s="61" t="s">
        <v>232</v>
      </c>
      <c r="B139" s="91">
        <v>41403</v>
      </c>
      <c r="C139" s="92" t="s">
        <v>1487</v>
      </c>
      <c r="D139" s="92" t="s">
        <v>1380</v>
      </c>
      <c r="E139" s="92" t="s">
        <v>1198</v>
      </c>
      <c r="F139" s="92" t="s">
        <v>1235</v>
      </c>
      <c r="G139" s="92" t="s">
        <v>1203</v>
      </c>
      <c r="H139" s="92" t="s">
        <v>1291</v>
      </c>
      <c r="I139" s="92" t="s">
        <v>1264</v>
      </c>
      <c r="J139" s="92" t="s">
        <v>1257</v>
      </c>
      <c r="K139" s="92" t="s">
        <v>1239</v>
      </c>
      <c r="L139" s="92" t="s">
        <v>1258</v>
      </c>
      <c r="M139" s="92" t="s">
        <v>1250</v>
      </c>
      <c r="N139" s="91">
        <v>41404</v>
      </c>
      <c r="O139" s="93">
        <v>8.82</v>
      </c>
      <c r="P139" s="93">
        <v>20.99</v>
      </c>
      <c r="Q139" s="94">
        <v>8</v>
      </c>
      <c r="R139" s="93">
        <f t="shared" si="8"/>
        <v>167.92</v>
      </c>
      <c r="S139" s="95">
        <v>0.09</v>
      </c>
      <c r="T139" s="96">
        <f t="shared" si="9"/>
        <v>15.112799999999998</v>
      </c>
      <c r="U139" s="96">
        <f t="shared" si="10"/>
        <v>167.82999999999998</v>
      </c>
      <c r="V139" s="93">
        <v>4.8099999999999996</v>
      </c>
      <c r="W139" s="97">
        <f t="shared" si="11"/>
        <v>172.64</v>
      </c>
    </row>
    <row r="140" spans="1:23" x14ac:dyDescent="0.25">
      <c r="A140" s="61" t="s">
        <v>233</v>
      </c>
      <c r="B140" s="91">
        <v>41403</v>
      </c>
      <c r="C140" s="92" t="s">
        <v>1488</v>
      </c>
      <c r="D140" s="92" t="s">
        <v>1461</v>
      </c>
      <c r="E140" s="92" t="s">
        <v>1199</v>
      </c>
      <c r="F140" s="92" t="s">
        <v>1254</v>
      </c>
      <c r="G140" s="92" t="s">
        <v>1202</v>
      </c>
      <c r="H140" s="92" t="s">
        <v>1255</v>
      </c>
      <c r="I140" s="92" t="s">
        <v>1264</v>
      </c>
      <c r="J140" s="92" t="s">
        <v>1423</v>
      </c>
      <c r="K140" s="92" t="s">
        <v>1243</v>
      </c>
      <c r="L140" s="92" t="s">
        <v>1244</v>
      </c>
      <c r="M140" s="92" t="s">
        <v>1241</v>
      </c>
      <c r="N140" s="91">
        <v>41405</v>
      </c>
      <c r="O140" s="93">
        <v>1.0900000000000001</v>
      </c>
      <c r="P140" s="93">
        <v>1.68</v>
      </c>
      <c r="Q140" s="94">
        <v>18</v>
      </c>
      <c r="R140" s="93">
        <f t="shared" si="8"/>
        <v>30.24</v>
      </c>
      <c r="S140" s="95">
        <v>0.06</v>
      </c>
      <c r="T140" s="96">
        <f t="shared" si="9"/>
        <v>1.8143999999999998</v>
      </c>
      <c r="U140" s="96">
        <f t="shared" si="10"/>
        <v>30.18</v>
      </c>
      <c r="V140" s="93">
        <v>1</v>
      </c>
      <c r="W140" s="97">
        <f t="shared" si="11"/>
        <v>31.18</v>
      </c>
    </row>
    <row r="141" spans="1:23" x14ac:dyDescent="0.25">
      <c r="A141" s="61" t="s">
        <v>234</v>
      </c>
      <c r="B141" s="91">
        <v>41404</v>
      </c>
      <c r="C141" s="92" t="s">
        <v>1462</v>
      </c>
      <c r="D141" s="92" t="s">
        <v>1463</v>
      </c>
      <c r="E141" s="92" t="s">
        <v>1198</v>
      </c>
      <c r="F141" s="92" t="s">
        <v>1235</v>
      </c>
      <c r="G141" s="92" t="s">
        <v>1200</v>
      </c>
      <c r="H141" s="92" t="s">
        <v>1263</v>
      </c>
      <c r="I141" s="92" t="s">
        <v>1256</v>
      </c>
      <c r="J141" s="92" t="s">
        <v>1401</v>
      </c>
      <c r="K141" s="92" t="s">
        <v>1239</v>
      </c>
      <c r="L141" s="92" t="s">
        <v>1260</v>
      </c>
      <c r="M141" s="92" t="s">
        <v>1241</v>
      </c>
      <c r="N141" s="91">
        <v>41405</v>
      </c>
      <c r="O141" s="93">
        <v>54.52</v>
      </c>
      <c r="P141" s="93">
        <v>100.97</v>
      </c>
      <c r="Q141" s="94">
        <v>15</v>
      </c>
      <c r="R141" s="93">
        <f t="shared" si="8"/>
        <v>1514.55</v>
      </c>
      <c r="S141" s="95">
        <v>0.1</v>
      </c>
      <c r="T141" s="96">
        <f t="shared" si="9"/>
        <v>151.45500000000001</v>
      </c>
      <c r="U141" s="96">
        <f t="shared" si="10"/>
        <v>1514.45</v>
      </c>
      <c r="V141" s="93">
        <v>7.18</v>
      </c>
      <c r="W141" s="97">
        <f t="shared" si="11"/>
        <v>1521.63</v>
      </c>
    </row>
    <row r="142" spans="1:23" x14ac:dyDescent="0.25">
      <c r="A142" s="61" t="s">
        <v>235</v>
      </c>
      <c r="B142" s="91">
        <v>41407</v>
      </c>
      <c r="C142" s="92" t="s">
        <v>1406</v>
      </c>
      <c r="D142" s="92" t="s">
        <v>1388</v>
      </c>
      <c r="E142" s="92" t="s">
        <v>1199</v>
      </c>
      <c r="F142" s="92" t="s">
        <v>1254</v>
      </c>
      <c r="G142" s="92" t="s">
        <v>1203</v>
      </c>
      <c r="H142" s="92" t="s">
        <v>1255</v>
      </c>
      <c r="I142" s="92" t="s">
        <v>1237</v>
      </c>
      <c r="J142" s="92" t="s">
        <v>1321</v>
      </c>
      <c r="K142" s="92" t="s">
        <v>1243</v>
      </c>
      <c r="L142" s="92" t="s">
        <v>1244</v>
      </c>
      <c r="M142" s="92" t="s">
        <v>1250</v>
      </c>
      <c r="N142" s="91">
        <v>41409</v>
      </c>
      <c r="O142" s="93">
        <v>2.52</v>
      </c>
      <c r="P142" s="93">
        <v>4</v>
      </c>
      <c r="Q142" s="94">
        <v>19</v>
      </c>
      <c r="R142" s="93">
        <f t="shared" si="8"/>
        <v>76</v>
      </c>
      <c r="S142" s="95">
        <v>0.09</v>
      </c>
      <c r="T142" s="96">
        <f t="shared" si="9"/>
        <v>6.84</v>
      </c>
      <c r="U142" s="96">
        <f t="shared" si="10"/>
        <v>75.91</v>
      </c>
      <c r="V142" s="93">
        <v>1.3</v>
      </c>
      <c r="W142" s="97">
        <f t="shared" si="11"/>
        <v>77.209999999999994</v>
      </c>
    </row>
    <row r="143" spans="1:23" x14ac:dyDescent="0.25">
      <c r="A143" s="61" t="s">
        <v>236</v>
      </c>
      <c r="B143" s="91">
        <v>41408</v>
      </c>
      <c r="C143" s="92" t="s">
        <v>1489</v>
      </c>
      <c r="D143" s="92" t="s">
        <v>1376</v>
      </c>
      <c r="E143" s="92" t="s">
        <v>1199</v>
      </c>
      <c r="F143" s="92" t="s">
        <v>1254</v>
      </c>
      <c r="G143" s="92" t="s">
        <v>1203</v>
      </c>
      <c r="H143" s="92" t="s">
        <v>1255</v>
      </c>
      <c r="I143" s="92" t="s">
        <v>1317</v>
      </c>
      <c r="J143" s="92" t="s">
        <v>1338</v>
      </c>
      <c r="K143" s="92" t="s">
        <v>1243</v>
      </c>
      <c r="L143" s="92" t="s">
        <v>1260</v>
      </c>
      <c r="M143" s="92" t="s">
        <v>1241</v>
      </c>
      <c r="N143" s="91">
        <v>41409</v>
      </c>
      <c r="O143" s="93">
        <v>13.88</v>
      </c>
      <c r="P143" s="93">
        <v>22.38</v>
      </c>
      <c r="Q143" s="94">
        <v>26</v>
      </c>
      <c r="R143" s="93">
        <f t="shared" si="8"/>
        <v>581.88</v>
      </c>
      <c r="S143" s="95">
        <v>0.1</v>
      </c>
      <c r="T143" s="96">
        <f t="shared" si="9"/>
        <v>58.188000000000002</v>
      </c>
      <c r="U143" s="96">
        <f t="shared" si="10"/>
        <v>581.78</v>
      </c>
      <c r="V143" s="93">
        <v>15.1</v>
      </c>
      <c r="W143" s="97">
        <f t="shared" si="11"/>
        <v>596.88</v>
      </c>
    </row>
    <row r="144" spans="1:23" x14ac:dyDescent="0.25">
      <c r="A144" s="61" t="s">
        <v>237</v>
      </c>
      <c r="B144" s="91">
        <v>41408</v>
      </c>
      <c r="C144" s="92" t="s">
        <v>1490</v>
      </c>
      <c r="D144" s="92" t="s">
        <v>1491</v>
      </c>
      <c r="E144" s="92" t="s">
        <v>1198</v>
      </c>
      <c r="F144" s="92" t="s">
        <v>1235</v>
      </c>
      <c r="G144" s="92" t="s">
        <v>1200</v>
      </c>
      <c r="H144" s="92" t="s">
        <v>1313</v>
      </c>
      <c r="I144" s="92" t="s">
        <v>1256</v>
      </c>
      <c r="J144" s="92" t="s">
        <v>1492</v>
      </c>
      <c r="K144" s="92" t="s">
        <v>1243</v>
      </c>
      <c r="L144" s="92" t="s">
        <v>1244</v>
      </c>
      <c r="M144" s="92" t="s">
        <v>1241</v>
      </c>
      <c r="N144" s="91">
        <v>41410</v>
      </c>
      <c r="O144" s="93">
        <v>21.56</v>
      </c>
      <c r="P144" s="93">
        <v>36.549999999999997</v>
      </c>
      <c r="Q144" s="94">
        <v>45</v>
      </c>
      <c r="R144" s="93">
        <f t="shared" si="8"/>
        <v>1644.7499999999998</v>
      </c>
      <c r="S144" s="95">
        <v>0.1</v>
      </c>
      <c r="T144" s="96">
        <f t="shared" si="9"/>
        <v>164.47499999999999</v>
      </c>
      <c r="U144" s="96">
        <f t="shared" si="10"/>
        <v>1644.6499999999999</v>
      </c>
      <c r="V144" s="93">
        <v>13.89</v>
      </c>
      <c r="W144" s="97">
        <f t="shared" si="11"/>
        <v>1658.54</v>
      </c>
    </row>
    <row r="145" spans="1:23" x14ac:dyDescent="0.25">
      <c r="A145" s="61" t="s">
        <v>238</v>
      </c>
      <c r="B145" s="91">
        <v>41409</v>
      </c>
      <c r="C145" s="92" t="s">
        <v>1493</v>
      </c>
      <c r="D145" s="92" t="s">
        <v>1494</v>
      </c>
      <c r="E145" s="92" t="s">
        <v>1198</v>
      </c>
      <c r="F145" s="92" t="s">
        <v>1235</v>
      </c>
      <c r="G145" s="92" t="s">
        <v>1202</v>
      </c>
      <c r="H145" s="92" t="s">
        <v>1236</v>
      </c>
      <c r="I145" s="92" t="s">
        <v>1317</v>
      </c>
      <c r="J145" s="92" t="s">
        <v>1327</v>
      </c>
      <c r="K145" s="92" t="s">
        <v>1239</v>
      </c>
      <c r="L145" s="92" t="s">
        <v>1260</v>
      </c>
      <c r="M145" s="92" t="s">
        <v>1250</v>
      </c>
      <c r="N145" s="91">
        <v>41410</v>
      </c>
      <c r="O145" s="93">
        <v>19.78</v>
      </c>
      <c r="P145" s="93">
        <v>45.99</v>
      </c>
      <c r="Q145" s="94">
        <v>14</v>
      </c>
      <c r="R145" s="93">
        <f t="shared" si="8"/>
        <v>643.86</v>
      </c>
      <c r="S145" s="95">
        <v>0.02</v>
      </c>
      <c r="T145" s="96">
        <f t="shared" si="9"/>
        <v>12.8772</v>
      </c>
      <c r="U145" s="96">
        <f t="shared" si="10"/>
        <v>643.84</v>
      </c>
      <c r="V145" s="93">
        <v>4.99</v>
      </c>
      <c r="W145" s="97">
        <f t="shared" si="11"/>
        <v>648.83000000000004</v>
      </c>
    </row>
    <row r="146" spans="1:23" x14ac:dyDescent="0.25">
      <c r="A146" s="61" t="s">
        <v>239</v>
      </c>
      <c r="B146" s="91">
        <v>41412</v>
      </c>
      <c r="C146" s="92" t="s">
        <v>1495</v>
      </c>
      <c r="D146" s="92" t="s">
        <v>1496</v>
      </c>
      <c r="E146" s="92" t="s">
        <v>1198</v>
      </c>
      <c r="F146" s="92" t="s">
        <v>1235</v>
      </c>
      <c r="G146" s="92" t="s">
        <v>1200</v>
      </c>
      <c r="H146" s="92" t="s">
        <v>1313</v>
      </c>
      <c r="I146" s="92" t="s">
        <v>1256</v>
      </c>
      <c r="J146" s="92" t="s">
        <v>1426</v>
      </c>
      <c r="K146" s="92" t="s">
        <v>1243</v>
      </c>
      <c r="L146" s="92" t="s">
        <v>1260</v>
      </c>
      <c r="M146" s="92" t="s">
        <v>1241</v>
      </c>
      <c r="N146" s="91">
        <v>41414</v>
      </c>
      <c r="O146" s="93">
        <v>54.29</v>
      </c>
      <c r="P146" s="93">
        <v>90.48</v>
      </c>
      <c r="Q146" s="94">
        <v>11</v>
      </c>
      <c r="R146" s="93">
        <f t="shared" si="8"/>
        <v>995.28000000000009</v>
      </c>
      <c r="S146" s="95">
        <v>0.04</v>
      </c>
      <c r="T146" s="96">
        <f t="shared" si="9"/>
        <v>39.811200000000007</v>
      </c>
      <c r="U146" s="96">
        <f t="shared" si="10"/>
        <v>995.24000000000012</v>
      </c>
      <c r="V146" s="93">
        <v>19.989999999999998</v>
      </c>
      <c r="W146" s="97">
        <f t="shared" si="11"/>
        <v>1015.2300000000001</v>
      </c>
    </row>
    <row r="147" spans="1:23" x14ac:dyDescent="0.25">
      <c r="A147" s="61" t="s">
        <v>240</v>
      </c>
      <c r="B147" s="91">
        <v>41413</v>
      </c>
      <c r="C147" s="92" t="s">
        <v>1497</v>
      </c>
      <c r="D147" s="92" t="s">
        <v>1278</v>
      </c>
      <c r="E147" s="92" t="s">
        <v>1198</v>
      </c>
      <c r="F147" s="92" t="s">
        <v>1235</v>
      </c>
      <c r="G147" s="92" t="s">
        <v>1203</v>
      </c>
      <c r="H147" s="92" t="s">
        <v>1236</v>
      </c>
      <c r="I147" s="92" t="s">
        <v>1317</v>
      </c>
      <c r="J147" s="92" t="s">
        <v>1498</v>
      </c>
      <c r="K147" s="92" t="s">
        <v>1239</v>
      </c>
      <c r="L147" s="92" t="s">
        <v>1258</v>
      </c>
      <c r="M147" s="92" t="s">
        <v>1241</v>
      </c>
      <c r="N147" s="91">
        <v>41414</v>
      </c>
      <c r="O147" s="93">
        <v>9.91</v>
      </c>
      <c r="P147" s="93">
        <v>15.99</v>
      </c>
      <c r="Q147" s="94">
        <v>7</v>
      </c>
      <c r="R147" s="93">
        <f t="shared" si="8"/>
        <v>111.93</v>
      </c>
      <c r="S147" s="95">
        <v>0.03</v>
      </c>
      <c r="T147" s="96">
        <f t="shared" si="9"/>
        <v>3.3578999999999999</v>
      </c>
      <c r="U147" s="96">
        <f t="shared" si="10"/>
        <v>111.9</v>
      </c>
      <c r="V147" s="93">
        <v>11.28</v>
      </c>
      <c r="W147" s="97">
        <f t="shared" si="11"/>
        <v>123.18</v>
      </c>
    </row>
    <row r="148" spans="1:23" x14ac:dyDescent="0.25">
      <c r="A148" s="61" t="s">
        <v>241</v>
      </c>
      <c r="B148" s="91">
        <v>41413</v>
      </c>
      <c r="C148" s="92" t="s">
        <v>1478</v>
      </c>
      <c r="D148" s="92" t="s">
        <v>1355</v>
      </c>
      <c r="E148" s="92" t="s">
        <v>1199</v>
      </c>
      <c r="F148" s="92" t="s">
        <v>1254</v>
      </c>
      <c r="G148" s="92" t="s">
        <v>1203</v>
      </c>
      <c r="H148" s="92" t="s">
        <v>1274</v>
      </c>
      <c r="I148" s="92" t="s">
        <v>1256</v>
      </c>
      <c r="J148" s="92" t="s">
        <v>1499</v>
      </c>
      <c r="K148" s="92" t="s">
        <v>1243</v>
      </c>
      <c r="L148" s="92" t="s">
        <v>1244</v>
      </c>
      <c r="M148" s="92" t="s">
        <v>1241</v>
      </c>
      <c r="N148" s="91">
        <v>41414</v>
      </c>
      <c r="O148" s="93">
        <v>3.75</v>
      </c>
      <c r="P148" s="93">
        <v>7.08</v>
      </c>
      <c r="Q148" s="94">
        <v>29</v>
      </c>
      <c r="R148" s="93">
        <f t="shared" si="8"/>
        <v>205.32</v>
      </c>
      <c r="S148" s="95">
        <v>0.04</v>
      </c>
      <c r="T148" s="96">
        <f t="shared" si="9"/>
        <v>8.2127999999999997</v>
      </c>
      <c r="U148" s="96">
        <f t="shared" si="10"/>
        <v>205.28</v>
      </c>
      <c r="V148" s="93">
        <v>2.35</v>
      </c>
      <c r="W148" s="97">
        <f t="shared" si="11"/>
        <v>207.63</v>
      </c>
    </row>
    <row r="149" spans="1:23" x14ac:dyDescent="0.25">
      <c r="A149" s="61" t="s">
        <v>242</v>
      </c>
      <c r="B149" s="91">
        <v>41414</v>
      </c>
      <c r="C149" s="92" t="s">
        <v>1500</v>
      </c>
      <c r="D149" s="92" t="s">
        <v>1351</v>
      </c>
      <c r="E149" s="92" t="s">
        <v>1198</v>
      </c>
      <c r="F149" s="92" t="s">
        <v>1235</v>
      </c>
      <c r="G149" s="92" t="s">
        <v>1200</v>
      </c>
      <c r="H149" s="92" t="s">
        <v>1304</v>
      </c>
      <c r="I149" s="92" t="s">
        <v>1317</v>
      </c>
      <c r="J149" s="92" t="s">
        <v>1386</v>
      </c>
      <c r="K149" s="92" t="s">
        <v>1382</v>
      </c>
      <c r="L149" s="92" t="s">
        <v>1240</v>
      </c>
      <c r="M149" s="92" t="s">
        <v>1241</v>
      </c>
      <c r="N149" s="91">
        <v>41415</v>
      </c>
      <c r="O149" s="93">
        <v>5.5</v>
      </c>
      <c r="P149" s="93">
        <v>12.22</v>
      </c>
      <c r="Q149" s="94">
        <v>35</v>
      </c>
      <c r="R149" s="93">
        <f t="shared" si="8"/>
        <v>427.70000000000005</v>
      </c>
      <c r="S149" s="95">
        <v>0</v>
      </c>
      <c r="T149" s="96">
        <f t="shared" si="9"/>
        <v>0</v>
      </c>
      <c r="U149" s="96">
        <f t="shared" si="10"/>
        <v>427.70000000000005</v>
      </c>
      <c r="V149" s="93">
        <v>2.85</v>
      </c>
      <c r="W149" s="97">
        <f t="shared" si="11"/>
        <v>430.55000000000007</v>
      </c>
    </row>
    <row r="150" spans="1:23" x14ac:dyDescent="0.25">
      <c r="A150" s="61" t="s">
        <v>243</v>
      </c>
      <c r="B150" s="91">
        <v>41414</v>
      </c>
      <c r="C150" s="92" t="s">
        <v>1501</v>
      </c>
      <c r="D150" s="92" t="s">
        <v>1448</v>
      </c>
      <c r="E150" s="92" t="s">
        <v>1198</v>
      </c>
      <c r="F150" s="92" t="s">
        <v>1235</v>
      </c>
      <c r="G150" s="92" t="s">
        <v>1201</v>
      </c>
      <c r="H150" s="92" t="s">
        <v>1404</v>
      </c>
      <c r="I150" s="92" t="s">
        <v>1256</v>
      </c>
      <c r="J150" s="92" t="s">
        <v>1502</v>
      </c>
      <c r="K150" s="92" t="s">
        <v>1243</v>
      </c>
      <c r="L150" s="92" t="s">
        <v>1260</v>
      </c>
      <c r="M150" s="92" t="s">
        <v>1241</v>
      </c>
      <c r="N150" s="91">
        <v>41416</v>
      </c>
      <c r="O150" s="93">
        <v>13.64</v>
      </c>
      <c r="P150" s="93">
        <v>20.98</v>
      </c>
      <c r="Q150" s="94">
        <v>47</v>
      </c>
      <c r="R150" s="93">
        <f t="shared" si="8"/>
        <v>986.06000000000006</v>
      </c>
      <c r="S150" s="95">
        <v>0.1</v>
      </c>
      <c r="T150" s="96">
        <f t="shared" si="9"/>
        <v>98.606000000000009</v>
      </c>
      <c r="U150" s="96">
        <f t="shared" si="10"/>
        <v>985.96</v>
      </c>
      <c r="V150" s="93">
        <v>1.49</v>
      </c>
      <c r="W150" s="97">
        <f t="shared" si="11"/>
        <v>987.45</v>
      </c>
    </row>
    <row r="151" spans="1:23" x14ac:dyDescent="0.25">
      <c r="A151" s="61" t="s">
        <v>244</v>
      </c>
      <c r="B151" s="91">
        <v>41415</v>
      </c>
      <c r="C151" s="92" t="s">
        <v>1484</v>
      </c>
      <c r="D151" s="92" t="s">
        <v>1281</v>
      </c>
      <c r="E151" s="92" t="s">
        <v>1199</v>
      </c>
      <c r="F151" s="92" t="s">
        <v>1254</v>
      </c>
      <c r="G151" s="92" t="s">
        <v>1202</v>
      </c>
      <c r="H151" s="92" t="s">
        <v>1274</v>
      </c>
      <c r="I151" s="92" t="s">
        <v>1317</v>
      </c>
      <c r="J151" s="92" t="s">
        <v>1441</v>
      </c>
      <c r="K151" s="92" t="s">
        <v>1243</v>
      </c>
      <c r="L151" s="92" t="s">
        <v>1240</v>
      </c>
      <c r="M151" s="92" t="s">
        <v>1241</v>
      </c>
      <c r="N151" s="91">
        <v>41415</v>
      </c>
      <c r="O151" s="93">
        <v>3.42</v>
      </c>
      <c r="P151" s="93">
        <v>8.34</v>
      </c>
      <c r="Q151" s="94">
        <v>24</v>
      </c>
      <c r="R151" s="93">
        <f t="shared" si="8"/>
        <v>200.16</v>
      </c>
      <c r="S151" s="95">
        <v>0.1</v>
      </c>
      <c r="T151" s="96">
        <f t="shared" si="9"/>
        <v>20.016000000000002</v>
      </c>
      <c r="U151" s="96">
        <f t="shared" si="10"/>
        <v>200.06</v>
      </c>
      <c r="V151" s="93">
        <v>2.64</v>
      </c>
      <c r="W151" s="97">
        <f t="shared" si="11"/>
        <v>202.7</v>
      </c>
    </row>
    <row r="152" spans="1:23" x14ac:dyDescent="0.25">
      <c r="A152" s="61" t="s">
        <v>245</v>
      </c>
      <c r="B152" s="91">
        <v>41416</v>
      </c>
      <c r="C152" s="92" t="s">
        <v>1446</v>
      </c>
      <c r="D152" s="92" t="s">
        <v>1395</v>
      </c>
      <c r="E152" s="92" t="s">
        <v>1198</v>
      </c>
      <c r="F152" s="92" t="s">
        <v>1235</v>
      </c>
      <c r="G152" s="92" t="s">
        <v>1201</v>
      </c>
      <c r="H152" s="92" t="s">
        <v>1236</v>
      </c>
      <c r="I152" s="92" t="s">
        <v>1264</v>
      </c>
      <c r="J152" s="92" t="s">
        <v>1405</v>
      </c>
      <c r="K152" s="92" t="s">
        <v>1243</v>
      </c>
      <c r="L152" s="92" t="s">
        <v>1260</v>
      </c>
      <c r="M152" s="92" t="s">
        <v>1250</v>
      </c>
      <c r="N152" s="91">
        <v>41417</v>
      </c>
      <c r="O152" s="93">
        <v>4.59</v>
      </c>
      <c r="P152" s="93">
        <v>7.28</v>
      </c>
      <c r="Q152" s="94">
        <v>2</v>
      </c>
      <c r="R152" s="93">
        <f t="shared" si="8"/>
        <v>14.56</v>
      </c>
      <c r="S152" s="95">
        <v>0.08</v>
      </c>
      <c r="T152" s="96">
        <f t="shared" si="9"/>
        <v>1.1648000000000001</v>
      </c>
      <c r="U152" s="96">
        <f t="shared" si="10"/>
        <v>14.48</v>
      </c>
      <c r="V152" s="93">
        <v>11.15</v>
      </c>
      <c r="W152" s="97">
        <f t="shared" si="11"/>
        <v>25.630000000000003</v>
      </c>
    </row>
    <row r="153" spans="1:23" x14ac:dyDescent="0.25">
      <c r="A153" s="61" t="s">
        <v>246</v>
      </c>
      <c r="B153" s="91">
        <v>41416</v>
      </c>
      <c r="C153" s="92" t="s">
        <v>1503</v>
      </c>
      <c r="D153" s="92" t="s">
        <v>1504</v>
      </c>
      <c r="E153" s="92" t="s">
        <v>1199</v>
      </c>
      <c r="F153" s="92" t="s">
        <v>1254</v>
      </c>
      <c r="G153" s="92" t="s">
        <v>1200</v>
      </c>
      <c r="H153" s="92" t="s">
        <v>1274</v>
      </c>
      <c r="I153" s="92" t="s">
        <v>1264</v>
      </c>
      <c r="J153" s="92" t="s">
        <v>1324</v>
      </c>
      <c r="K153" s="92" t="s">
        <v>1243</v>
      </c>
      <c r="L153" s="92" t="s">
        <v>1260</v>
      </c>
      <c r="M153" s="92" t="s">
        <v>1241</v>
      </c>
      <c r="N153" s="91">
        <v>41418</v>
      </c>
      <c r="O153" s="93">
        <v>1.18</v>
      </c>
      <c r="P153" s="93">
        <v>1.88</v>
      </c>
      <c r="Q153" s="94">
        <v>1</v>
      </c>
      <c r="R153" s="93">
        <f t="shared" si="8"/>
        <v>1.88</v>
      </c>
      <c r="S153" s="95">
        <v>0.05</v>
      </c>
      <c r="T153" s="96">
        <f t="shared" si="9"/>
        <v>9.4E-2</v>
      </c>
      <c r="U153" s="96">
        <f t="shared" si="10"/>
        <v>1.8299999999999998</v>
      </c>
      <c r="V153" s="93">
        <v>1.49</v>
      </c>
      <c r="W153" s="97">
        <f t="shared" si="11"/>
        <v>3.32</v>
      </c>
    </row>
    <row r="154" spans="1:23" x14ac:dyDescent="0.25">
      <c r="A154" s="61" t="s">
        <v>247</v>
      </c>
      <c r="B154" s="91">
        <v>41417</v>
      </c>
      <c r="C154" s="92" t="s">
        <v>1505</v>
      </c>
      <c r="D154" s="92" t="s">
        <v>1506</v>
      </c>
      <c r="E154" s="92" t="s">
        <v>1198</v>
      </c>
      <c r="F154" s="92" t="s">
        <v>1235</v>
      </c>
      <c r="G154" s="92" t="s">
        <v>1203</v>
      </c>
      <c r="H154" s="92" t="s">
        <v>1236</v>
      </c>
      <c r="I154" s="92" t="s">
        <v>1237</v>
      </c>
      <c r="J154" s="92" t="s">
        <v>1507</v>
      </c>
      <c r="K154" s="92" t="s">
        <v>1239</v>
      </c>
      <c r="L154" s="92" t="s">
        <v>1260</v>
      </c>
      <c r="M154" s="92" t="s">
        <v>1250</v>
      </c>
      <c r="N154" s="91">
        <v>41419</v>
      </c>
      <c r="O154" s="93">
        <v>6.4</v>
      </c>
      <c r="P154" s="93">
        <v>29.1</v>
      </c>
      <c r="Q154" s="94">
        <v>33</v>
      </c>
      <c r="R154" s="93">
        <f t="shared" si="8"/>
        <v>960.30000000000007</v>
      </c>
      <c r="S154" s="95">
        <v>0.01</v>
      </c>
      <c r="T154" s="96">
        <f t="shared" si="9"/>
        <v>9.6030000000000015</v>
      </c>
      <c r="U154" s="96">
        <f t="shared" si="10"/>
        <v>960.29000000000008</v>
      </c>
      <c r="V154" s="93">
        <v>4</v>
      </c>
      <c r="W154" s="97">
        <f t="shared" si="11"/>
        <v>964.29000000000008</v>
      </c>
    </row>
    <row r="155" spans="1:23" x14ac:dyDescent="0.25">
      <c r="A155" s="61" t="s">
        <v>248</v>
      </c>
      <c r="B155" s="91">
        <v>41420</v>
      </c>
      <c r="C155" s="92" t="s">
        <v>1508</v>
      </c>
      <c r="D155" s="92" t="s">
        <v>1451</v>
      </c>
      <c r="E155" s="92" t="s">
        <v>1198</v>
      </c>
      <c r="F155" s="92" t="s">
        <v>1235</v>
      </c>
      <c r="G155" s="92" t="s">
        <v>1201</v>
      </c>
      <c r="H155" s="92" t="s">
        <v>1291</v>
      </c>
      <c r="I155" s="92" t="s">
        <v>1264</v>
      </c>
      <c r="J155" s="92" t="s">
        <v>1509</v>
      </c>
      <c r="K155" s="92" t="s">
        <v>1243</v>
      </c>
      <c r="L155" s="92" t="s">
        <v>1260</v>
      </c>
      <c r="M155" s="92" t="s">
        <v>1241</v>
      </c>
      <c r="N155" s="91">
        <v>41420</v>
      </c>
      <c r="O155" s="93">
        <v>3.84</v>
      </c>
      <c r="P155" s="93">
        <v>6.3</v>
      </c>
      <c r="Q155" s="94">
        <v>42</v>
      </c>
      <c r="R155" s="93">
        <f t="shared" si="8"/>
        <v>264.59999999999997</v>
      </c>
      <c r="S155" s="95">
        <v>7.0000000000000007E-2</v>
      </c>
      <c r="T155" s="96">
        <f t="shared" si="9"/>
        <v>18.521999999999998</v>
      </c>
      <c r="U155" s="96">
        <f t="shared" si="10"/>
        <v>264.52999999999997</v>
      </c>
      <c r="V155" s="93">
        <v>0.5</v>
      </c>
      <c r="W155" s="97">
        <f t="shared" si="11"/>
        <v>265.02999999999997</v>
      </c>
    </row>
    <row r="156" spans="1:23" x14ac:dyDescent="0.25">
      <c r="A156" s="61" t="s">
        <v>249</v>
      </c>
      <c r="B156" s="91">
        <v>41421</v>
      </c>
      <c r="C156" s="92" t="s">
        <v>1510</v>
      </c>
      <c r="D156" s="92" t="s">
        <v>1511</v>
      </c>
      <c r="E156" s="92" t="s">
        <v>1198</v>
      </c>
      <c r="F156" s="92" t="s">
        <v>1235</v>
      </c>
      <c r="G156" s="92" t="s">
        <v>1203</v>
      </c>
      <c r="H156" s="92" t="s">
        <v>1236</v>
      </c>
      <c r="I156" s="92" t="s">
        <v>1237</v>
      </c>
      <c r="J156" s="92" t="s">
        <v>1512</v>
      </c>
      <c r="K156" s="92" t="s">
        <v>1239</v>
      </c>
      <c r="L156" s="92" t="s">
        <v>1260</v>
      </c>
      <c r="M156" s="92" t="s">
        <v>1241</v>
      </c>
      <c r="N156" s="91">
        <v>41422</v>
      </c>
      <c r="O156" s="93">
        <v>156.5</v>
      </c>
      <c r="P156" s="93">
        <v>300.97000000000003</v>
      </c>
      <c r="Q156" s="94">
        <v>14</v>
      </c>
      <c r="R156" s="93">
        <f t="shared" si="8"/>
        <v>4213.58</v>
      </c>
      <c r="S156" s="95">
        <v>0.1</v>
      </c>
      <c r="T156" s="96">
        <f t="shared" si="9"/>
        <v>421.358</v>
      </c>
      <c r="U156" s="96">
        <f t="shared" si="10"/>
        <v>4213.4799999999996</v>
      </c>
      <c r="V156" s="93">
        <v>7.18</v>
      </c>
      <c r="W156" s="97">
        <f t="shared" si="11"/>
        <v>4220.66</v>
      </c>
    </row>
    <row r="157" spans="1:23" x14ac:dyDescent="0.25">
      <c r="A157" s="61" t="s">
        <v>250</v>
      </c>
      <c r="B157" s="91">
        <v>41422</v>
      </c>
      <c r="C157" s="92" t="s">
        <v>1513</v>
      </c>
      <c r="D157" s="92" t="s">
        <v>1514</v>
      </c>
      <c r="E157" s="92" t="s">
        <v>1198</v>
      </c>
      <c r="F157" s="92" t="s">
        <v>1235</v>
      </c>
      <c r="G157" s="92" t="s">
        <v>1200</v>
      </c>
      <c r="H157" s="92" t="s">
        <v>1291</v>
      </c>
      <c r="I157" s="92" t="s">
        <v>1248</v>
      </c>
      <c r="J157" s="92" t="s">
        <v>1283</v>
      </c>
      <c r="K157" s="92" t="s">
        <v>1243</v>
      </c>
      <c r="L157" s="92" t="s">
        <v>1244</v>
      </c>
      <c r="M157" s="92" t="s">
        <v>1241</v>
      </c>
      <c r="N157" s="91">
        <v>41426</v>
      </c>
      <c r="O157" s="93">
        <v>2.29</v>
      </c>
      <c r="P157" s="93">
        <v>3.58</v>
      </c>
      <c r="Q157" s="94">
        <v>38</v>
      </c>
      <c r="R157" s="93">
        <f t="shared" si="8"/>
        <v>136.04</v>
      </c>
      <c r="S157" s="95">
        <v>0.06</v>
      </c>
      <c r="T157" s="96">
        <f t="shared" si="9"/>
        <v>8.1623999999999999</v>
      </c>
      <c r="U157" s="96">
        <f t="shared" si="10"/>
        <v>135.97999999999999</v>
      </c>
      <c r="V157" s="93">
        <v>1.63</v>
      </c>
      <c r="W157" s="97">
        <f t="shared" si="11"/>
        <v>137.60999999999999</v>
      </c>
    </row>
    <row r="158" spans="1:23" x14ac:dyDescent="0.25">
      <c r="A158" s="61" t="s">
        <v>251</v>
      </c>
      <c r="B158" s="91">
        <v>41423</v>
      </c>
      <c r="C158" s="92" t="s">
        <v>1322</v>
      </c>
      <c r="D158" s="92" t="s">
        <v>1323</v>
      </c>
      <c r="E158" s="92" t="s">
        <v>1198</v>
      </c>
      <c r="F158" s="92" t="s">
        <v>1235</v>
      </c>
      <c r="G158" s="92" t="s">
        <v>1203</v>
      </c>
      <c r="H158" s="92" t="s">
        <v>1263</v>
      </c>
      <c r="I158" s="92" t="s">
        <v>1317</v>
      </c>
      <c r="J158" s="92" t="s">
        <v>1515</v>
      </c>
      <c r="K158" s="92" t="s">
        <v>1243</v>
      </c>
      <c r="L158" s="92" t="s">
        <v>1260</v>
      </c>
      <c r="M158" s="92" t="s">
        <v>1250</v>
      </c>
      <c r="N158" s="91">
        <v>41423</v>
      </c>
      <c r="O158" s="93">
        <v>2.25</v>
      </c>
      <c r="P158" s="93">
        <v>3.69</v>
      </c>
      <c r="Q158" s="94">
        <v>35</v>
      </c>
      <c r="R158" s="93">
        <f t="shared" si="8"/>
        <v>129.15</v>
      </c>
      <c r="S158" s="95">
        <v>0.03</v>
      </c>
      <c r="T158" s="96">
        <f t="shared" si="9"/>
        <v>3.8744999999999998</v>
      </c>
      <c r="U158" s="96">
        <f t="shared" si="10"/>
        <v>129.12</v>
      </c>
      <c r="V158" s="93">
        <v>2.5</v>
      </c>
      <c r="W158" s="97">
        <f t="shared" si="11"/>
        <v>131.62</v>
      </c>
    </row>
    <row r="159" spans="1:23" x14ac:dyDescent="0.25">
      <c r="A159" s="61" t="s">
        <v>252</v>
      </c>
      <c r="B159" s="91">
        <v>41423</v>
      </c>
      <c r="C159" s="92" t="s">
        <v>1516</v>
      </c>
      <c r="D159" s="92" t="s">
        <v>1262</v>
      </c>
      <c r="E159" s="92" t="s">
        <v>1198</v>
      </c>
      <c r="F159" s="92" t="s">
        <v>1235</v>
      </c>
      <c r="G159" s="92" t="s">
        <v>1201</v>
      </c>
      <c r="H159" s="92" t="s">
        <v>1263</v>
      </c>
      <c r="I159" s="92" t="s">
        <v>1237</v>
      </c>
      <c r="J159" s="92" t="s">
        <v>1517</v>
      </c>
      <c r="K159" s="92" t="s">
        <v>1243</v>
      </c>
      <c r="L159" s="92" t="s">
        <v>1260</v>
      </c>
      <c r="M159" s="92" t="s">
        <v>1250</v>
      </c>
      <c r="N159" s="91">
        <v>41423</v>
      </c>
      <c r="O159" s="93">
        <v>12.39</v>
      </c>
      <c r="P159" s="93">
        <v>19.98</v>
      </c>
      <c r="Q159" s="94">
        <v>13</v>
      </c>
      <c r="R159" s="93">
        <f t="shared" si="8"/>
        <v>259.74</v>
      </c>
      <c r="S159" s="95">
        <v>0.1</v>
      </c>
      <c r="T159" s="96">
        <f t="shared" si="9"/>
        <v>25.974000000000004</v>
      </c>
      <c r="U159" s="96">
        <f t="shared" si="10"/>
        <v>259.64</v>
      </c>
      <c r="V159" s="93">
        <v>5.77</v>
      </c>
      <c r="W159" s="97">
        <f t="shared" si="11"/>
        <v>265.40999999999997</v>
      </c>
    </row>
    <row r="160" spans="1:23" x14ac:dyDescent="0.25">
      <c r="A160" s="61" t="s">
        <v>253</v>
      </c>
      <c r="B160" s="91">
        <v>41425</v>
      </c>
      <c r="C160" s="92" t="s">
        <v>1518</v>
      </c>
      <c r="D160" s="92" t="s">
        <v>1519</v>
      </c>
      <c r="E160" s="92" t="s">
        <v>1198</v>
      </c>
      <c r="F160" s="92" t="s">
        <v>1235</v>
      </c>
      <c r="G160" s="92" t="s">
        <v>1200</v>
      </c>
      <c r="H160" s="92" t="s">
        <v>1404</v>
      </c>
      <c r="I160" s="92" t="s">
        <v>1237</v>
      </c>
      <c r="J160" s="92" t="s">
        <v>1520</v>
      </c>
      <c r="K160" s="92" t="s">
        <v>1243</v>
      </c>
      <c r="L160" s="92" t="s">
        <v>1260</v>
      </c>
      <c r="M160" s="92" t="s">
        <v>1241</v>
      </c>
      <c r="N160" s="91">
        <v>41425</v>
      </c>
      <c r="O160" s="93">
        <v>8.92</v>
      </c>
      <c r="P160" s="93">
        <v>29.74</v>
      </c>
      <c r="Q160" s="94">
        <v>14</v>
      </c>
      <c r="R160" s="93">
        <f t="shared" si="8"/>
        <v>416.35999999999996</v>
      </c>
      <c r="S160" s="95">
        <v>0.02</v>
      </c>
      <c r="T160" s="96">
        <f t="shared" si="9"/>
        <v>8.3271999999999995</v>
      </c>
      <c r="U160" s="96">
        <f t="shared" si="10"/>
        <v>416.34</v>
      </c>
      <c r="V160" s="93">
        <v>6.64</v>
      </c>
      <c r="W160" s="97">
        <f t="shared" si="11"/>
        <v>422.97999999999996</v>
      </c>
    </row>
    <row r="161" spans="1:23" x14ac:dyDescent="0.25">
      <c r="A161" s="61" t="s">
        <v>254</v>
      </c>
      <c r="B161" s="91">
        <v>41425</v>
      </c>
      <c r="C161" s="92" t="s">
        <v>1521</v>
      </c>
      <c r="D161" s="92" t="s">
        <v>1347</v>
      </c>
      <c r="E161" s="92" t="s">
        <v>1198</v>
      </c>
      <c r="F161" s="92" t="s">
        <v>1235</v>
      </c>
      <c r="G161" s="92" t="s">
        <v>1201</v>
      </c>
      <c r="H161" s="92" t="s">
        <v>1236</v>
      </c>
      <c r="I161" s="92" t="s">
        <v>1256</v>
      </c>
      <c r="J161" s="92" t="s">
        <v>1522</v>
      </c>
      <c r="K161" s="92" t="s">
        <v>1239</v>
      </c>
      <c r="L161" s="92" t="s">
        <v>1260</v>
      </c>
      <c r="M161" s="92" t="s">
        <v>1241</v>
      </c>
      <c r="N161" s="91">
        <v>41427</v>
      </c>
      <c r="O161" s="93">
        <v>60.59</v>
      </c>
      <c r="P161" s="93">
        <v>100.98</v>
      </c>
      <c r="Q161" s="94">
        <v>33</v>
      </c>
      <c r="R161" s="93">
        <f t="shared" si="8"/>
        <v>3332.34</v>
      </c>
      <c r="S161" s="95">
        <v>0.05</v>
      </c>
      <c r="T161" s="96">
        <f t="shared" si="9"/>
        <v>166.61700000000002</v>
      </c>
      <c r="U161" s="96">
        <f t="shared" si="10"/>
        <v>3332.29</v>
      </c>
      <c r="V161" s="93">
        <v>7.18</v>
      </c>
      <c r="W161" s="97">
        <f t="shared" si="11"/>
        <v>3339.47</v>
      </c>
    </row>
    <row r="162" spans="1:23" x14ac:dyDescent="0.25">
      <c r="A162" s="61" t="s">
        <v>255</v>
      </c>
      <c r="B162" s="91">
        <v>41425</v>
      </c>
      <c r="C162" s="92" t="s">
        <v>1523</v>
      </c>
      <c r="D162" s="92" t="s">
        <v>1281</v>
      </c>
      <c r="E162" s="92" t="s">
        <v>1199</v>
      </c>
      <c r="F162" s="92" t="s">
        <v>1254</v>
      </c>
      <c r="G162" s="92" t="s">
        <v>1202</v>
      </c>
      <c r="H162" s="92" t="s">
        <v>1274</v>
      </c>
      <c r="I162" s="92" t="s">
        <v>1248</v>
      </c>
      <c r="J162" s="92" t="s">
        <v>1366</v>
      </c>
      <c r="K162" s="92" t="s">
        <v>1243</v>
      </c>
      <c r="L162" s="92" t="s">
        <v>1244</v>
      </c>
      <c r="M162" s="92" t="s">
        <v>1241</v>
      </c>
      <c r="N162" s="91">
        <v>41429</v>
      </c>
      <c r="O162" s="93">
        <v>3.48</v>
      </c>
      <c r="P162" s="93">
        <v>5.43</v>
      </c>
      <c r="Q162" s="94">
        <v>29</v>
      </c>
      <c r="R162" s="93">
        <f t="shared" si="8"/>
        <v>157.47</v>
      </c>
      <c r="S162" s="95">
        <v>7.0000000000000007E-2</v>
      </c>
      <c r="T162" s="96">
        <f t="shared" si="9"/>
        <v>11.022900000000002</v>
      </c>
      <c r="U162" s="96">
        <f t="shared" si="10"/>
        <v>157.4</v>
      </c>
      <c r="V162" s="93">
        <v>0.95</v>
      </c>
      <c r="W162" s="97">
        <f t="shared" si="11"/>
        <v>158.35</v>
      </c>
    </row>
    <row r="163" spans="1:23" x14ac:dyDescent="0.25">
      <c r="A163" s="61" t="s">
        <v>256</v>
      </c>
      <c r="B163" s="91">
        <v>41427</v>
      </c>
      <c r="C163" s="92" t="s">
        <v>1524</v>
      </c>
      <c r="D163" s="92" t="s">
        <v>1458</v>
      </c>
      <c r="E163" s="92" t="s">
        <v>1198</v>
      </c>
      <c r="F163" s="92" t="s">
        <v>1235</v>
      </c>
      <c r="G163" s="92" t="s">
        <v>1201</v>
      </c>
      <c r="H163" s="92" t="s">
        <v>1404</v>
      </c>
      <c r="I163" s="92" t="s">
        <v>1248</v>
      </c>
      <c r="J163" s="92" t="s">
        <v>1392</v>
      </c>
      <c r="K163" s="92" t="s">
        <v>1239</v>
      </c>
      <c r="L163" s="92" t="s">
        <v>1240</v>
      </c>
      <c r="M163" s="92" t="s">
        <v>1241</v>
      </c>
      <c r="N163" s="91">
        <v>41429</v>
      </c>
      <c r="O163" s="93">
        <v>20.18</v>
      </c>
      <c r="P163" s="93">
        <v>35.409999999999997</v>
      </c>
      <c r="Q163" s="94">
        <v>38</v>
      </c>
      <c r="R163" s="93">
        <f t="shared" si="8"/>
        <v>1345.58</v>
      </c>
      <c r="S163" s="95">
        <v>0.03</v>
      </c>
      <c r="T163" s="96">
        <f t="shared" si="9"/>
        <v>40.367399999999996</v>
      </c>
      <c r="U163" s="96">
        <f t="shared" si="10"/>
        <v>1345.55</v>
      </c>
      <c r="V163" s="93">
        <v>1.99</v>
      </c>
      <c r="W163" s="97">
        <f t="shared" si="11"/>
        <v>1347.54</v>
      </c>
    </row>
    <row r="164" spans="1:23" x14ac:dyDescent="0.25">
      <c r="A164" s="61" t="s">
        <v>257</v>
      </c>
      <c r="B164" s="91">
        <v>41429</v>
      </c>
      <c r="C164" s="92" t="s">
        <v>1525</v>
      </c>
      <c r="D164" s="92" t="s">
        <v>1526</v>
      </c>
      <c r="E164" s="92" t="s">
        <v>1198</v>
      </c>
      <c r="F164" s="92" t="s">
        <v>1235</v>
      </c>
      <c r="G164" s="92" t="s">
        <v>1201</v>
      </c>
      <c r="H164" s="92" t="s">
        <v>1286</v>
      </c>
      <c r="I164" s="92" t="s">
        <v>1256</v>
      </c>
      <c r="J164" s="92" t="s">
        <v>1527</v>
      </c>
      <c r="K164" s="92" t="s">
        <v>1243</v>
      </c>
      <c r="L164" s="92" t="s">
        <v>1244</v>
      </c>
      <c r="M164" s="92" t="s">
        <v>1241</v>
      </c>
      <c r="N164" s="91">
        <v>41431</v>
      </c>
      <c r="O164" s="93">
        <v>1.76</v>
      </c>
      <c r="P164" s="93">
        <v>3.38</v>
      </c>
      <c r="Q164" s="94">
        <v>34</v>
      </c>
      <c r="R164" s="93">
        <f t="shared" si="8"/>
        <v>114.92</v>
      </c>
      <c r="S164" s="95">
        <v>7.0000000000000007E-2</v>
      </c>
      <c r="T164" s="96">
        <f t="shared" si="9"/>
        <v>8.0444000000000013</v>
      </c>
      <c r="U164" s="96">
        <f t="shared" si="10"/>
        <v>114.85000000000001</v>
      </c>
      <c r="V164" s="93">
        <v>0.85</v>
      </c>
      <c r="W164" s="97">
        <f t="shared" si="11"/>
        <v>115.7</v>
      </c>
    </row>
    <row r="165" spans="1:23" x14ac:dyDescent="0.25">
      <c r="A165" s="61" t="s">
        <v>258</v>
      </c>
      <c r="B165" s="91">
        <v>41430</v>
      </c>
      <c r="C165" s="92" t="s">
        <v>1528</v>
      </c>
      <c r="D165" s="92" t="s">
        <v>1234</v>
      </c>
      <c r="E165" s="92" t="s">
        <v>1198</v>
      </c>
      <c r="F165" s="92" t="s">
        <v>1235</v>
      </c>
      <c r="G165" s="92" t="s">
        <v>1203</v>
      </c>
      <c r="H165" s="92" t="s">
        <v>1236</v>
      </c>
      <c r="I165" s="92" t="s">
        <v>1264</v>
      </c>
      <c r="J165" s="92" t="s">
        <v>1436</v>
      </c>
      <c r="K165" s="92" t="s">
        <v>1243</v>
      </c>
      <c r="L165" s="92" t="s">
        <v>1260</v>
      </c>
      <c r="M165" s="92" t="s">
        <v>1250</v>
      </c>
      <c r="N165" s="91">
        <v>41432</v>
      </c>
      <c r="O165" s="93">
        <v>36.020000000000003</v>
      </c>
      <c r="P165" s="93">
        <v>58.1</v>
      </c>
      <c r="Q165" s="94">
        <v>10</v>
      </c>
      <c r="R165" s="93">
        <f t="shared" si="8"/>
        <v>581</v>
      </c>
      <c r="S165" s="95">
        <v>0.09</v>
      </c>
      <c r="T165" s="96">
        <f t="shared" si="9"/>
        <v>52.29</v>
      </c>
      <c r="U165" s="96">
        <f t="shared" si="10"/>
        <v>580.91</v>
      </c>
      <c r="V165" s="93">
        <v>1.49</v>
      </c>
      <c r="W165" s="97">
        <f t="shared" si="11"/>
        <v>582.4</v>
      </c>
    </row>
    <row r="166" spans="1:23" x14ac:dyDescent="0.25">
      <c r="A166" s="61" t="s">
        <v>259</v>
      </c>
      <c r="B166" s="91">
        <v>41430</v>
      </c>
      <c r="C166" s="92" t="s">
        <v>1529</v>
      </c>
      <c r="D166" s="92" t="s">
        <v>1454</v>
      </c>
      <c r="E166" s="92" t="s">
        <v>1198</v>
      </c>
      <c r="F166" s="92" t="s">
        <v>1235</v>
      </c>
      <c r="G166" s="92" t="s">
        <v>1200</v>
      </c>
      <c r="H166" s="92" t="s">
        <v>1304</v>
      </c>
      <c r="I166" s="92" t="s">
        <v>1248</v>
      </c>
      <c r="J166" s="92" t="s">
        <v>1512</v>
      </c>
      <c r="K166" s="92" t="s">
        <v>1239</v>
      </c>
      <c r="L166" s="92" t="s">
        <v>1260</v>
      </c>
      <c r="M166" s="92" t="s">
        <v>1241</v>
      </c>
      <c r="N166" s="91">
        <v>41430</v>
      </c>
      <c r="O166" s="93">
        <v>156.5</v>
      </c>
      <c r="P166" s="93">
        <v>300.97000000000003</v>
      </c>
      <c r="Q166" s="94">
        <v>38</v>
      </c>
      <c r="R166" s="93">
        <f t="shared" si="8"/>
        <v>11436.86</v>
      </c>
      <c r="S166" s="95">
        <v>0.09</v>
      </c>
      <c r="T166" s="96">
        <f t="shared" si="9"/>
        <v>1029.3173999999999</v>
      </c>
      <c r="U166" s="96">
        <f t="shared" si="10"/>
        <v>11436.77</v>
      </c>
      <c r="V166" s="93">
        <v>7.18</v>
      </c>
      <c r="W166" s="97">
        <f t="shared" si="11"/>
        <v>11443.95</v>
      </c>
    </row>
    <row r="167" spans="1:23" x14ac:dyDescent="0.25">
      <c r="A167" s="61" t="s">
        <v>260</v>
      </c>
      <c r="B167" s="91">
        <v>41431</v>
      </c>
      <c r="C167" s="92" t="s">
        <v>1402</v>
      </c>
      <c r="D167" s="92" t="s">
        <v>1403</v>
      </c>
      <c r="E167" s="92" t="s">
        <v>1198</v>
      </c>
      <c r="F167" s="92" t="s">
        <v>1235</v>
      </c>
      <c r="G167" s="92" t="s">
        <v>1201</v>
      </c>
      <c r="H167" s="92" t="s">
        <v>1404</v>
      </c>
      <c r="I167" s="92" t="s">
        <v>1237</v>
      </c>
      <c r="J167" s="92" t="s">
        <v>1441</v>
      </c>
      <c r="K167" s="92" t="s">
        <v>1243</v>
      </c>
      <c r="L167" s="92" t="s">
        <v>1240</v>
      </c>
      <c r="M167" s="92" t="s">
        <v>1241</v>
      </c>
      <c r="N167" s="91">
        <v>41433</v>
      </c>
      <c r="O167" s="93">
        <v>3.42</v>
      </c>
      <c r="P167" s="93">
        <v>8.34</v>
      </c>
      <c r="Q167" s="94">
        <v>30</v>
      </c>
      <c r="R167" s="93">
        <f t="shared" si="8"/>
        <v>250.2</v>
      </c>
      <c r="S167" s="95">
        <v>0.02</v>
      </c>
      <c r="T167" s="96">
        <f t="shared" si="9"/>
        <v>5.0039999999999996</v>
      </c>
      <c r="U167" s="96">
        <f t="shared" si="10"/>
        <v>250.17999999999998</v>
      </c>
      <c r="V167" s="93">
        <v>2.64</v>
      </c>
      <c r="W167" s="97">
        <f t="shared" si="11"/>
        <v>252.81999999999996</v>
      </c>
    </row>
    <row r="168" spans="1:23" x14ac:dyDescent="0.25">
      <c r="A168" s="61" t="s">
        <v>261</v>
      </c>
      <c r="B168" s="91">
        <v>41432</v>
      </c>
      <c r="C168" s="92" t="s">
        <v>1530</v>
      </c>
      <c r="D168" s="92" t="s">
        <v>1398</v>
      </c>
      <c r="E168" s="92" t="s">
        <v>1198</v>
      </c>
      <c r="F168" s="92" t="s">
        <v>1235</v>
      </c>
      <c r="G168" s="92" t="s">
        <v>1200</v>
      </c>
      <c r="H168" s="92" t="s">
        <v>1269</v>
      </c>
      <c r="I168" s="92" t="s">
        <v>1256</v>
      </c>
      <c r="J168" s="92" t="s">
        <v>1522</v>
      </c>
      <c r="K168" s="92" t="s">
        <v>1239</v>
      </c>
      <c r="L168" s="92" t="s">
        <v>1260</v>
      </c>
      <c r="M168" s="92" t="s">
        <v>1241</v>
      </c>
      <c r="N168" s="91">
        <v>41433</v>
      </c>
      <c r="O168" s="93">
        <v>60.59</v>
      </c>
      <c r="P168" s="93">
        <v>100.98</v>
      </c>
      <c r="Q168" s="94">
        <v>29</v>
      </c>
      <c r="R168" s="93">
        <f t="shared" si="8"/>
        <v>2928.42</v>
      </c>
      <c r="S168" s="95">
        <v>0.03</v>
      </c>
      <c r="T168" s="96">
        <f t="shared" si="9"/>
        <v>87.852599999999995</v>
      </c>
      <c r="U168" s="96">
        <f t="shared" si="10"/>
        <v>2928.39</v>
      </c>
      <c r="V168" s="93">
        <v>7.18</v>
      </c>
      <c r="W168" s="97">
        <f t="shared" si="11"/>
        <v>2935.5699999999997</v>
      </c>
    </row>
    <row r="169" spans="1:23" x14ac:dyDescent="0.25">
      <c r="A169" s="61" t="s">
        <v>262</v>
      </c>
      <c r="B169" s="91">
        <v>41434</v>
      </c>
      <c r="C169" s="92" t="s">
        <v>1531</v>
      </c>
      <c r="D169" s="92" t="s">
        <v>1532</v>
      </c>
      <c r="E169" s="92" t="s">
        <v>1198</v>
      </c>
      <c r="F169" s="92" t="s">
        <v>1235</v>
      </c>
      <c r="G169" s="92" t="s">
        <v>1200</v>
      </c>
      <c r="H169" s="92" t="s">
        <v>1263</v>
      </c>
      <c r="I169" s="92" t="s">
        <v>1256</v>
      </c>
      <c r="J169" s="92" t="s">
        <v>1533</v>
      </c>
      <c r="K169" s="92" t="s">
        <v>1243</v>
      </c>
      <c r="L169" s="92" t="s">
        <v>1260</v>
      </c>
      <c r="M169" s="92" t="s">
        <v>1241</v>
      </c>
      <c r="N169" s="91">
        <v>41434</v>
      </c>
      <c r="O169" s="93">
        <v>178.83</v>
      </c>
      <c r="P169" s="93">
        <v>415.88</v>
      </c>
      <c r="Q169" s="94">
        <v>2</v>
      </c>
      <c r="R169" s="93">
        <f t="shared" si="8"/>
        <v>831.76</v>
      </c>
      <c r="S169" s="95">
        <v>7.0000000000000007E-2</v>
      </c>
      <c r="T169" s="96">
        <f t="shared" si="9"/>
        <v>58.223200000000006</v>
      </c>
      <c r="U169" s="96">
        <f t="shared" si="10"/>
        <v>831.68999999999994</v>
      </c>
      <c r="V169" s="93">
        <v>11.37</v>
      </c>
      <c r="W169" s="97">
        <f t="shared" si="11"/>
        <v>843.06</v>
      </c>
    </row>
    <row r="170" spans="1:23" x14ac:dyDescent="0.25">
      <c r="A170" s="61" t="s">
        <v>263</v>
      </c>
      <c r="B170" s="91">
        <v>41435</v>
      </c>
      <c r="C170" s="92" t="s">
        <v>1534</v>
      </c>
      <c r="D170" s="92" t="s">
        <v>1532</v>
      </c>
      <c r="E170" s="92" t="s">
        <v>1198</v>
      </c>
      <c r="F170" s="92" t="s">
        <v>1235</v>
      </c>
      <c r="G170" s="92" t="s">
        <v>1201</v>
      </c>
      <c r="H170" s="92" t="s">
        <v>1263</v>
      </c>
      <c r="I170" s="92" t="s">
        <v>1237</v>
      </c>
      <c r="J170" s="92" t="s">
        <v>1321</v>
      </c>
      <c r="K170" s="92" t="s">
        <v>1243</v>
      </c>
      <c r="L170" s="92" t="s">
        <v>1244</v>
      </c>
      <c r="M170" s="92" t="s">
        <v>1241</v>
      </c>
      <c r="N170" s="91">
        <v>41437</v>
      </c>
      <c r="O170" s="93">
        <v>2.52</v>
      </c>
      <c r="P170" s="93">
        <v>4</v>
      </c>
      <c r="Q170" s="94">
        <v>39</v>
      </c>
      <c r="R170" s="93">
        <f t="shared" si="8"/>
        <v>156</v>
      </c>
      <c r="S170" s="95">
        <v>0.08</v>
      </c>
      <c r="T170" s="96">
        <f t="shared" si="9"/>
        <v>12.48</v>
      </c>
      <c r="U170" s="96">
        <f t="shared" si="10"/>
        <v>155.91999999999999</v>
      </c>
      <c r="V170" s="93">
        <v>1.3</v>
      </c>
      <c r="W170" s="97">
        <f t="shared" si="11"/>
        <v>157.22</v>
      </c>
    </row>
    <row r="171" spans="1:23" x14ac:dyDescent="0.25">
      <c r="A171" s="61" t="s">
        <v>264</v>
      </c>
      <c r="B171" s="91">
        <v>41436</v>
      </c>
      <c r="C171" s="92" t="s">
        <v>1535</v>
      </c>
      <c r="D171" s="92" t="s">
        <v>1532</v>
      </c>
      <c r="E171" s="92" t="s">
        <v>1198</v>
      </c>
      <c r="F171" s="92" t="s">
        <v>1235</v>
      </c>
      <c r="G171" s="92" t="s">
        <v>1202</v>
      </c>
      <c r="H171" s="92" t="s">
        <v>1263</v>
      </c>
      <c r="I171" s="92" t="s">
        <v>1248</v>
      </c>
      <c r="J171" s="92" t="s">
        <v>1536</v>
      </c>
      <c r="K171" s="92" t="s">
        <v>1243</v>
      </c>
      <c r="L171" s="92" t="s">
        <v>1260</v>
      </c>
      <c r="M171" s="92" t="s">
        <v>1241</v>
      </c>
      <c r="N171" s="91">
        <v>41438</v>
      </c>
      <c r="O171" s="93">
        <v>19.829999999999998</v>
      </c>
      <c r="P171" s="93">
        <v>30.98</v>
      </c>
      <c r="Q171" s="94">
        <v>49</v>
      </c>
      <c r="R171" s="93">
        <f t="shared" si="8"/>
        <v>1518.02</v>
      </c>
      <c r="S171" s="95">
        <v>0.09</v>
      </c>
      <c r="T171" s="96">
        <f t="shared" si="9"/>
        <v>136.62180000000001</v>
      </c>
      <c r="U171" s="96">
        <f t="shared" si="10"/>
        <v>1517.93</v>
      </c>
      <c r="V171" s="93">
        <v>19.510000000000002</v>
      </c>
      <c r="W171" s="97">
        <f t="shared" si="11"/>
        <v>1537.44</v>
      </c>
    </row>
    <row r="172" spans="1:23" x14ac:dyDescent="0.25">
      <c r="A172" s="61" t="s">
        <v>265</v>
      </c>
      <c r="B172" s="91">
        <v>41440</v>
      </c>
      <c r="C172" s="92" t="s">
        <v>1537</v>
      </c>
      <c r="D172" s="92" t="s">
        <v>1408</v>
      </c>
      <c r="E172" s="92" t="s">
        <v>1198</v>
      </c>
      <c r="F172" s="92" t="s">
        <v>1235</v>
      </c>
      <c r="G172" s="92" t="s">
        <v>1201</v>
      </c>
      <c r="H172" s="92" t="s">
        <v>1409</v>
      </c>
      <c r="I172" s="92" t="s">
        <v>1237</v>
      </c>
      <c r="J172" s="92" t="s">
        <v>1512</v>
      </c>
      <c r="K172" s="92" t="s">
        <v>1239</v>
      </c>
      <c r="L172" s="92" t="s">
        <v>1260</v>
      </c>
      <c r="M172" s="92" t="s">
        <v>1241</v>
      </c>
      <c r="N172" s="91">
        <v>41442</v>
      </c>
      <c r="O172" s="93">
        <v>156.5</v>
      </c>
      <c r="P172" s="93">
        <v>300.97000000000003</v>
      </c>
      <c r="Q172" s="94">
        <v>5</v>
      </c>
      <c r="R172" s="93">
        <f t="shared" si="8"/>
        <v>1504.8500000000001</v>
      </c>
      <c r="S172" s="95">
        <v>7.0000000000000007E-2</v>
      </c>
      <c r="T172" s="96">
        <f t="shared" si="9"/>
        <v>105.33950000000002</v>
      </c>
      <c r="U172" s="96">
        <f t="shared" si="10"/>
        <v>1504.7800000000002</v>
      </c>
      <c r="V172" s="93">
        <v>7.18</v>
      </c>
      <c r="W172" s="97">
        <f t="shared" si="11"/>
        <v>1511.9600000000003</v>
      </c>
    </row>
    <row r="173" spans="1:23" x14ac:dyDescent="0.25">
      <c r="A173" s="61" t="s">
        <v>266</v>
      </c>
      <c r="B173" s="91">
        <v>41440</v>
      </c>
      <c r="C173" s="92" t="s">
        <v>1538</v>
      </c>
      <c r="D173" s="92" t="s">
        <v>1461</v>
      </c>
      <c r="E173" s="92" t="s">
        <v>1199</v>
      </c>
      <c r="F173" s="92" t="s">
        <v>1254</v>
      </c>
      <c r="G173" s="92" t="s">
        <v>1202</v>
      </c>
      <c r="H173" s="92" t="s">
        <v>1255</v>
      </c>
      <c r="I173" s="92" t="s">
        <v>1317</v>
      </c>
      <c r="J173" s="92" t="s">
        <v>1539</v>
      </c>
      <c r="K173" s="92" t="s">
        <v>1243</v>
      </c>
      <c r="L173" s="92" t="s">
        <v>1244</v>
      </c>
      <c r="M173" s="92" t="s">
        <v>1250</v>
      </c>
      <c r="N173" s="91">
        <v>41442</v>
      </c>
      <c r="O173" s="93">
        <v>2.9</v>
      </c>
      <c r="P173" s="93">
        <v>4.76</v>
      </c>
      <c r="Q173" s="94">
        <v>27</v>
      </c>
      <c r="R173" s="93">
        <f t="shared" si="8"/>
        <v>128.51999999999998</v>
      </c>
      <c r="S173" s="95">
        <v>7.0000000000000007E-2</v>
      </c>
      <c r="T173" s="96">
        <f t="shared" si="9"/>
        <v>8.9963999999999995</v>
      </c>
      <c r="U173" s="96">
        <f t="shared" si="10"/>
        <v>128.44999999999999</v>
      </c>
      <c r="V173" s="93">
        <v>0.88</v>
      </c>
      <c r="W173" s="97">
        <f t="shared" si="11"/>
        <v>129.32999999999998</v>
      </c>
    </row>
    <row r="174" spans="1:23" x14ac:dyDescent="0.25">
      <c r="A174" s="61" t="s">
        <v>267</v>
      </c>
      <c r="B174" s="91">
        <v>41441</v>
      </c>
      <c r="C174" s="92" t="s">
        <v>1540</v>
      </c>
      <c r="D174" s="92" t="s">
        <v>1340</v>
      </c>
      <c r="E174" s="92" t="s">
        <v>1199</v>
      </c>
      <c r="F174" s="92" t="s">
        <v>1254</v>
      </c>
      <c r="G174" s="92" t="s">
        <v>1200</v>
      </c>
      <c r="H174" s="92" t="s">
        <v>1255</v>
      </c>
      <c r="I174" s="92" t="s">
        <v>1248</v>
      </c>
      <c r="J174" s="92" t="s">
        <v>1512</v>
      </c>
      <c r="K174" s="92" t="s">
        <v>1239</v>
      </c>
      <c r="L174" s="92" t="s">
        <v>1260</v>
      </c>
      <c r="M174" s="92" t="s">
        <v>1241</v>
      </c>
      <c r="N174" s="91">
        <v>41441</v>
      </c>
      <c r="O174" s="93">
        <v>156.5</v>
      </c>
      <c r="P174" s="93">
        <v>300.97000000000003</v>
      </c>
      <c r="Q174" s="94">
        <v>1</v>
      </c>
      <c r="R174" s="93">
        <f t="shared" si="8"/>
        <v>300.97000000000003</v>
      </c>
      <c r="S174" s="95">
        <v>0.06</v>
      </c>
      <c r="T174" s="96">
        <f t="shared" si="9"/>
        <v>18.058199999999999</v>
      </c>
      <c r="U174" s="96">
        <f t="shared" si="10"/>
        <v>300.91000000000003</v>
      </c>
      <c r="V174" s="93">
        <v>7.18</v>
      </c>
      <c r="W174" s="97">
        <f t="shared" si="11"/>
        <v>308.09000000000003</v>
      </c>
    </row>
    <row r="175" spans="1:23" x14ac:dyDescent="0.25">
      <c r="A175" s="61" t="s">
        <v>268</v>
      </c>
      <c r="B175" s="91">
        <v>41445</v>
      </c>
      <c r="C175" s="92" t="s">
        <v>1447</v>
      </c>
      <c r="D175" s="92" t="s">
        <v>1448</v>
      </c>
      <c r="E175" s="92" t="s">
        <v>1198</v>
      </c>
      <c r="F175" s="92" t="s">
        <v>1235</v>
      </c>
      <c r="G175" s="92" t="s">
        <v>1201</v>
      </c>
      <c r="H175" s="92" t="s">
        <v>1404</v>
      </c>
      <c r="I175" s="92" t="s">
        <v>1237</v>
      </c>
      <c r="J175" s="92" t="s">
        <v>1283</v>
      </c>
      <c r="K175" s="92" t="s">
        <v>1243</v>
      </c>
      <c r="L175" s="92" t="s">
        <v>1244</v>
      </c>
      <c r="M175" s="92" t="s">
        <v>1241</v>
      </c>
      <c r="N175" s="91">
        <v>41446</v>
      </c>
      <c r="O175" s="93">
        <v>2.29</v>
      </c>
      <c r="P175" s="93">
        <v>3.58</v>
      </c>
      <c r="Q175" s="94">
        <v>10</v>
      </c>
      <c r="R175" s="93">
        <f t="shared" si="8"/>
        <v>35.799999999999997</v>
      </c>
      <c r="S175" s="95">
        <v>0.05</v>
      </c>
      <c r="T175" s="96">
        <f t="shared" si="9"/>
        <v>1.79</v>
      </c>
      <c r="U175" s="96">
        <f t="shared" si="10"/>
        <v>35.75</v>
      </c>
      <c r="V175" s="93">
        <v>1.63</v>
      </c>
      <c r="W175" s="97">
        <f t="shared" si="11"/>
        <v>37.380000000000003</v>
      </c>
    </row>
    <row r="176" spans="1:23" x14ac:dyDescent="0.25">
      <c r="A176" s="61" t="s">
        <v>269</v>
      </c>
      <c r="B176" s="91">
        <v>41446</v>
      </c>
      <c r="C176" s="92" t="s">
        <v>1541</v>
      </c>
      <c r="D176" s="92" t="s">
        <v>1278</v>
      </c>
      <c r="E176" s="92" t="s">
        <v>1198</v>
      </c>
      <c r="F176" s="92" t="s">
        <v>1235</v>
      </c>
      <c r="G176" s="92" t="s">
        <v>1200</v>
      </c>
      <c r="H176" s="92" t="s">
        <v>1236</v>
      </c>
      <c r="I176" s="92" t="s">
        <v>1237</v>
      </c>
      <c r="J176" s="92" t="s">
        <v>1421</v>
      </c>
      <c r="K176" s="92" t="s">
        <v>1243</v>
      </c>
      <c r="L176" s="92" t="s">
        <v>1260</v>
      </c>
      <c r="M176" s="92" t="s">
        <v>1241</v>
      </c>
      <c r="N176" s="91">
        <v>41447</v>
      </c>
      <c r="O176" s="93">
        <v>99.39</v>
      </c>
      <c r="P176" s="93">
        <v>162.93</v>
      </c>
      <c r="Q176" s="94">
        <v>7</v>
      </c>
      <c r="R176" s="93">
        <f t="shared" si="8"/>
        <v>1140.51</v>
      </c>
      <c r="S176" s="95">
        <v>0.03</v>
      </c>
      <c r="T176" s="96">
        <f t="shared" si="9"/>
        <v>34.215299999999999</v>
      </c>
      <c r="U176" s="96">
        <f t="shared" si="10"/>
        <v>1140.48</v>
      </c>
      <c r="V176" s="93">
        <v>19.989999999999998</v>
      </c>
      <c r="W176" s="97">
        <f t="shared" si="11"/>
        <v>1160.47</v>
      </c>
    </row>
    <row r="177" spans="1:23" x14ac:dyDescent="0.25">
      <c r="A177" s="61" t="s">
        <v>270</v>
      </c>
      <c r="B177" s="91">
        <v>41446</v>
      </c>
      <c r="C177" s="92" t="s">
        <v>1542</v>
      </c>
      <c r="D177" s="92" t="s">
        <v>1253</v>
      </c>
      <c r="E177" s="92" t="s">
        <v>1199</v>
      </c>
      <c r="F177" s="92" t="s">
        <v>1254</v>
      </c>
      <c r="G177" s="92" t="s">
        <v>1201</v>
      </c>
      <c r="H177" s="92" t="s">
        <v>1255</v>
      </c>
      <c r="I177" s="92" t="s">
        <v>1317</v>
      </c>
      <c r="J177" s="92" t="s">
        <v>1314</v>
      </c>
      <c r="K177" s="92" t="s">
        <v>1243</v>
      </c>
      <c r="L177" s="92" t="s">
        <v>1244</v>
      </c>
      <c r="M177" s="92" t="s">
        <v>1250</v>
      </c>
      <c r="N177" s="91">
        <v>41448</v>
      </c>
      <c r="O177" s="93">
        <v>1.6</v>
      </c>
      <c r="P177" s="93">
        <v>2.62</v>
      </c>
      <c r="Q177" s="94">
        <v>34</v>
      </c>
      <c r="R177" s="93">
        <f t="shared" si="8"/>
        <v>89.08</v>
      </c>
      <c r="S177" s="95">
        <v>0.08</v>
      </c>
      <c r="T177" s="96">
        <f t="shared" si="9"/>
        <v>7.1264000000000003</v>
      </c>
      <c r="U177" s="96">
        <f t="shared" si="10"/>
        <v>89</v>
      </c>
      <c r="V177" s="93">
        <v>0.8</v>
      </c>
      <c r="W177" s="97">
        <f t="shared" si="11"/>
        <v>89.8</v>
      </c>
    </row>
    <row r="178" spans="1:23" x14ac:dyDescent="0.25">
      <c r="A178" s="61" t="s">
        <v>271</v>
      </c>
      <c r="B178" s="91">
        <v>41449</v>
      </c>
      <c r="C178" s="92" t="s">
        <v>1543</v>
      </c>
      <c r="D178" s="92" t="s">
        <v>1544</v>
      </c>
      <c r="E178" s="92" t="s">
        <v>1198</v>
      </c>
      <c r="F178" s="92" t="s">
        <v>1235</v>
      </c>
      <c r="G178" s="92" t="s">
        <v>1200</v>
      </c>
      <c r="H178" s="92" t="s">
        <v>1409</v>
      </c>
      <c r="I178" s="92" t="s">
        <v>1317</v>
      </c>
      <c r="J178" s="92" t="s">
        <v>1259</v>
      </c>
      <c r="K178" s="92" t="s">
        <v>1243</v>
      </c>
      <c r="L178" s="92" t="s">
        <v>1260</v>
      </c>
      <c r="M178" s="92" t="s">
        <v>1241</v>
      </c>
      <c r="N178" s="91">
        <v>41450</v>
      </c>
      <c r="O178" s="93">
        <v>3.4</v>
      </c>
      <c r="P178" s="93">
        <v>5.4</v>
      </c>
      <c r="Q178" s="94">
        <v>25</v>
      </c>
      <c r="R178" s="93">
        <f t="shared" si="8"/>
        <v>135</v>
      </c>
      <c r="S178" s="95">
        <v>0.09</v>
      </c>
      <c r="T178" s="96">
        <f t="shared" si="9"/>
        <v>12.15</v>
      </c>
      <c r="U178" s="96">
        <f t="shared" si="10"/>
        <v>134.91</v>
      </c>
      <c r="V178" s="93">
        <v>7.78</v>
      </c>
      <c r="W178" s="97">
        <f t="shared" si="11"/>
        <v>142.69</v>
      </c>
    </row>
    <row r="179" spans="1:23" x14ac:dyDescent="0.25">
      <c r="A179" s="61" t="s">
        <v>272</v>
      </c>
      <c r="B179" s="91">
        <v>41450</v>
      </c>
      <c r="C179" s="92" t="s">
        <v>1545</v>
      </c>
      <c r="D179" s="92" t="s">
        <v>1299</v>
      </c>
      <c r="E179" s="92" t="s">
        <v>1198</v>
      </c>
      <c r="F179" s="92" t="s">
        <v>1235</v>
      </c>
      <c r="G179" s="92" t="s">
        <v>1203</v>
      </c>
      <c r="H179" s="92" t="s">
        <v>1236</v>
      </c>
      <c r="I179" s="92" t="s">
        <v>1317</v>
      </c>
      <c r="J179" s="92" t="s">
        <v>1359</v>
      </c>
      <c r="K179" s="92" t="s">
        <v>1243</v>
      </c>
      <c r="L179" s="92" t="s">
        <v>1244</v>
      </c>
      <c r="M179" s="92" t="s">
        <v>1241</v>
      </c>
      <c r="N179" s="91">
        <v>41451</v>
      </c>
      <c r="O179" s="93">
        <v>11.11</v>
      </c>
      <c r="P179" s="93">
        <v>19.84</v>
      </c>
      <c r="Q179" s="94">
        <v>26</v>
      </c>
      <c r="R179" s="93">
        <f t="shared" si="8"/>
        <v>515.84</v>
      </c>
      <c r="S179" s="95">
        <v>7.0000000000000007E-2</v>
      </c>
      <c r="T179" s="96">
        <f t="shared" si="9"/>
        <v>36.108800000000002</v>
      </c>
      <c r="U179" s="96">
        <f t="shared" si="10"/>
        <v>515.77</v>
      </c>
      <c r="V179" s="93">
        <v>4.0999999999999996</v>
      </c>
      <c r="W179" s="97">
        <f t="shared" si="11"/>
        <v>519.87</v>
      </c>
    </row>
    <row r="180" spans="1:23" x14ac:dyDescent="0.25">
      <c r="A180" s="61" t="s">
        <v>273</v>
      </c>
      <c r="B180" s="91">
        <v>41451</v>
      </c>
      <c r="C180" s="92" t="s">
        <v>1495</v>
      </c>
      <c r="D180" s="92" t="s">
        <v>1496</v>
      </c>
      <c r="E180" s="92" t="s">
        <v>1198</v>
      </c>
      <c r="F180" s="92" t="s">
        <v>1235</v>
      </c>
      <c r="G180" s="92" t="s">
        <v>1200</v>
      </c>
      <c r="H180" s="92" t="s">
        <v>1313</v>
      </c>
      <c r="I180" s="92" t="s">
        <v>1264</v>
      </c>
      <c r="J180" s="92" t="s">
        <v>1449</v>
      </c>
      <c r="K180" s="92" t="s">
        <v>1243</v>
      </c>
      <c r="L180" s="92" t="s">
        <v>1244</v>
      </c>
      <c r="M180" s="92" t="s">
        <v>1241</v>
      </c>
      <c r="N180" s="91">
        <v>41452</v>
      </c>
      <c r="O180" s="93">
        <v>1.82</v>
      </c>
      <c r="P180" s="93">
        <v>2.98</v>
      </c>
      <c r="Q180" s="94">
        <v>3</v>
      </c>
      <c r="R180" s="93">
        <f t="shared" si="8"/>
        <v>8.94</v>
      </c>
      <c r="S180" s="95">
        <v>0.09</v>
      </c>
      <c r="T180" s="96">
        <f t="shared" si="9"/>
        <v>0.80459999999999987</v>
      </c>
      <c r="U180" s="96">
        <f t="shared" si="10"/>
        <v>8.85</v>
      </c>
      <c r="V180" s="93">
        <v>1.58</v>
      </c>
      <c r="W180" s="97">
        <f t="shared" si="11"/>
        <v>10.43</v>
      </c>
    </row>
    <row r="181" spans="1:23" x14ac:dyDescent="0.25">
      <c r="A181" s="61" t="s">
        <v>274</v>
      </c>
      <c r="B181" s="91">
        <v>41454</v>
      </c>
      <c r="C181" s="92" t="s">
        <v>1546</v>
      </c>
      <c r="D181" s="92" t="s">
        <v>1430</v>
      </c>
      <c r="E181" s="92" t="s">
        <v>1199</v>
      </c>
      <c r="F181" s="92" t="s">
        <v>1254</v>
      </c>
      <c r="G181" s="92" t="s">
        <v>1203</v>
      </c>
      <c r="H181" s="92" t="s">
        <v>1274</v>
      </c>
      <c r="I181" s="92" t="s">
        <v>1237</v>
      </c>
      <c r="J181" s="92" t="s">
        <v>1547</v>
      </c>
      <c r="K181" s="92" t="s">
        <v>1243</v>
      </c>
      <c r="L181" s="92" t="s">
        <v>1260</v>
      </c>
      <c r="M181" s="92" t="s">
        <v>1241</v>
      </c>
      <c r="N181" s="91">
        <v>41456</v>
      </c>
      <c r="O181" s="93">
        <v>1.33</v>
      </c>
      <c r="P181" s="93">
        <v>2.08</v>
      </c>
      <c r="Q181" s="94">
        <v>44</v>
      </c>
      <c r="R181" s="93">
        <f t="shared" si="8"/>
        <v>91.52000000000001</v>
      </c>
      <c r="S181" s="95">
        <v>0.04</v>
      </c>
      <c r="T181" s="96">
        <f t="shared" si="9"/>
        <v>3.6608000000000005</v>
      </c>
      <c r="U181" s="96">
        <f t="shared" si="10"/>
        <v>91.48</v>
      </c>
      <c r="V181" s="93">
        <v>1.49</v>
      </c>
      <c r="W181" s="97">
        <f t="shared" si="11"/>
        <v>92.97</v>
      </c>
    </row>
    <row r="182" spans="1:23" x14ac:dyDescent="0.25">
      <c r="A182" s="61" t="s">
        <v>275</v>
      </c>
      <c r="B182" s="91">
        <v>41454</v>
      </c>
      <c r="C182" s="92" t="s">
        <v>1548</v>
      </c>
      <c r="D182" s="92" t="s">
        <v>1549</v>
      </c>
      <c r="E182" s="92" t="s">
        <v>1198</v>
      </c>
      <c r="F182" s="92" t="s">
        <v>1235</v>
      </c>
      <c r="G182" s="92" t="s">
        <v>1201</v>
      </c>
      <c r="H182" s="92" t="s">
        <v>1409</v>
      </c>
      <c r="I182" s="92" t="s">
        <v>1256</v>
      </c>
      <c r="J182" s="92" t="s">
        <v>1550</v>
      </c>
      <c r="K182" s="92" t="s">
        <v>1239</v>
      </c>
      <c r="L182" s="92" t="s">
        <v>1258</v>
      </c>
      <c r="M182" s="92" t="s">
        <v>1241</v>
      </c>
      <c r="N182" s="91">
        <v>41456</v>
      </c>
      <c r="O182" s="93">
        <v>7.92</v>
      </c>
      <c r="P182" s="93">
        <v>12.99</v>
      </c>
      <c r="Q182" s="94">
        <v>49</v>
      </c>
      <c r="R182" s="93">
        <f t="shared" si="8"/>
        <v>636.51</v>
      </c>
      <c r="S182" s="95">
        <v>7.0000000000000007E-2</v>
      </c>
      <c r="T182" s="96">
        <f t="shared" si="9"/>
        <v>44.555700000000002</v>
      </c>
      <c r="U182" s="96">
        <f t="shared" si="10"/>
        <v>636.43999999999994</v>
      </c>
      <c r="V182" s="93">
        <v>9.44</v>
      </c>
      <c r="W182" s="97">
        <f t="shared" si="11"/>
        <v>645.88</v>
      </c>
    </row>
    <row r="183" spans="1:23" x14ac:dyDescent="0.25">
      <c r="A183" s="61" t="s">
        <v>276</v>
      </c>
      <c r="B183" s="91">
        <v>41455</v>
      </c>
      <c r="C183" s="92" t="s">
        <v>1551</v>
      </c>
      <c r="D183" s="92" t="s">
        <v>1323</v>
      </c>
      <c r="E183" s="92" t="s">
        <v>1198</v>
      </c>
      <c r="F183" s="92" t="s">
        <v>1235</v>
      </c>
      <c r="G183" s="92" t="s">
        <v>1201</v>
      </c>
      <c r="H183" s="92" t="s">
        <v>1263</v>
      </c>
      <c r="I183" s="92" t="s">
        <v>1248</v>
      </c>
      <c r="J183" s="92" t="s">
        <v>1271</v>
      </c>
      <c r="K183" s="92" t="s">
        <v>1239</v>
      </c>
      <c r="L183" s="92" t="s">
        <v>1260</v>
      </c>
      <c r="M183" s="92" t="s">
        <v>1241</v>
      </c>
      <c r="N183" s="91">
        <v>41459</v>
      </c>
      <c r="O183" s="93">
        <v>6.39</v>
      </c>
      <c r="P183" s="93">
        <v>19.98</v>
      </c>
      <c r="Q183" s="94">
        <v>19</v>
      </c>
      <c r="R183" s="93">
        <f t="shared" si="8"/>
        <v>379.62</v>
      </c>
      <c r="S183" s="95">
        <v>0.08</v>
      </c>
      <c r="T183" s="96">
        <f t="shared" si="9"/>
        <v>30.369600000000002</v>
      </c>
      <c r="U183" s="96">
        <f t="shared" si="10"/>
        <v>379.54</v>
      </c>
      <c r="V183" s="93">
        <v>4</v>
      </c>
      <c r="W183" s="97">
        <f t="shared" si="11"/>
        <v>383.54</v>
      </c>
    </row>
    <row r="184" spans="1:23" x14ac:dyDescent="0.25">
      <c r="A184" s="61" t="s">
        <v>277</v>
      </c>
      <c r="B184" s="91">
        <v>41457</v>
      </c>
      <c r="C184" s="92" t="s">
        <v>1552</v>
      </c>
      <c r="D184" s="92" t="s">
        <v>1337</v>
      </c>
      <c r="E184" s="92" t="s">
        <v>1198</v>
      </c>
      <c r="F184" s="92" t="s">
        <v>1235</v>
      </c>
      <c r="G184" s="92" t="s">
        <v>1202</v>
      </c>
      <c r="H184" s="92" t="s">
        <v>1247</v>
      </c>
      <c r="I184" s="92" t="s">
        <v>1317</v>
      </c>
      <c r="J184" s="92" t="s">
        <v>1238</v>
      </c>
      <c r="K184" s="92" t="s">
        <v>1239</v>
      </c>
      <c r="L184" s="92" t="s">
        <v>1240</v>
      </c>
      <c r="M184" s="92" t="s">
        <v>1250</v>
      </c>
      <c r="N184" s="91">
        <v>41458</v>
      </c>
      <c r="O184" s="93">
        <v>1.87</v>
      </c>
      <c r="P184" s="93">
        <v>8.1199999999999992</v>
      </c>
      <c r="Q184" s="94">
        <v>32</v>
      </c>
      <c r="R184" s="93">
        <f t="shared" si="8"/>
        <v>259.83999999999997</v>
      </c>
      <c r="S184" s="95">
        <v>0.08</v>
      </c>
      <c r="T184" s="96">
        <f t="shared" si="9"/>
        <v>20.787199999999999</v>
      </c>
      <c r="U184" s="96">
        <f t="shared" si="10"/>
        <v>259.76</v>
      </c>
      <c r="V184" s="93">
        <v>2.83</v>
      </c>
      <c r="W184" s="97">
        <f t="shared" si="11"/>
        <v>262.58999999999997</v>
      </c>
    </row>
    <row r="185" spans="1:23" x14ac:dyDescent="0.25">
      <c r="A185" s="61" t="s">
        <v>278</v>
      </c>
      <c r="B185" s="91">
        <v>41458</v>
      </c>
      <c r="C185" s="92" t="s">
        <v>1553</v>
      </c>
      <c r="D185" s="92" t="s">
        <v>1330</v>
      </c>
      <c r="E185" s="92" t="s">
        <v>1199</v>
      </c>
      <c r="F185" s="92" t="s">
        <v>1254</v>
      </c>
      <c r="G185" s="92" t="s">
        <v>1203</v>
      </c>
      <c r="H185" s="92" t="s">
        <v>1255</v>
      </c>
      <c r="I185" s="92" t="s">
        <v>1317</v>
      </c>
      <c r="J185" s="92" t="s">
        <v>1554</v>
      </c>
      <c r="K185" s="92" t="s">
        <v>1243</v>
      </c>
      <c r="L185" s="92" t="s">
        <v>1260</v>
      </c>
      <c r="M185" s="92" t="s">
        <v>1241</v>
      </c>
      <c r="N185" s="91">
        <v>41460</v>
      </c>
      <c r="O185" s="93">
        <v>1.98</v>
      </c>
      <c r="P185" s="93">
        <v>3.15</v>
      </c>
      <c r="Q185" s="94">
        <v>23</v>
      </c>
      <c r="R185" s="93">
        <f t="shared" si="8"/>
        <v>72.45</v>
      </c>
      <c r="S185" s="95">
        <v>0.01</v>
      </c>
      <c r="T185" s="96">
        <f t="shared" si="9"/>
        <v>0.72450000000000003</v>
      </c>
      <c r="U185" s="96">
        <f t="shared" si="10"/>
        <v>72.44</v>
      </c>
      <c r="V185" s="93">
        <v>0.49</v>
      </c>
      <c r="W185" s="97">
        <f t="shared" si="11"/>
        <v>72.929999999999993</v>
      </c>
    </row>
    <row r="186" spans="1:23" x14ac:dyDescent="0.25">
      <c r="A186" s="61" t="s">
        <v>279</v>
      </c>
      <c r="B186" s="91">
        <v>41458</v>
      </c>
      <c r="C186" s="92" t="s">
        <v>1555</v>
      </c>
      <c r="D186" s="92" t="s">
        <v>1299</v>
      </c>
      <c r="E186" s="92" t="s">
        <v>1198</v>
      </c>
      <c r="F186" s="92" t="s">
        <v>1235</v>
      </c>
      <c r="G186" s="92" t="s">
        <v>1200</v>
      </c>
      <c r="H186" s="92" t="s">
        <v>1236</v>
      </c>
      <c r="I186" s="92" t="s">
        <v>1256</v>
      </c>
      <c r="J186" s="92" t="s">
        <v>1556</v>
      </c>
      <c r="K186" s="92" t="s">
        <v>1243</v>
      </c>
      <c r="L186" s="92" t="s">
        <v>1260</v>
      </c>
      <c r="M186" s="92" t="s">
        <v>1241</v>
      </c>
      <c r="N186" s="91">
        <v>41460</v>
      </c>
      <c r="O186" s="93">
        <v>16.850000000000001</v>
      </c>
      <c r="P186" s="93">
        <v>27.18</v>
      </c>
      <c r="Q186" s="94">
        <v>34</v>
      </c>
      <c r="R186" s="93">
        <f t="shared" si="8"/>
        <v>924.12</v>
      </c>
      <c r="S186" s="95">
        <v>0.1</v>
      </c>
      <c r="T186" s="96">
        <f t="shared" si="9"/>
        <v>92.412000000000006</v>
      </c>
      <c r="U186" s="96">
        <f t="shared" si="10"/>
        <v>924.02</v>
      </c>
      <c r="V186" s="93">
        <v>8.23</v>
      </c>
      <c r="W186" s="97">
        <f t="shared" si="11"/>
        <v>932.25</v>
      </c>
    </row>
    <row r="187" spans="1:23" x14ac:dyDescent="0.25">
      <c r="A187" s="61" t="s">
        <v>280</v>
      </c>
      <c r="B187" s="91">
        <v>41459</v>
      </c>
      <c r="C187" s="92" t="s">
        <v>1557</v>
      </c>
      <c r="D187" s="92" t="s">
        <v>1253</v>
      </c>
      <c r="E187" s="92" t="s">
        <v>1199</v>
      </c>
      <c r="F187" s="92" t="s">
        <v>1254</v>
      </c>
      <c r="G187" s="92" t="s">
        <v>1201</v>
      </c>
      <c r="H187" s="92" t="s">
        <v>1255</v>
      </c>
      <c r="I187" s="92" t="s">
        <v>1264</v>
      </c>
      <c r="J187" s="92" t="s">
        <v>1314</v>
      </c>
      <c r="K187" s="92" t="s">
        <v>1243</v>
      </c>
      <c r="L187" s="92" t="s">
        <v>1244</v>
      </c>
      <c r="M187" s="92" t="s">
        <v>1241</v>
      </c>
      <c r="N187" s="91">
        <v>41460</v>
      </c>
      <c r="O187" s="93">
        <v>1.6</v>
      </c>
      <c r="P187" s="93">
        <v>2.62</v>
      </c>
      <c r="Q187" s="94">
        <v>21</v>
      </c>
      <c r="R187" s="93">
        <f t="shared" si="8"/>
        <v>55.02</v>
      </c>
      <c r="S187" s="95">
        <v>0.05</v>
      </c>
      <c r="T187" s="96">
        <f t="shared" si="9"/>
        <v>2.7510000000000003</v>
      </c>
      <c r="U187" s="96">
        <f t="shared" si="10"/>
        <v>54.970000000000006</v>
      </c>
      <c r="V187" s="93">
        <v>0.8</v>
      </c>
      <c r="W187" s="97">
        <f t="shared" si="11"/>
        <v>55.77</v>
      </c>
    </row>
    <row r="188" spans="1:23" x14ac:dyDescent="0.25">
      <c r="A188" s="61" t="s">
        <v>281</v>
      </c>
      <c r="B188" s="91">
        <v>41461</v>
      </c>
      <c r="C188" s="92" t="s">
        <v>1447</v>
      </c>
      <c r="D188" s="92" t="s">
        <v>1448</v>
      </c>
      <c r="E188" s="92" t="s">
        <v>1198</v>
      </c>
      <c r="F188" s="92" t="s">
        <v>1235</v>
      </c>
      <c r="G188" s="92" t="s">
        <v>1201</v>
      </c>
      <c r="H188" s="92" t="s">
        <v>1404</v>
      </c>
      <c r="I188" s="92" t="s">
        <v>1237</v>
      </c>
      <c r="J188" s="92" t="s">
        <v>1558</v>
      </c>
      <c r="K188" s="92" t="s">
        <v>1243</v>
      </c>
      <c r="L188" s="92" t="s">
        <v>1260</v>
      </c>
      <c r="M188" s="92" t="s">
        <v>1241</v>
      </c>
      <c r="N188" s="91">
        <v>41461</v>
      </c>
      <c r="O188" s="93">
        <v>21.56</v>
      </c>
      <c r="P188" s="93">
        <v>35.94</v>
      </c>
      <c r="Q188" s="94">
        <v>28</v>
      </c>
      <c r="R188" s="93">
        <f t="shared" si="8"/>
        <v>1006.3199999999999</v>
      </c>
      <c r="S188" s="95">
        <v>0.01</v>
      </c>
      <c r="T188" s="96">
        <f t="shared" si="9"/>
        <v>10.0632</v>
      </c>
      <c r="U188" s="96">
        <f t="shared" si="10"/>
        <v>1006.31</v>
      </c>
      <c r="V188" s="93">
        <v>6.66</v>
      </c>
      <c r="W188" s="97">
        <f t="shared" si="11"/>
        <v>1012.9699999999999</v>
      </c>
    </row>
    <row r="189" spans="1:23" x14ac:dyDescent="0.25">
      <c r="A189" s="61" t="s">
        <v>282</v>
      </c>
      <c r="B189" s="91">
        <v>41465</v>
      </c>
      <c r="C189" s="92" t="s">
        <v>1559</v>
      </c>
      <c r="D189" s="92" t="s">
        <v>1458</v>
      </c>
      <c r="E189" s="92" t="s">
        <v>1198</v>
      </c>
      <c r="F189" s="92" t="s">
        <v>1235</v>
      </c>
      <c r="G189" s="92" t="s">
        <v>1200</v>
      </c>
      <c r="H189" s="92" t="s">
        <v>1404</v>
      </c>
      <c r="I189" s="92" t="s">
        <v>1264</v>
      </c>
      <c r="J189" s="92" t="s">
        <v>1560</v>
      </c>
      <c r="K189" s="92" t="s">
        <v>1243</v>
      </c>
      <c r="L189" s="92" t="s">
        <v>1260</v>
      </c>
      <c r="M189" s="92" t="s">
        <v>1241</v>
      </c>
      <c r="N189" s="91">
        <v>41465</v>
      </c>
      <c r="O189" s="93">
        <v>2.74</v>
      </c>
      <c r="P189" s="93">
        <v>4.49</v>
      </c>
      <c r="Q189" s="94">
        <v>11</v>
      </c>
      <c r="R189" s="93">
        <f t="shared" si="8"/>
        <v>49.39</v>
      </c>
      <c r="S189" s="95">
        <v>0.08</v>
      </c>
      <c r="T189" s="96">
        <f t="shared" si="9"/>
        <v>3.9512</v>
      </c>
      <c r="U189" s="96">
        <f t="shared" si="10"/>
        <v>49.31</v>
      </c>
      <c r="V189" s="93">
        <v>1.49</v>
      </c>
      <c r="W189" s="97">
        <f t="shared" si="11"/>
        <v>50.800000000000004</v>
      </c>
    </row>
    <row r="190" spans="1:23" x14ac:dyDescent="0.25">
      <c r="A190" s="61" t="s">
        <v>283</v>
      </c>
      <c r="B190" s="91">
        <v>41465</v>
      </c>
      <c r="C190" s="92" t="s">
        <v>1459</v>
      </c>
      <c r="D190" s="92" t="s">
        <v>1388</v>
      </c>
      <c r="E190" s="92" t="s">
        <v>1199</v>
      </c>
      <c r="F190" s="92" t="s">
        <v>1254</v>
      </c>
      <c r="G190" s="92" t="s">
        <v>1200</v>
      </c>
      <c r="H190" s="92" t="s">
        <v>1255</v>
      </c>
      <c r="I190" s="92" t="s">
        <v>1256</v>
      </c>
      <c r="J190" s="92" t="s">
        <v>1374</v>
      </c>
      <c r="K190" s="92" t="s">
        <v>1243</v>
      </c>
      <c r="L190" s="92" t="s">
        <v>1244</v>
      </c>
      <c r="M190" s="92" t="s">
        <v>1241</v>
      </c>
      <c r="N190" s="91">
        <v>41468</v>
      </c>
      <c r="O190" s="93">
        <v>4.37</v>
      </c>
      <c r="P190" s="93">
        <v>9.11</v>
      </c>
      <c r="Q190" s="94">
        <v>6</v>
      </c>
      <c r="R190" s="93">
        <f t="shared" si="8"/>
        <v>54.66</v>
      </c>
      <c r="S190" s="95">
        <v>0.04</v>
      </c>
      <c r="T190" s="96">
        <f t="shared" si="9"/>
        <v>2.1863999999999999</v>
      </c>
      <c r="U190" s="96">
        <f t="shared" si="10"/>
        <v>54.62</v>
      </c>
      <c r="V190" s="93">
        <v>2.25</v>
      </c>
      <c r="W190" s="97">
        <f t="shared" si="11"/>
        <v>56.87</v>
      </c>
    </row>
    <row r="191" spans="1:23" x14ac:dyDescent="0.25">
      <c r="A191" s="61" t="s">
        <v>284</v>
      </c>
      <c r="B191" s="91">
        <v>41471</v>
      </c>
      <c r="C191" s="92" t="s">
        <v>1561</v>
      </c>
      <c r="D191" s="92" t="s">
        <v>1562</v>
      </c>
      <c r="E191" s="92" t="s">
        <v>1198</v>
      </c>
      <c r="F191" s="92" t="s">
        <v>1235</v>
      </c>
      <c r="G191" s="92" t="s">
        <v>1203</v>
      </c>
      <c r="H191" s="92" t="s">
        <v>1304</v>
      </c>
      <c r="I191" s="92" t="s">
        <v>1264</v>
      </c>
      <c r="J191" s="92" t="s">
        <v>1344</v>
      </c>
      <c r="K191" s="92" t="s">
        <v>1243</v>
      </c>
      <c r="L191" s="92" t="s">
        <v>1244</v>
      </c>
      <c r="M191" s="92" t="s">
        <v>1241</v>
      </c>
      <c r="N191" s="91">
        <v>41472</v>
      </c>
      <c r="O191" s="93">
        <v>0.24</v>
      </c>
      <c r="P191" s="93">
        <v>1.26</v>
      </c>
      <c r="Q191" s="94">
        <v>10</v>
      </c>
      <c r="R191" s="93">
        <f t="shared" si="8"/>
        <v>12.6</v>
      </c>
      <c r="S191" s="95">
        <v>0.1</v>
      </c>
      <c r="T191" s="96">
        <f t="shared" si="9"/>
        <v>1.26</v>
      </c>
      <c r="U191" s="96">
        <f t="shared" si="10"/>
        <v>12.5</v>
      </c>
      <c r="V191" s="93">
        <v>0.7</v>
      </c>
      <c r="W191" s="97">
        <f t="shared" si="11"/>
        <v>13.2</v>
      </c>
    </row>
    <row r="192" spans="1:23" x14ac:dyDescent="0.25">
      <c r="A192" s="61" t="s">
        <v>285</v>
      </c>
      <c r="B192" s="91">
        <v>41471</v>
      </c>
      <c r="C192" s="92" t="s">
        <v>1467</v>
      </c>
      <c r="D192" s="92" t="s">
        <v>1330</v>
      </c>
      <c r="E192" s="92" t="s">
        <v>1199</v>
      </c>
      <c r="F192" s="92" t="s">
        <v>1254</v>
      </c>
      <c r="G192" s="92" t="s">
        <v>1200</v>
      </c>
      <c r="H192" s="92" t="s">
        <v>1255</v>
      </c>
      <c r="I192" s="92" t="s">
        <v>1317</v>
      </c>
      <c r="J192" s="92" t="s">
        <v>1539</v>
      </c>
      <c r="K192" s="92" t="s">
        <v>1243</v>
      </c>
      <c r="L192" s="92" t="s">
        <v>1244</v>
      </c>
      <c r="M192" s="92" t="s">
        <v>1241</v>
      </c>
      <c r="N192" s="91">
        <v>41471</v>
      </c>
      <c r="O192" s="93">
        <v>2.9</v>
      </c>
      <c r="P192" s="93">
        <v>4.76</v>
      </c>
      <c r="Q192" s="94">
        <v>13</v>
      </c>
      <c r="R192" s="93">
        <f t="shared" si="8"/>
        <v>61.879999999999995</v>
      </c>
      <c r="S192" s="95">
        <v>7.0000000000000007E-2</v>
      </c>
      <c r="T192" s="96">
        <f t="shared" si="9"/>
        <v>4.3315999999999999</v>
      </c>
      <c r="U192" s="96">
        <f t="shared" si="10"/>
        <v>61.809999999999995</v>
      </c>
      <c r="V192" s="93">
        <v>0.88</v>
      </c>
      <c r="W192" s="97">
        <f t="shared" si="11"/>
        <v>62.69</v>
      </c>
    </row>
    <row r="193" spans="1:23" x14ac:dyDescent="0.25">
      <c r="A193" s="61" t="s">
        <v>286</v>
      </c>
      <c r="B193" s="91">
        <v>41472</v>
      </c>
      <c r="C193" s="92" t="s">
        <v>1563</v>
      </c>
      <c r="D193" s="92" t="s">
        <v>1355</v>
      </c>
      <c r="E193" s="92" t="s">
        <v>1199</v>
      </c>
      <c r="F193" s="92" t="s">
        <v>1254</v>
      </c>
      <c r="G193" s="92" t="s">
        <v>1202</v>
      </c>
      <c r="H193" s="92" t="s">
        <v>1274</v>
      </c>
      <c r="I193" s="92" t="s">
        <v>1248</v>
      </c>
      <c r="J193" s="92" t="s">
        <v>1401</v>
      </c>
      <c r="K193" s="92" t="s">
        <v>1239</v>
      </c>
      <c r="L193" s="92" t="s">
        <v>1260</v>
      </c>
      <c r="M193" s="92" t="s">
        <v>1250</v>
      </c>
      <c r="N193" s="91">
        <v>41472</v>
      </c>
      <c r="O193" s="93">
        <v>54.52</v>
      </c>
      <c r="P193" s="93">
        <v>100.97</v>
      </c>
      <c r="Q193" s="94">
        <v>35</v>
      </c>
      <c r="R193" s="93">
        <f t="shared" si="8"/>
        <v>3533.95</v>
      </c>
      <c r="S193" s="95">
        <v>0.05</v>
      </c>
      <c r="T193" s="96">
        <f t="shared" si="9"/>
        <v>176.69749999999999</v>
      </c>
      <c r="U193" s="96">
        <f t="shared" si="10"/>
        <v>3533.8999999999996</v>
      </c>
      <c r="V193" s="93">
        <v>7.18</v>
      </c>
      <c r="W193" s="97">
        <f t="shared" si="11"/>
        <v>3541.0799999999995</v>
      </c>
    </row>
    <row r="194" spans="1:23" x14ac:dyDescent="0.25">
      <c r="A194" s="61" t="s">
        <v>287</v>
      </c>
      <c r="B194" s="91">
        <v>41473</v>
      </c>
      <c r="C194" s="92" t="s">
        <v>1564</v>
      </c>
      <c r="D194" s="92" t="s">
        <v>1430</v>
      </c>
      <c r="E194" s="92" t="s">
        <v>1199</v>
      </c>
      <c r="F194" s="92" t="s">
        <v>1254</v>
      </c>
      <c r="G194" s="92" t="s">
        <v>1203</v>
      </c>
      <c r="H194" s="92" t="s">
        <v>1274</v>
      </c>
      <c r="I194" s="92" t="s">
        <v>1264</v>
      </c>
      <c r="J194" s="92" t="s">
        <v>1441</v>
      </c>
      <c r="K194" s="92" t="s">
        <v>1243</v>
      </c>
      <c r="L194" s="92" t="s">
        <v>1240</v>
      </c>
      <c r="M194" s="92" t="s">
        <v>1250</v>
      </c>
      <c r="N194" s="91">
        <v>41475</v>
      </c>
      <c r="O194" s="93">
        <v>3.42</v>
      </c>
      <c r="P194" s="93">
        <v>8.34</v>
      </c>
      <c r="Q194" s="94">
        <v>15</v>
      </c>
      <c r="R194" s="93">
        <f t="shared" si="8"/>
        <v>125.1</v>
      </c>
      <c r="S194" s="95">
        <v>0</v>
      </c>
      <c r="T194" s="96">
        <f t="shared" si="9"/>
        <v>0</v>
      </c>
      <c r="U194" s="96">
        <f t="shared" si="10"/>
        <v>125.1</v>
      </c>
      <c r="V194" s="93">
        <v>2.64</v>
      </c>
      <c r="W194" s="97">
        <f t="shared" si="11"/>
        <v>127.74</v>
      </c>
    </row>
    <row r="195" spans="1:23" x14ac:dyDescent="0.25">
      <c r="A195" s="61" t="s">
        <v>288</v>
      </c>
      <c r="B195" s="91">
        <v>41475</v>
      </c>
      <c r="C195" s="92" t="s">
        <v>1542</v>
      </c>
      <c r="D195" s="92" t="s">
        <v>1253</v>
      </c>
      <c r="E195" s="92" t="s">
        <v>1199</v>
      </c>
      <c r="F195" s="92" t="s">
        <v>1254</v>
      </c>
      <c r="G195" s="92" t="s">
        <v>1201</v>
      </c>
      <c r="H195" s="92" t="s">
        <v>1255</v>
      </c>
      <c r="I195" s="92" t="s">
        <v>1264</v>
      </c>
      <c r="J195" s="92" t="s">
        <v>1282</v>
      </c>
      <c r="K195" s="92" t="s">
        <v>1243</v>
      </c>
      <c r="L195" s="92" t="s">
        <v>1260</v>
      </c>
      <c r="M195" s="92" t="s">
        <v>1250</v>
      </c>
      <c r="N195" s="91">
        <v>41477</v>
      </c>
      <c r="O195" s="93">
        <v>5.33</v>
      </c>
      <c r="P195" s="93">
        <v>8.6</v>
      </c>
      <c r="Q195" s="94">
        <v>23</v>
      </c>
      <c r="R195" s="93">
        <f t="shared" si="8"/>
        <v>197.79999999999998</v>
      </c>
      <c r="S195" s="95">
        <v>0.02</v>
      </c>
      <c r="T195" s="96">
        <f t="shared" si="9"/>
        <v>3.956</v>
      </c>
      <c r="U195" s="96">
        <f t="shared" si="10"/>
        <v>197.77999999999997</v>
      </c>
      <c r="V195" s="93">
        <v>6.19</v>
      </c>
      <c r="W195" s="97">
        <f t="shared" si="11"/>
        <v>203.96999999999997</v>
      </c>
    </row>
    <row r="196" spans="1:23" x14ac:dyDescent="0.25">
      <c r="A196" s="61" t="s">
        <v>289</v>
      </c>
      <c r="B196" s="91">
        <v>41476</v>
      </c>
      <c r="C196" s="92" t="s">
        <v>1565</v>
      </c>
      <c r="D196" s="92" t="s">
        <v>1439</v>
      </c>
      <c r="E196" s="92" t="s">
        <v>1198</v>
      </c>
      <c r="F196" s="92" t="s">
        <v>1235</v>
      </c>
      <c r="G196" s="92" t="s">
        <v>1200</v>
      </c>
      <c r="H196" s="92" t="s">
        <v>1440</v>
      </c>
      <c r="I196" s="92" t="s">
        <v>1317</v>
      </c>
      <c r="J196" s="92" t="s">
        <v>1318</v>
      </c>
      <c r="K196" s="92" t="s">
        <v>1239</v>
      </c>
      <c r="L196" s="92" t="s">
        <v>1319</v>
      </c>
      <c r="M196" s="92" t="s">
        <v>1320</v>
      </c>
      <c r="N196" s="91">
        <v>41478</v>
      </c>
      <c r="O196" s="93">
        <v>278.99</v>
      </c>
      <c r="P196" s="93">
        <v>449.99</v>
      </c>
      <c r="Q196" s="94">
        <v>12</v>
      </c>
      <c r="R196" s="93">
        <f t="shared" si="8"/>
        <v>5399.88</v>
      </c>
      <c r="S196" s="95">
        <v>0.06</v>
      </c>
      <c r="T196" s="96">
        <f t="shared" si="9"/>
        <v>323.99279999999999</v>
      </c>
      <c r="U196" s="96">
        <f t="shared" si="10"/>
        <v>5399.82</v>
      </c>
      <c r="V196" s="93">
        <v>49</v>
      </c>
      <c r="W196" s="97">
        <f t="shared" si="11"/>
        <v>5448.82</v>
      </c>
    </row>
    <row r="197" spans="1:23" x14ac:dyDescent="0.25">
      <c r="A197" s="61" t="s">
        <v>290</v>
      </c>
      <c r="B197" s="91">
        <v>41477</v>
      </c>
      <c r="C197" s="92" t="s">
        <v>1566</v>
      </c>
      <c r="D197" s="92" t="s">
        <v>1458</v>
      </c>
      <c r="E197" s="92" t="s">
        <v>1198</v>
      </c>
      <c r="F197" s="92" t="s">
        <v>1235</v>
      </c>
      <c r="G197" s="92" t="s">
        <v>1200</v>
      </c>
      <c r="H197" s="92" t="s">
        <v>1404</v>
      </c>
      <c r="I197" s="92" t="s">
        <v>1317</v>
      </c>
      <c r="J197" s="92" t="s">
        <v>1547</v>
      </c>
      <c r="K197" s="92" t="s">
        <v>1243</v>
      </c>
      <c r="L197" s="92" t="s">
        <v>1260</v>
      </c>
      <c r="M197" s="92" t="s">
        <v>1250</v>
      </c>
      <c r="N197" s="91">
        <v>41478</v>
      </c>
      <c r="O197" s="93">
        <v>1.33</v>
      </c>
      <c r="P197" s="93">
        <v>2.08</v>
      </c>
      <c r="Q197" s="94">
        <v>11</v>
      </c>
      <c r="R197" s="93">
        <f t="shared" ref="R197:R260" si="12">P197*Q197</f>
        <v>22.880000000000003</v>
      </c>
      <c r="S197" s="95">
        <v>0.01</v>
      </c>
      <c r="T197" s="96">
        <f t="shared" ref="T197:T260" si="13">R197*S197</f>
        <v>0.22880000000000003</v>
      </c>
      <c r="U197" s="96">
        <f t="shared" ref="U197:U260" si="14">R197-S197</f>
        <v>22.87</v>
      </c>
      <c r="V197" s="93">
        <v>1.49</v>
      </c>
      <c r="W197" s="97">
        <f t="shared" ref="W197:W260" si="15">U197+V197</f>
        <v>24.36</v>
      </c>
    </row>
    <row r="198" spans="1:23" x14ac:dyDescent="0.25">
      <c r="A198" s="61" t="s">
        <v>291</v>
      </c>
      <c r="B198" s="91">
        <v>41477</v>
      </c>
      <c r="C198" s="92" t="s">
        <v>1453</v>
      </c>
      <c r="D198" s="92" t="s">
        <v>1454</v>
      </c>
      <c r="E198" s="92" t="s">
        <v>1198</v>
      </c>
      <c r="F198" s="92" t="s">
        <v>1235</v>
      </c>
      <c r="G198" s="92" t="s">
        <v>1200</v>
      </c>
      <c r="H198" s="92" t="s">
        <v>1304</v>
      </c>
      <c r="I198" s="92" t="s">
        <v>1248</v>
      </c>
      <c r="J198" s="92" t="s">
        <v>1567</v>
      </c>
      <c r="K198" s="92" t="s">
        <v>1239</v>
      </c>
      <c r="L198" s="92" t="s">
        <v>1260</v>
      </c>
      <c r="M198" s="92" t="s">
        <v>1241</v>
      </c>
      <c r="N198" s="91">
        <v>41481</v>
      </c>
      <c r="O198" s="93">
        <v>6.51</v>
      </c>
      <c r="P198" s="93">
        <v>30.98</v>
      </c>
      <c r="Q198" s="94">
        <v>29</v>
      </c>
      <c r="R198" s="93">
        <f t="shared" si="12"/>
        <v>898.42</v>
      </c>
      <c r="S198" s="95">
        <v>0.03</v>
      </c>
      <c r="T198" s="96">
        <f t="shared" si="13"/>
        <v>26.952599999999997</v>
      </c>
      <c r="U198" s="96">
        <f t="shared" si="14"/>
        <v>898.39</v>
      </c>
      <c r="V198" s="93">
        <v>6.5</v>
      </c>
      <c r="W198" s="97">
        <f t="shared" si="15"/>
        <v>904.89</v>
      </c>
    </row>
    <row r="199" spans="1:23" x14ac:dyDescent="0.25">
      <c r="A199" s="61" t="s">
        <v>292</v>
      </c>
      <c r="B199" s="91">
        <v>41478</v>
      </c>
      <c r="C199" s="92" t="s">
        <v>1437</v>
      </c>
      <c r="D199" s="92" t="s">
        <v>1273</v>
      </c>
      <c r="E199" s="92" t="s">
        <v>1199</v>
      </c>
      <c r="F199" s="92" t="s">
        <v>1254</v>
      </c>
      <c r="G199" s="92" t="s">
        <v>1200</v>
      </c>
      <c r="H199" s="92" t="s">
        <v>1274</v>
      </c>
      <c r="I199" s="92" t="s">
        <v>1256</v>
      </c>
      <c r="J199" s="92" t="s">
        <v>1251</v>
      </c>
      <c r="K199" s="92" t="s">
        <v>1243</v>
      </c>
      <c r="L199" s="92" t="s">
        <v>1244</v>
      </c>
      <c r="M199" s="92" t="s">
        <v>1241</v>
      </c>
      <c r="N199" s="91">
        <v>41480</v>
      </c>
      <c r="O199" s="93">
        <v>2.98</v>
      </c>
      <c r="P199" s="93">
        <v>5.84</v>
      </c>
      <c r="Q199" s="94">
        <v>11</v>
      </c>
      <c r="R199" s="93">
        <f t="shared" si="12"/>
        <v>64.239999999999995</v>
      </c>
      <c r="S199" s="95">
        <v>0.01</v>
      </c>
      <c r="T199" s="96">
        <f t="shared" si="13"/>
        <v>0.64239999999999997</v>
      </c>
      <c r="U199" s="96">
        <f t="shared" si="14"/>
        <v>64.22999999999999</v>
      </c>
      <c r="V199" s="93">
        <v>0.83</v>
      </c>
      <c r="W199" s="97">
        <f t="shared" si="15"/>
        <v>65.059999999999988</v>
      </c>
    </row>
    <row r="200" spans="1:23" x14ac:dyDescent="0.25">
      <c r="A200" s="61" t="s">
        <v>293</v>
      </c>
      <c r="B200" s="91">
        <v>41479</v>
      </c>
      <c r="C200" s="92" t="s">
        <v>1568</v>
      </c>
      <c r="D200" s="92" t="s">
        <v>1494</v>
      </c>
      <c r="E200" s="92" t="s">
        <v>1198</v>
      </c>
      <c r="F200" s="92" t="s">
        <v>1235</v>
      </c>
      <c r="G200" s="92" t="s">
        <v>1203</v>
      </c>
      <c r="H200" s="92" t="s">
        <v>1236</v>
      </c>
      <c r="I200" s="92" t="s">
        <v>1264</v>
      </c>
      <c r="J200" s="92" t="s">
        <v>1349</v>
      </c>
      <c r="K200" s="92" t="s">
        <v>1243</v>
      </c>
      <c r="L200" s="92" t="s">
        <v>1260</v>
      </c>
      <c r="M200" s="92" t="s">
        <v>1241</v>
      </c>
      <c r="N200" s="91">
        <v>41481</v>
      </c>
      <c r="O200" s="93">
        <v>3.65</v>
      </c>
      <c r="P200" s="93">
        <v>5.98</v>
      </c>
      <c r="Q200" s="94">
        <v>14</v>
      </c>
      <c r="R200" s="93">
        <f t="shared" si="12"/>
        <v>83.72</v>
      </c>
      <c r="S200" s="95">
        <v>0.09</v>
      </c>
      <c r="T200" s="96">
        <f t="shared" si="13"/>
        <v>7.5347999999999997</v>
      </c>
      <c r="U200" s="96">
        <f t="shared" si="14"/>
        <v>83.63</v>
      </c>
      <c r="V200" s="93">
        <v>1.49</v>
      </c>
      <c r="W200" s="97">
        <f t="shared" si="15"/>
        <v>85.11999999999999</v>
      </c>
    </row>
    <row r="201" spans="1:23" x14ac:dyDescent="0.25">
      <c r="A201" s="61" t="s">
        <v>294</v>
      </c>
      <c r="B201" s="91">
        <v>41481</v>
      </c>
      <c r="C201" s="92" t="s">
        <v>1569</v>
      </c>
      <c r="D201" s="92" t="s">
        <v>1337</v>
      </c>
      <c r="E201" s="92" t="s">
        <v>1198</v>
      </c>
      <c r="F201" s="92" t="s">
        <v>1235</v>
      </c>
      <c r="G201" s="92" t="s">
        <v>1202</v>
      </c>
      <c r="H201" s="92" t="s">
        <v>1247</v>
      </c>
      <c r="I201" s="92" t="s">
        <v>1248</v>
      </c>
      <c r="J201" s="92" t="s">
        <v>1384</v>
      </c>
      <c r="K201" s="92" t="s">
        <v>1243</v>
      </c>
      <c r="L201" s="92" t="s">
        <v>1260</v>
      </c>
      <c r="M201" s="92" t="s">
        <v>1241</v>
      </c>
      <c r="N201" s="91">
        <v>41486</v>
      </c>
      <c r="O201" s="93">
        <v>4.46</v>
      </c>
      <c r="P201" s="93">
        <v>10.89</v>
      </c>
      <c r="Q201" s="94">
        <v>37</v>
      </c>
      <c r="R201" s="93">
        <f t="shared" si="12"/>
        <v>402.93</v>
      </c>
      <c r="S201" s="95">
        <v>0.06</v>
      </c>
      <c r="T201" s="96">
        <f t="shared" si="13"/>
        <v>24.175799999999999</v>
      </c>
      <c r="U201" s="96">
        <f t="shared" si="14"/>
        <v>402.87</v>
      </c>
      <c r="V201" s="93">
        <v>4.5</v>
      </c>
      <c r="W201" s="97">
        <f t="shared" si="15"/>
        <v>407.37</v>
      </c>
    </row>
    <row r="202" spans="1:23" x14ac:dyDescent="0.25">
      <c r="A202" s="61" t="s">
        <v>295</v>
      </c>
      <c r="B202" s="91">
        <v>41481</v>
      </c>
      <c r="C202" s="92" t="s">
        <v>1570</v>
      </c>
      <c r="D202" s="92" t="s">
        <v>1253</v>
      </c>
      <c r="E202" s="92" t="s">
        <v>1199</v>
      </c>
      <c r="F202" s="92" t="s">
        <v>1254</v>
      </c>
      <c r="G202" s="92" t="s">
        <v>1200</v>
      </c>
      <c r="H202" s="92" t="s">
        <v>1255</v>
      </c>
      <c r="I202" s="92" t="s">
        <v>1248</v>
      </c>
      <c r="J202" s="92" t="s">
        <v>1567</v>
      </c>
      <c r="K202" s="92" t="s">
        <v>1239</v>
      </c>
      <c r="L202" s="92" t="s">
        <v>1260</v>
      </c>
      <c r="M202" s="92" t="s">
        <v>1241</v>
      </c>
      <c r="N202" s="91">
        <v>41483</v>
      </c>
      <c r="O202" s="93">
        <v>6.51</v>
      </c>
      <c r="P202" s="93">
        <v>30.98</v>
      </c>
      <c r="Q202" s="94">
        <v>8</v>
      </c>
      <c r="R202" s="93">
        <f t="shared" si="12"/>
        <v>247.84</v>
      </c>
      <c r="S202" s="95">
        <v>0.01</v>
      </c>
      <c r="T202" s="96">
        <f t="shared" si="13"/>
        <v>2.4784000000000002</v>
      </c>
      <c r="U202" s="96">
        <f t="shared" si="14"/>
        <v>247.83</v>
      </c>
      <c r="V202" s="93">
        <v>6.5</v>
      </c>
      <c r="W202" s="97">
        <f t="shared" si="15"/>
        <v>254.33</v>
      </c>
    </row>
    <row r="203" spans="1:23" x14ac:dyDescent="0.25">
      <c r="A203" s="61" t="s">
        <v>296</v>
      </c>
      <c r="B203" s="91">
        <v>41482</v>
      </c>
      <c r="C203" s="92" t="s">
        <v>1571</v>
      </c>
      <c r="D203" s="92" t="s">
        <v>1572</v>
      </c>
      <c r="E203" s="92" t="s">
        <v>1199</v>
      </c>
      <c r="F203" s="92" t="s">
        <v>1254</v>
      </c>
      <c r="G203" s="92" t="s">
        <v>1201</v>
      </c>
      <c r="H203" s="92" t="s">
        <v>1274</v>
      </c>
      <c r="I203" s="92" t="s">
        <v>1248</v>
      </c>
      <c r="J203" s="92" t="s">
        <v>1391</v>
      </c>
      <c r="K203" s="92" t="s">
        <v>1239</v>
      </c>
      <c r="L203" s="92" t="s">
        <v>1260</v>
      </c>
      <c r="M203" s="92" t="s">
        <v>1241</v>
      </c>
      <c r="N203" s="91">
        <v>41484</v>
      </c>
      <c r="O203" s="93">
        <v>39.64</v>
      </c>
      <c r="P203" s="93">
        <v>152.47999999999999</v>
      </c>
      <c r="Q203" s="94">
        <v>31</v>
      </c>
      <c r="R203" s="93">
        <f t="shared" si="12"/>
        <v>4726.88</v>
      </c>
      <c r="S203" s="95">
        <v>7.0000000000000007E-2</v>
      </c>
      <c r="T203" s="96">
        <f t="shared" si="13"/>
        <v>330.88160000000005</v>
      </c>
      <c r="U203" s="96">
        <f t="shared" si="14"/>
        <v>4726.8100000000004</v>
      </c>
      <c r="V203" s="93">
        <v>6.5</v>
      </c>
      <c r="W203" s="97">
        <f t="shared" si="15"/>
        <v>4733.3100000000004</v>
      </c>
    </row>
    <row r="204" spans="1:23" x14ac:dyDescent="0.25">
      <c r="A204" s="61" t="s">
        <v>297</v>
      </c>
      <c r="B204" s="91">
        <v>41483</v>
      </c>
      <c r="C204" s="92" t="s">
        <v>1446</v>
      </c>
      <c r="D204" s="92" t="s">
        <v>1395</v>
      </c>
      <c r="E204" s="92" t="s">
        <v>1198</v>
      </c>
      <c r="F204" s="92" t="s">
        <v>1235</v>
      </c>
      <c r="G204" s="92" t="s">
        <v>1200</v>
      </c>
      <c r="H204" s="92" t="s">
        <v>1236</v>
      </c>
      <c r="I204" s="92" t="s">
        <v>1256</v>
      </c>
      <c r="J204" s="92" t="s">
        <v>1573</v>
      </c>
      <c r="K204" s="92" t="s">
        <v>1243</v>
      </c>
      <c r="L204" s="92" t="s">
        <v>1244</v>
      </c>
      <c r="M204" s="92" t="s">
        <v>1241</v>
      </c>
      <c r="N204" s="91">
        <v>41485</v>
      </c>
      <c r="O204" s="93">
        <v>1.95</v>
      </c>
      <c r="P204" s="93">
        <v>3.98</v>
      </c>
      <c r="Q204" s="94">
        <v>30</v>
      </c>
      <c r="R204" s="93">
        <f t="shared" si="12"/>
        <v>119.4</v>
      </c>
      <c r="S204" s="95">
        <v>0.1</v>
      </c>
      <c r="T204" s="96">
        <f t="shared" si="13"/>
        <v>11.940000000000001</v>
      </c>
      <c r="U204" s="96">
        <f t="shared" si="14"/>
        <v>119.30000000000001</v>
      </c>
      <c r="V204" s="93">
        <v>0.83</v>
      </c>
      <c r="W204" s="97">
        <f t="shared" si="15"/>
        <v>120.13000000000001</v>
      </c>
    </row>
    <row r="205" spans="1:23" x14ac:dyDescent="0.25">
      <c r="A205" s="61" t="s">
        <v>298</v>
      </c>
      <c r="B205" s="91">
        <v>41484</v>
      </c>
      <c r="C205" s="92" t="s">
        <v>1574</v>
      </c>
      <c r="D205" s="92" t="s">
        <v>1340</v>
      </c>
      <c r="E205" s="92" t="s">
        <v>1199</v>
      </c>
      <c r="F205" s="92" t="s">
        <v>1254</v>
      </c>
      <c r="G205" s="92" t="s">
        <v>1201</v>
      </c>
      <c r="H205" s="92" t="s">
        <v>1255</v>
      </c>
      <c r="I205" s="92" t="s">
        <v>1256</v>
      </c>
      <c r="J205" s="92" t="s">
        <v>1575</v>
      </c>
      <c r="K205" s="92" t="s">
        <v>1243</v>
      </c>
      <c r="L205" s="92" t="s">
        <v>1260</v>
      </c>
      <c r="M205" s="92" t="s">
        <v>1241</v>
      </c>
      <c r="N205" s="91">
        <v>41485</v>
      </c>
      <c r="O205" s="93">
        <v>1.94</v>
      </c>
      <c r="P205" s="93">
        <v>3.08</v>
      </c>
      <c r="Q205" s="94">
        <v>38</v>
      </c>
      <c r="R205" s="93">
        <f t="shared" si="12"/>
        <v>117.04</v>
      </c>
      <c r="S205" s="95">
        <v>0.04</v>
      </c>
      <c r="T205" s="96">
        <f t="shared" si="13"/>
        <v>4.6816000000000004</v>
      </c>
      <c r="U205" s="96">
        <f t="shared" si="14"/>
        <v>117</v>
      </c>
      <c r="V205" s="93">
        <v>0.99</v>
      </c>
      <c r="W205" s="97">
        <f t="shared" si="15"/>
        <v>117.99</v>
      </c>
    </row>
    <row r="206" spans="1:23" x14ac:dyDescent="0.25">
      <c r="A206" s="61" t="s">
        <v>299</v>
      </c>
      <c r="B206" s="91">
        <v>41485</v>
      </c>
      <c r="C206" s="92" t="s">
        <v>1576</v>
      </c>
      <c r="D206" s="92" t="s">
        <v>1577</v>
      </c>
      <c r="E206" s="92" t="s">
        <v>1198</v>
      </c>
      <c r="F206" s="92" t="s">
        <v>1235</v>
      </c>
      <c r="G206" s="92" t="s">
        <v>1200</v>
      </c>
      <c r="H206" s="92" t="s">
        <v>1404</v>
      </c>
      <c r="I206" s="92" t="s">
        <v>1256</v>
      </c>
      <c r="J206" s="92" t="s">
        <v>1578</v>
      </c>
      <c r="K206" s="92" t="s">
        <v>1239</v>
      </c>
      <c r="L206" s="92" t="s">
        <v>1319</v>
      </c>
      <c r="M206" s="92" t="s">
        <v>1320</v>
      </c>
      <c r="N206" s="91">
        <v>41486</v>
      </c>
      <c r="O206" s="93">
        <v>76.790000000000006</v>
      </c>
      <c r="P206" s="93">
        <v>119.99</v>
      </c>
      <c r="Q206" s="94">
        <v>24</v>
      </c>
      <c r="R206" s="93">
        <f t="shared" si="12"/>
        <v>2879.7599999999998</v>
      </c>
      <c r="S206" s="95">
        <v>0.02</v>
      </c>
      <c r="T206" s="96">
        <f t="shared" si="13"/>
        <v>57.595199999999998</v>
      </c>
      <c r="U206" s="96">
        <f t="shared" si="14"/>
        <v>2879.74</v>
      </c>
      <c r="V206" s="93">
        <v>14</v>
      </c>
      <c r="W206" s="97">
        <f t="shared" si="15"/>
        <v>2893.74</v>
      </c>
    </row>
    <row r="207" spans="1:23" x14ac:dyDescent="0.25">
      <c r="A207" s="61" t="s">
        <v>300</v>
      </c>
      <c r="B207" s="91">
        <v>41488</v>
      </c>
      <c r="C207" s="92" t="s">
        <v>1579</v>
      </c>
      <c r="D207" s="92" t="s">
        <v>1290</v>
      </c>
      <c r="E207" s="92" t="s">
        <v>1198</v>
      </c>
      <c r="F207" s="92" t="s">
        <v>1235</v>
      </c>
      <c r="G207" s="92" t="s">
        <v>1200</v>
      </c>
      <c r="H207" s="92" t="s">
        <v>1291</v>
      </c>
      <c r="I207" s="92" t="s">
        <v>1256</v>
      </c>
      <c r="J207" s="92" t="s">
        <v>1396</v>
      </c>
      <c r="K207" s="92" t="s">
        <v>1243</v>
      </c>
      <c r="L207" s="92" t="s">
        <v>1244</v>
      </c>
      <c r="M207" s="92" t="s">
        <v>1250</v>
      </c>
      <c r="N207" s="91">
        <v>41490</v>
      </c>
      <c r="O207" s="93">
        <v>1.53</v>
      </c>
      <c r="P207" s="93">
        <v>2.78</v>
      </c>
      <c r="Q207" s="94">
        <v>40</v>
      </c>
      <c r="R207" s="93">
        <f t="shared" si="12"/>
        <v>111.19999999999999</v>
      </c>
      <c r="S207" s="95">
        <v>0.03</v>
      </c>
      <c r="T207" s="96">
        <f t="shared" si="13"/>
        <v>3.3359999999999994</v>
      </c>
      <c r="U207" s="96">
        <f t="shared" si="14"/>
        <v>111.16999999999999</v>
      </c>
      <c r="V207" s="93">
        <v>1.34</v>
      </c>
      <c r="W207" s="97">
        <f t="shared" si="15"/>
        <v>112.50999999999999</v>
      </c>
    </row>
    <row r="208" spans="1:23" x14ac:dyDescent="0.25">
      <c r="A208" s="61" t="s">
        <v>301</v>
      </c>
      <c r="B208" s="91">
        <v>41492</v>
      </c>
      <c r="C208" s="92" t="s">
        <v>1580</v>
      </c>
      <c r="D208" s="92" t="s">
        <v>1581</v>
      </c>
      <c r="E208" s="92" t="s">
        <v>1199</v>
      </c>
      <c r="F208" s="92" t="s">
        <v>1254</v>
      </c>
      <c r="G208" s="92" t="s">
        <v>1203</v>
      </c>
      <c r="H208" s="92" t="s">
        <v>1274</v>
      </c>
      <c r="I208" s="92" t="s">
        <v>1264</v>
      </c>
      <c r="J208" s="92" t="s">
        <v>1300</v>
      </c>
      <c r="K208" s="92" t="s">
        <v>1243</v>
      </c>
      <c r="L208" s="92" t="s">
        <v>1260</v>
      </c>
      <c r="M208" s="92" t="s">
        <v>1241</v>
      </c>
      <c r="N208" s="91">
        <v>41494</v>
      </c>
      <c r="O208" s="93">
        <v>2.2599999999999998</v>
      </c>
      <c r="P208" s="93">
        <v>3.58</v>
      </c>
      <c r="Q208" s="94">
        <v>46</v>
      </c>
      <c r="R208" s="93">
        <f t="shared" si="12"/>
        <v>164.68</v>
      </c>
      <c r="S208" s="95">
        <v>0.06</v>
      </c>
      <c r="T208" s="96">
        <f t="shared" si="13"/>
        <v>9.8808000000000007</v>
      </c>
      <c r="U208" s="96">
        <f t="shared" si="14"/>
        <v>164.62</v>
      </c>
      <c r="V208" s="93">
        <v>5.47</v>
      </c>
      <c r="W208" s="97">
        <f t="shared" si="15"/>
        <v>170.09</v>
      </c>
    </row>
    <row r="209" spans="1:23" x14ac:dyDescent="0.25">
      <c r="A209" s="61" t="s">
        <v>302</v>
      </c>
      <c r="B209" s="91">
        <v>41493</v>
      </c>
      <c r="C209" s="92" t="s">
        <v>1582</v>
      </c>
      <c r="D209" s="92" t="s">
        <v>1316</v>
      </c>
      <c r="E209" s="92" t="s">
        <v>1199</v>
      </c>
      <c r="F209" s="92" t="s">
        <v>1254</v>
      </c>
      <c r="G209" s="92" t="s">
        <v>1203</v>
      </c>
      <c r="H209" s="92" t="s">
        <v>1274</v>
      </c>
      <c r="I209" s="92" t="s">
        <v>1317</v>
      </c>
      <c r="J209" s="92" t="s">
        <v>1357</v>
      </c>
      <c r="K209" s="92" t="s">
        <v>1243</v>
      </c>
      <c r="L209" s="92" t="s">
        <v>1240</v>
      </c>
      <c r="M209" s="92" t="s">
        <v>1241</v>
      </c>
      <c r="N209" s="91">
        <v>41495</v>
      </c>
      <c r="O209" s="93">
        <v>1.46</v>
      </c>
      <c r="P209" s="93">
        <v>3.57</v>
      </c>
      <c r="Q209" s="94">
        <v>23</v>
      </c>
      <c r="R209" s="93">
        <f t="shared" si="12"/>
        <v>82.11</v>
      </c>
      <c r="S209" s="95">
        <v>0.09</v>
      </c>
      <c r="T209" s="96">
        <f t="shared" si="13"/>
        <v>7.3898999999999999</v>
      </c>
      <c r="U209" s="96">
        <f t="shared" si="14"/>
        <v>82.02</v>
      </c>
      <c r="V209" s="93">
        <v>4.17</v>
      </c>
      <c r="W209" s="97">
        <f t="shared" si="15"/>
        <v>86.19</v>
      </c>
    </row>
    <row r="210" spans="1:23" x14ac:dyDescent="0.25">
      <c r="A210" s="61" t="s">
        <v>303</v>
      </c>
      <c r="B210" s="91">
        <v>41494</v>
      </c>
      <c r="C210" s="92" t="s">
        <v>1583</v>
      </c>
      <c r="D210" s="92" t="s">
        <v>1234</v>
      </c>
      <c r="E210" s="92" t="s">
        <v>1198</v>
      </c>
      <c r="F210" s="92" t="s">
        <v>1235</v>
      </c>
      <c r="G210" s="92" t="s">
        <v>1203</v>
      </c>
      <c r="H210" s="92" t="s">
        <v>1236</v>
      </c>
      <c r="I210" s="92" t="s">
        <v>1256</v>
      </c>
      <c r="J210" s="92" t="s">
        <v>1567</v>
      </c>
      <c r="K210" s="92" t="s">
        <v>1239</v>
      </c>
      <c r="L210" s="92" t="s">
        <v>1260</v>
      </c>
      <c r="M210" s="92" t="s">
        <v>1250</v>
      </c>
      <c r="N210" s="91">
        <v>41495</v>
      </c>
      <c r="O210" s="93">
        <v>6.51</v>
      </c>
      <c r="P210" s="93">
        <v>30.98</v>
      </c>
      <c r="Q210" s="94">
        <v>44</v>
      </c>
      <c r="R210" s="93">
        <f t="shared" si="12"/>
        <v>1363.1200000000001</v>
      </c>
      <c r="S210" s="95">
        <v>0.02</v>
      </c>
      <c r="T210" s="96">
        <f t="shared" si="13"/>
        <v>27.262400000000003</v>
      </c>
      <c r="U210" s="96">
        <f t="shared" si="14"/>
        <v>1363.1000000000001</v>
      </c>
      <c r="V210" s="93">
        <v>6.5</v>
      </c>
      <c r="W210" s="97">
        <f t="shared" si="15"/>
        <v>1369.6000000000001</v>
      </c>
    </row>
    <row r="211" spans="1:23" x14ac:dyDescent="0.25">
      <c r="A211" s="61" t="s">
        <v>304</v>
      </c>
      <c r="B211" s="91">
        <v>41495</v>
      </c>
      <c r="C211" s="92" t="s">
        <v>1584</v>
      </c>
      <c r="D211" s="92" t="s">
        <v>1585</v>
      </c>
      <c r="E211" s="92" t="s">
        <v>1198</v>
      </c>
      <c r="F211" s="92" t="s">
        <v>1235</v>
      </c>
      <c r="G211" s="92" t="s">
        <v>1203</v>
      </c>
      <c r="H211" s="92" t="s">
        <v>1291</v>
      </c>
      <c r="I211" s="92" t="s">
        <v>1256</v>
      </c>
      <c r="J211" s="92" t="s">
        <v>1586</v>
      </c>
      <c r="K211" s="92" t="s">
        <v>1243</v>
      </c>
      <c r="L211" s="92" t="s">
        <v>1260</v>
      </c>
      <c r="M211" s="92" t="s">
        <v>1241</v>
      </c>
      <c r="N211" s="91">
        <v>41496</v>
      </c>
      <c r="O211" s="93">
        <v>18.38</v>
      </c>
      <c r="P211" s="93">
        <v>29.17</v>
      </c>
      <c r="Q211" s="94">
        <v>8</v>
      </c>
      <c r="R211" s="93">
        <f t="shared" si="12"/>
        <v>233.36</v>
      </c>
      <c r="S211" s="95">
        <v>0.02</v>
      </c>
      <c r="T211" s="96">
        <f t="shared" si="13"/>
        <v>4.6672000000000002</v>
      </c>
      <c r="U211" s="96">
        <f t="shared" si="14"/>
        <v>233.34</v>
      </c>
      <c r="V211" s="93">
        <v>6.27</v>
      </c>
      <c r="W211" s="97">
        <f t="shared" si="15"/>
        <v>239.61</v>
      </c>
    </row>
    <row r="212" spans="1:23" x14ac:dyDescent="0.25">
      <c r="A212" s="61" t="s">
        <v>305</v>
      </c>
      <c r="B212" s="91">
        <v>41495</v>
      </c>
      <c r="C212" s="92" t="s">
        <v>1587</v>
      </c>
      <c r="D212" s="92" t="s">
        <v>1355</v>
      </c>
      <c r="E212" s="92" t="s">
        <v>1199</v>
      </c>
      <c r="F212" s="92" t="s">
        <v>1254</v>
      </c>
      <c r="G212" s="92" t="s">
        <v>1201</v>
      </c>
      <c r="H212" s="92" t="s">
        <v>1274</v>
      </c>
      <c r="I212" s="92" t="s">
        <v>1248</v>
      </c>
      <c r="J212" s="92" t="s">
        <v>1318</v>
      </c>
      <c r="K212" s="92" t="s">
        <v>1239</v>
      </c>
      <c r="L212" s="92" t="s">
        <v>1296</v>
      </c>
      <c r="M212" s="92" t="s">
        <v>1241</v>
      </c>
      <c r="N212" s="91">
        <v>41499</v>
      </c>
      <c r="O212" s="93">
        <v>216</v>
      </c>
      <c r="P212" s="93">
        <v>449.99</v>
      </c>
      <c r="Q212" s="94">
        <v>40</v>
      </c>
      <c r="R212" s="93">
        <f t="shared" si="12"/>
        <v>17999.599999999999</v>
      </c>
      <c r="S212" s="95">
        <v>0.04</v>
      </c>
      <c r="T212" s="96">
        <f t="shared" si="13"/>
        <v>719.98399999999992</v>
      </c>
      <c r="U212" s="96">
        <f t="shared" si="14"/>
        <v>17999.559999999998</v>
      </c>
      <c r="V212" s="93">
        <v>24.49</v>
      </c>
      <c r="W212" s="97">
        <f t="shared" si="15"/>
        <v>18024.05</v>
      </c>
    </row>
    <row r="213" spans="1:23" x14ac:dyDescent="0.25">
      <c r="A213" s="61" t="s">
        <v>306</v>
      </c>
      <c r="B213" s="91">
        <v>41495</v>
      </c>
      <c r="C213" s="92" t="s">
        <v>1588</v>
      </c>
      <c r="D213" s="92" t="s">
        <v>1496</v>
      </c>
      <c r="E213" s="92" t="s">
        <v>1198</v>
      </c>
      <c r="F213" s="92" t="s">
        <v>1235</v>
      </c>
      <c r="G213" s="92" t="s">
        <v>1200</v>
      </c>
      <c r="H213" s="92" t="s">
        <v>1313</v>
      </c>
      <c r="I213" s="92" t="s">
        <v>1248</v>
      </c>
      <c r="J213" s="92" t="s">
        <v>1413</v>
      </c>
      <c r="K213" s="92" t="s">
        <v>1239</v>
      </c>
      <c r="L213" s="92" t="s">
        <v>1319</v>
      </c>
      <c r="M213" s="92" t="s">
        <v>1320</v>
      </c>
      <c r="N213" s="91">
        <v>41502</v>
      </c>
      <c r="O213" s="93">
        <v>75</v>
      </c>
      <c r="P213" s="93">
        <v>120.97</v>
      </c>
      <c r="Q213" s="94">
        <v>35</v>
      </c>
      <c r="R213" s="93">
        <f t="shared" si="12"/>
        <v>4233.95</v>
      </c>
      <c r="S213" s="95">
        <v>0.08</v>
      </c>
      <c r="T213" s="96">
        <f t="shared" si="13"/>
        <v>338.71600000000001</v>
      </c>
      <c r="U213" s="96">
        <f t="shared" si="14"/>
        <v>4233.87</v>
      </c>
      <c r="V213" s="93">
        <v>26.3</v>
      </c>
      <c r="W213" s="97">
        <f t="shared" si="15"/>
        <v>4260.17</v>
      </c>
    </row>
    <row r="214" spans="1:23" x14ac:dyDescent="0.25">
      <c r="A214" s="61" t="s">
        <v>307</v>
      </c>
      <c r="B214" s="91">
        <v>41496</v>
      </c>
      <c r="C214" s="92" t="s">
        <v>1589</v>
      </c>
      <c r="D214" s="92" t="s">
        <v>1340</v>
      </c>
      <c r="E214" s="92" t="s">
        <v>1199</v>
      </c>
      <c r="F214" s="92" t="s">
        <v>1254</v>
      </c>
      <c r="G214" s="92" t="s">
        <v>1202</v>
      </c>
      <c r="H214" s="92" t="s">
        <v>1255</v>
      </c>
      <c r="I214" s="92" t="s">
        <v>1317</v>
      </c>
      <c r="J214" s="92" t="s">
        <v>1590</v>
      </c>
      <c r="K214" s="92" t="s">
        <v>1243</v>
      </c>
      <c r="L214" s="92" t="s">
        <v>1260</v>
      </c>
      <c r="M214" s="92" t="s">
        <v>1241</v>
      </c>
      <c r="N214" s="91">
        <v>41498</v>
      </c>
      <c r="O214" s="93">
        <v>3.5</v>
      </c>
      <c r="P214" s="93">
        <v>5.74</v>
      </c>
      <c r="Q214" s="94">
        <v>50</v>
      </c>
      <c r="R214" s="93">
        <f t="shared" si="12"/>
        <v>287</v>
      </c>
      <c r="S214" s="95">
        <v>0.1</v>
      </c>
      <c r="T214" s="96">
        <f t="shared" si="13"/>
        <v>28.700000000000003</v>
      </c>
      <c r="U214" s="96">
        <f t="shared" si="14"/>
        <v>286.89999999999998</v>
      </c>
      <c r="V214" s="93">
        <v>5.01</v>
      </c>
      <c r="W214" s="97">
        <f t="shared" si="15"/>
        <v>291.90999999999997</v>
      </c>
    </row>
    <row r="215" spans="1:23" x14ac:dyDescent="0.25">
      <c r="A215" s="61" t="s">
        <v>308</v>
      </c>
      <c r="B215" s="91">
        <v>41497</v>
      </c>
      <c r="C215" s="92" t="s">
        <v>1591</v>
      </c>
      <c r="D215" s="92" t="s">
        <v>1572</v>
      </c>
      <c r="E215" s="92" t="s">
        <v>1199</v>
      </c>
      <c r="F215" s="92" t="s">
        <v>1254</v>
      </c>
      <c r="G215" s="92" t="s">
        <v>1200</v>
      </c>
      <c r="H215" s="92" t="s">
        <v>1274</v>
      </c>
      <c r="I215" s="92" t="s">
        <v>1248</v>
      </c>
      <c r="J215" s="92" t="s">
        <v>1328</v>
      </c>
      <c r="K215" s="92" t="s">
        <v>1243</v>
      </c>
      <c r="L215" s="92" t="s">
        <v>1244</v>
      </c>
      <c r="M215" s="92" t="s">
        <v>1241</v>
      </c>
      <c r="N215" s="91">
        <v>41499</v>
      </c>
      <c r="O215" s="93">
        <v>0.93</v>
      </c>
      <c r="P215" s="93">
        <v>1.48</v>
      </c>
      <c r="Q215" s="94">
        <v>19</v>
      </c>
      <c r="R215" s="93">
        <f t="shared" si="12"/>
        <v>28.12</v>
      </c>
      <c r="S215" s="95">
        <v>0.09</v>
      </c>
      <c r="T215" s="96">
        <f t="shared" si="13"/>
        <v>2.5308000000000002</v>
      </c>
      <c r="U215" s="96">
        <f t="shared" si="14"/>
        <v>28.03</v>
      </c>
      <c r="V215" s="93">
        <v>0.7</v>
      </c>
      <c r="W215" s="97">
        <f t="shared" si="15"/>
        <v>28.73</v>
      </c>
    </row>
    <row r="216" spans="1:23" x14ac:dyDescent="0.25">
      <c r="A216" s="61" t="s">
        <v>309</v>
      </c>
      <c r="B216" s="91">
        <v>41498</v>
      </c>
      <c r="C216" s="92" t="s">
        <v>1592</v>
      </c>
      <c r="D216" s="92" t="s">
        <v>1444</v>
      </c>
      <c r="E216" s="92" t="s">
        <v>1198</v>
      </c>
      <c r="F216" s="92" t="s">
        <v>1235</v>
      </c>
      <c r="G216" s="92" t="s">
        <v>1201</v>
      </c>
      <c r="H216" s="92" t="s">
        <v>1313</v>
      </c>
      <c r="I216" s="92" t="s">
        <v>1317</v>
      </c>
      <c r="J216" s="92" t="s">
        <v>1276</v>
      </c>
      <c r="K216" s="92" t="s">
        <v>1243</v>
      </c>
      <c r="L216" s="92" t="s">
        <v>1260</v>
      </c>
      <c r="M216" s="92" t="s">
        <v>1250</v>
      </c>
      <c r="N216" s="91">
        <v>41500</v>
      </c>
      <c r="O216" s="93">
        <v>67.73</v>
      </c>
      <c r="P216" s="93">
        <v>165.2</v>
      </c>
      <c r="Q216" s="94">
        <v>37</v>
      </c>
      <c r="R216" s="93">
        <f t="shared" si="12"/>
        <v>6112.4</v>
      </c>
      <c r="S216" s="95">
        <v>0.04</v>
      </c>
      <c r="T216" s="96">
        <f t="shared" si="13"/>
        <v>244.49599999999998</v>
      </c>
      <c r="U216" s="96">
        <f t="shared" si="14"/>
        <v>6112.36</v>
      </c>
      <c r="V216" s="93">
        <v>19.989999999999998</v>
      </c>
      <c r="W216" s="97">
        <f t="shared" si="15"/>
        <v>6132.3499999999995</v>
      </c>
    </row>
    <row r="217" spans="1:23" x14ac:dyDescent="0.25">
      <c r="A217" s="61" t="s">
        <v>310</v>
      </c>
      <c r="B217" s="91">
        <v>41500</v>
      </c>
      <c r="C217" s="92" t="s">
        <v>1457</v>
      </c>
      <c r="D217" s="92" t="s">
        <v>1458</v>
      </c>
      <c r="E217" s="92" t="s">
        <v>1198</v>
      </c>
      <c r="F217" s="92" t="s">
        <v>1235</v>
      </c>
      <c r="G217" s="92" t="s">
        <v>1200</v>
      </c>
      <c r="H217" s="92" t="s">
        <v>1404</v>
      </c>
      <c r="I217" s="92" t="s">
        <v>1248</v>
      </c>
      <c r="J217" s="92" t="s">
        <v>1593</v>
      </c>
      <c r="K217" s="92" t="s">
        <v>1243</v>
      </c>
      <c r="L217" s="92" t="s">
        <v>1260</v>
      </c>
      <c r="M217" s="92" t="s">
        <v>1241</v>
      </c>
      <c r="N217" s="91">
        <v>41509</v>
      </c>
      <c r="O217" s="93">
        <v>2.1800000000000002</v>
      </c>
      <c r="P217" s="93">
        <v>3.52</v>
      </c>
      <c r="Q217" s="94">
        <v>12</v>
      </c>
      <c r="R217" s="93">
        <f t="shared" si="12"/>
        <v>42.24</v>
      </c>
      <c r="S217" s="95">
        <v>0.04</v>
      </c>
      <c r="T217" s="96">
        <f t="shared" si="13"/>
        <v>1.6896000000000002</v>
      </c>
      <c r="U217" s="96">
        <f t="shared" si="14"/>
        <v>42.2</v>
      </c>
      <c r="V217" s="93">
        <v>6.83</v>
      </c>
      <c r="W217" s="97">
        <f t="shared" si="15"/>
        <v>49.03</v>
      </c>
    </row>
    <row r="218" spans="1:23" x14ac:dyDescent="0.25">
      <c r="A218" s="61" t="s">
        <v>311</v>
      </c>
      <c r="B218" s="91">
        <v>41501</v>
      </c>
      <c r="C218" s="92" t="s">
        <v>1588</v>
      </c>
      <c r="D218" s="92" t="s">
        <v>1496</v>
      </c>
      <c r="E218" s="92" t="s">
        <v>1198</v>
      </c>
      <c r="F218" s="92" t="s">
        <v>1235</v>
      </c>
      <c r="G218" s="92" t="s">
        <v>1200</v>
      </c>
      <c r="H218" s="92" t="s">
        <v>1313</v>
      </c>
      <c r="I218" s="92" t="s">
        <v>1317</v>
      </c>
      <c r="J218" s="92" t="s">
        <v>1266</v>
      </c>
      <c r="K218" s="92" t="s">
        <v>1243</v>
      </c>
      <c r="L218" s="92" t="s">
        <v>1244</v>
      </c>
      <c r="M218" s="92" t="s">
        <v>1250</v>
      </c>
      <c r="N218" s="91">
        <v>41502</v>
      </c>
      <c r="O218" s="93">
        <v>1.31</v>
      </c>
      <c r="P218" s="93">
        <v>2.84</v>
      </c>
      <c r="Q218" s="94">
        <v>13</v>
      </c>
      <c r="R218" s="93">
        <f t="shared" si="12"/>
        <v>36.92</v>
      </c>
      <c r="S218" s="95">
        <v>0.01</v>
      </c>
      <c r="T218" s="96">
        <f t="shared" si="13"/>
        <v>0.36920000000000003</v>
      </c>
      <c r="U218" s="96">
        <f t="shared" si="14"/>
        <v>36.910000000000004</v>
      </c>
      <c r="V218" s="93">
        <v>0.93</v>
      </c>
      <c r="W218" s="97">
        <f t="shared" si="15"/>
        <v>37.840000000000003</v>
      </c>
    </row>
    <row r="219" spans="1:23" x14ac:dyDescent="0.25">
      <c r="A219" s="61" t="s">
        <v>312</v>
      </c>
      <c r="B219" s="91">
        <v>41503</v>
      </c>
      <c r="C219" s="92" t="s">
        <v>1594</v>
      </c>
      <c r="D219" s="92" t="s">
        <v>1278</v>
      </c>
      <c r="E219" s="92" t="s">
        <v>1198</v>
      </c>
      <c r="F219" s="92" t="s">
        <v>1235</v>
      </c>
      <c r="G219" s="92" t="s">
        <v>1200</v>
      </c>
      <c r="H219" s="92" t="s">
        <v>1236</v>
      </c>
      <c r="I219" s="92" t="s">
        <v>1256</v>
      </c>
      <c r="J219" s="92" t="s">
        <v>1321</v>
      </c>
      <c r="K219" s="92" t="s">
        <v>1243</v>
      </c>
      <c r="L219" s="92" t="s">
        <v>1244</v>
      </c>
      <c r="M219" s="92" t="s">
        <v>1241</v>
      </c>
      <c r="N219" s="91">
        <v>41503</v>
      </c>
      <c r="O219" s="93">
        <v>2.52</v>
      </c>
      <c r="P219" s="93">
        <v>4</v>
      </c>
      <c r="Q219" s="94">
        <v>41</v>
      </c>
      <c r="R219" s="93">
        <f t="shared" si="12"/>
        <v>164</v>
      </c>
      <c r="S219" s="95">
        <v>0.02</v>
      </c>
      <c r="T219" s="96">
        <f t="shared" si="13"/>
        <v>3.2800000000000002</v>
      </c>
      <c r="U219" s="96">
        <f t="shared" si="14"/>
        <v>163.98</v>
      </c>
      <c r="V219" s="93">
        <v>1.3</v>
      </c>
      <c r="W219" s="97">
        <f t="shared" si="15"/>
        <v>165.28</v>
      </c>
    </row>
    <row r="220" spans="1:23" x14ac:dyDescent="0.25">
      <c r="A220" s="61" t="s">
        <v>313</v>
      </c>
      <c r="B220" s="91">
        <v>41506</v>
      </c>
      <c r="C220" s="92" t="s">
        <v>1595</v>
      </c>
      <c r="D220" s="92" t="s">
        <v>1451</v>
      </c>
      <c r="E220" s="92" t="s">
        <v>1198</v>
      </c>
      <c r="F220" s="92" t="s">
        <v>1235</v>
      </c>
      <c r="G220" s="92" t="s">
        <v>1203</v>
      </c>
      <c r="H220" s="92" t="s">
        <v>1291</v>
      </c>
      <c r="I220" s="92" t="s">
        <v>1317</v>
      </c>
      <c r="J220" s="92" t="s">
        <v>1381</v>
      </c>
      <c r="K220" s="92" t="s">
        <v>1382</v>
      </c>
      <c r="L220" s="92" t="s">
        <v>1296</v>
      </c>
      <c r="M220" s="92" t="s">
        <v>1250</v>
      </c>
      <c r="N220" s="91">
        <v>41508</v>
      </c>
      <c r="O220" s="93">
        <v>56.16</v>
      </c>
      <c r="P220" s="93">
        <v>136.97999999999999</v>
      </c>
      <c r="Q220" s="94">
        <v>41</v>
      </c>
      <c r="R220" s="93">
        <f t="shared" si="12"/>
        <v>5616.1799999999994</v>
      </c>
      <c r="S220" s="95">
        <v>0.04</v>
      </c>
      <c r="T220" s="96">
        <f t="shared" si="13"/>
        <v>224.64719999999997</v>
      </c>
      <c r="U220" s="96">
        <f t="shared" si="14"/>
        <v>5616.1399999999994</v>
      </c>
      <c r="V220" s="93">
        <v>24.49</v>
      </c>
      <c r="W220" s="97">
        <f t="shared" si="15"/>
        <v>5640.6299999999992</v>
      </c>
    </row>
    <row r="221" spans="1:23" x14ac:dyDescent="0.25">
      <c r="A221" s="61" t="s">
        <v>314</v>
      </c>
      <c r="B221" s="91">
        <v>41506</v>
      </c>
      <c r="C221" s="92" t="s">
        <v>1596</v>
      </c>
      <c r="D221" s="92" t="s">
        <v>1299</v>
      </c>
      <c r="E221" s="92" t="s">
        <v>1198</v>
      </c>
      <c r="F221" s="92" t="s">
        <v>1235</v>
      </c>
      <c r="G221" s="92" t="s">
        <v>1201</v>
      </c>
      <c r="H221" s="92" t="s">
        <v>1236</v>
      </c>
      <c r="I221" s="92" t="s">
        <v>1248</v>
      </c>
      <c r="J221" s="92" t="s">
        <v>1242</v>
      </c>
      <c r="K221" s="92" t="s">
        <v>1243</v>
      </c>
      <c r="L221" s="92" t="s">
        <v>1244</v>
      </c>
      <c r="M221" s="92" t="s">
        <v>1241</v>
      </c>
      <c r="N221" s="91">
        <v>41508</v>
      </c>
      <c r="O221" s="93">
        <v>3.47</v>
      </c>
      <c r="P221" s="93">
        <v>6.68</v>
      </c>
      <c r="Q221" s="94">
        <v>5</v>
      </c>
      <c r="R221" s="93">
        <f t="shared" si="12"/>
        <v>33.4</v>
      </c>
      <c r="S221" s="95">
        <v>0.09</v>
      </c>
      <c r="T221" s="96">
        <f t="shared" si="13"/>
        <v>3.0059999999999998</v>
      </c>
      <c r="U221" s="96">
        <f t="shared" si="14"/>
        <v>33.309999999999995</v>
      </c>
      <c r="V221" s="93">
        <v>1.5</v>
      </c>
      <c r="W221" s="97">
        <f t="shared" si="15"/>
        <v>34.809999999999995</v>
      </c>
    </row>
    <row r="222" spans="1:23" x14ac:dyDescent="0.25">
      <c r="A222" s="61" t="s">
        <v>315</v>
      </c>
      <c r="B222" s="91">
        <v>41508</v>
      </c>
      <c r="C222" s="92" t="s">
        <v>1597</v>
      </c>
      <c r="D222" s="92" t="s">
        <v>1598</v>
      </c>
      <c r="E222" s="92" t="s">
        <v>1198</v>
      </c>
      <c r="F222" s="92" t="s">
        <v>1235</v>
      </c>
      <c r="G222" s="92" t="s">
        <v>1201</v>
      </c>
      <c r="H222" s="92" t="s">
        <v>1471</v>
      </c>
      <c r="I222" s="92" t="s">
        <v>1248</v>
      </c>
      <c r="J222" s="92" t="s">
        <v>1276</v>
      </c>
      <c r="K222" s="92" t="s">
        <v>1243</v>
      </c>
      <c r="L222" s="92" t="s">
        <v>1260</v>
      </c>
      <c r="M222" s="92" t="s">
        <v>1241</v>
      </c>
      <c r="N222" s="91">
        <v>41510</v>
      </c>
      <c r="O222" s="93">
        <v>67.73</v>
      </c>
      <c r="P222" s="93">
        <v>165.2</v>
      </c>
      <c r="Q222" s="94">
        <v>23</v>
      </c>
      <c r="R222" s="93">
        <f t="shared" si="12"/>
        <v>3799.6</v>
      </c>
      <c r="S222" s="95">
        <v>7.0000000000000007E-2</v>
      </c>
      <c r="T222" s="96">
        <f t="shared" si="13"/>
        <v>265.97200000000004</v>
      </c>
      <c r="U222" s="96">
        <f t="shared" si="14"/>
        <v>3799.5299999999997</v>
      </c>
      <c r="V222" s="93">
        <v>19.989999999999998</v>
      </c>
      <c r="W222" s="97">
        <f t="shared" si="15"/>
        <v>3819.5199999999995</v>
      </c>
    </row>
    <row r="223" spans="1:23" x14ac:dyDescent="0.25">
      <c r="A223" s="61" t="s">
        <v>316</v>
      </c>
      <c r="B223" s="91">
        <v>41510</v>
      </c>
      <c r="C223" s="92" t="s">
        <v>1599</v>
      </c>
      <c r="D223" s="92" t="s">
        <v>1428</v>
      </c>
      <c r="E223" s="92" t="s">
        <v>1198</v>
      </c>
      <c r="F223" s="92" t="s">
        <v>1235</v>
      </c>
      <c r="G223" s="92" t="s">
        <v>1203</v>
      </c>
      <c r="H223" s="92" t="s">
        <v>1313</v>
      </c>
      <c r="I223" s="92" t="s">
        <v>1256</v>
      </c>
      <c r="J223" s="92" t="s">
        <v>1331</v>
      </c>
      <c r="K223" s="92" t="s">
        <v>1243</v>
      </c>
      <c r="L223" s="92" t="s">
        <v>1240</v>
      </c>
      <c r="M223" s="92" t="s">
        <v>1241</v>
      </c>
      <c r="N223" s="91">
        <v>41513</v>
      </c>
      <c r="O223" s="93">
        <v>5.19</v>
      </c>
      <c r="P223" s="93">
        <v>12.98</v>
      </c>
      <c r="Q223" s="94">
        <v>45</v>
      </c>
      <c r="R223" s="93">
        <f t="shared" si="12"/>
        <v>584.1</v>
      </c>
      <c r="S223" s="95">
        <v>0.02</v>
      </c>
      <c r="T223" s="96">
        <f t="shared" si="13"/>
        <v>11.682</v>
      </c>
      <c r="U223" s="96">
        <f t="shared" si="14"/>
        <v>584.08000000000004</v>
      </c>
      <c r="V223" s="93">
        <v>3.14</v>
      </c>
      <c r="W223" s="97">
        <f t="shared" si="15"/>
        <v>587.22</v>
      </c>
    </row>
    <row r="224" spans="1:23" x14ac:dyDescent="0.25">
      <c r="A224" s="61" t="s">
        <v>317</v>
      </c>
      <c r="B224" s="91">
        <v>41511</v>
      </c>
      <c r="C224" s="92" t="s">
        <v>1600</v>
      </c>
      <c r="D224" s="92" t="s">
        <v>1454</v>
      </c>
      <c r="E224" s="92" t="s">
        <v>1198</v>
      </c>
      <c r="F224" s="92" t="s">
        <v>1235</v>
      </c>
      <c r="G224" s="92" t="s">
        <v>1203</v>
      </c>
      <c r="H224" s="92" t="s">
        <v>1304</v>
      </c>
      <c r="I224" s="92" t="s">
        <v>1256</v>
      </c>
      <c r="J224" s="92" t="s">
        <v>1324</v>
      </c>
      <c r="K224" s="92" t="s">
        <v>1243</v>
      </c>
      <c r="L224" s="92" t="s">
        <v>1260</v>
      </c>
      <c r="M224" s="92" t="s">
        <v>1241</v>
      </c>
      <c r="N224" s="91">
        <v>41512</v>
      </c>
      <c r="O224" s="93">
        <v>1.18</v>
      </c>
      <c r="P224" s="93">
        <v>1.88</v>
      </c>
      <c r="Q224" s="94">
        <v>42</v>
      </c>
      <c r="R224" s="93">
        <f t="shared" si="12"/>
        <v>78.959999999999994</v>
      </c>
      <c r="S224" s="95">
        <v>0</v>
      </c>
      <c r="T224" s="96">
        <f t="shared" si="13"/>
        <v>0</v>
      </c>
      <c r="U224" s="96">
        <f t="shared" si="14"/>
        <v>78.959999999999994</v>
      </c>
      <c r="V224" s="93">
        <v>1.49</v>
      </c>
      <c r="W224" s="97">
        <f t="shared" si="15"/>
        <v>80.449999999999989</v>
      </c>
    </row>
    <row r="225" spans="1:23" x14ac:dyDescent="0.25">
      <c r="A225" s="61" t="s">
        <v>318</v>
      </c>
      <c r="B225" s="91">
        <v>41511</v>
      </c>
      <c r="C225" s="92" t="s">
        <v>1601</v>
      </c>
      <c r="D225" s="92" t="s">
        <v>1602</v>
      </c>
      <c r="E225" s="92" t="s">
        <v>1198</v>
      </c>
      <c r="F225" s="92" t="s">
        <v>1235</v>
      </c>
      <c r="G225" s="92" t="s">
        <v>1201</v>
      </c>
      <c r="H225" s="92" t="s">
        <v>1313</v>
      </c>
      <c r="I225" s="92" t="s">
        <v>1237</v>
      </c>
      <c r="J225" s="92" t="s">
        <v>1456</v>
      </c>
      <c r="K225" s="92" t="s">
        <v>1243</v>
      </c>
      <c r="L225" s="92" t="s">
        <v>1260</v>
      </c>
      <c r="M225" s="92" t="s">
        <v>1241</v>
      </c>
      <c r="N225" s="91">
        <v>41512</v>
      </c>
      <c r="O225" s="93">
        <v>3.52</v>
      </c>
      <c r="P225" s="93">
        <v>5.68</v>
      </c>
      <c r="Q225" s="94">
        <v>32</v>
      </c>
      <c r="R225" s="93">
        <f t="shared" si="12"/>
        <v>181.76</v>
      </c>
      <c r="S225" s="95">
        <v>0.05</v>
      </c>
      <c r="T225" s="96">
        <f t="shared" si="13"/>
        <v>9.0879999999999992</v>
      </c>
      <c r="U225" s="96">
        <f t="shared" si="14"/>
        <v>181.70999999999998</v>
      </c>
      <c r="V225" s="93">
        <v>1.39</v>
      </c>
      <c r="W225" s="97">
        <f t="shared" si="15"/>
        <v>183.09999999999997</v>
      </c>
    </row>
    <row r="226" spans="1:23" x14ac:dyDescent="0.25">
      <c r="A226" s="61" t="s">
        <v>319</v>
      </c>
      <c r="B226" s="91">
        <v>41514</v>
      </c>
      <c r="C226" s="92" t="s">
        <v>1603</v>
      </c>
      <c r="D226" s="92" t="s">
        <v>1451</v>
      </c>
      <c r="E226" s="92" t="s">
        <v>1198</v>
      </c>
      <c r="F226" s="92" t="s">
        <v>1235</v>
      </c>
      <c r="G226" s="92" t="s">
        <v>1202</v>
      </c>
      <c r="H226" s="92" t="s">
        <v>1291</v>
      </c>
      <c r="I226" s="92" t="s">
        <v>1256</v>
      </c>
      <c r="J226" s="92" t="s">
        <v>1575</v>
      </c>
      <c r="K226" s="92" t="s">
        <v>1243</v>
      </c>
      <c r="L226" s="92" t="s">
        <v>1260</v>
      </c>
      <c r="M226" s="92" t="s">
        <v>1241</v>
      </c>
      <c r="N226" s="91">
        <v>41515</v>
      </c>
      <c r="O226" s="93">
        <v>1.94</v>
      </c>
      <c r="P226" s="93">
        <v>3.08</v>
      </c>
      <c r="Q226" s="94">
        <v>45</v>
      </c>
      <c r="R226" s="93">
        <f t="shared" si="12"/>
        <v>138.6</v>
      </c>
      <c r="S226" s="95">
        <v>0.04</v>
      </c>
      <c r="T226" s="96">
        <f t="shared" si="13"/>
        <v>5.5439999999999996</v>
      </c>
      <c r="U226" s="96">
        <f t="shared" si="14"/>
        <v>138.56</v>
      </c>
      <c r="V226" s="93">
        <v>0.99</v>
      </c>
      <c r="W226" s="97">
        <f t="shared" si="15"/>
        <v>139.55000000000001</v>
      </c>
    </row>
    <row r="227" spans="1:23" x14ac:dyDescent="0.25">
      <c r="A227" s="61" t="s">
        <v>320</v>
      </c>
      <c r="B227" s="91">
        <v>41515</v>
      </c>
      <c r="C227" s="92" t="s">
        <v>1601</v>
      </c>
      <c r="D227" s="92" t="s">
        <v>1602</v>
      </c>
      <c r="E227" s="92" t="s">
        <v>1198</v>
      </c>
      <c r="F227" s="92" t="s">
        <v>1235</v>
      </c>
      <c r="G227" s="92" t="s">
        <v>1202</v>
      </c>
      <c r="H227" s="92" t="s">
        <v>1313</v>
      </c>
      <c r="I227" s="92" t="s">
        <v>1256</v>
      </c>
      <c r="J227" s="92" t="s">
        <v>1479</v>
      </c>
      <c r="K227" s="92" t="s">
        <v>1243</v>
      </c>
      <c r="L227" s="92" t="s">
        <v>1260</v>
      </c>
      <c r="M227" s="92" t="s">
        <v>1241</v>
      </c>
      <c r="N227" s="91">
        <v>41516</v>
      </c>
      <c r="O227" s="93">
        <v>8.7100000000000009</v>
      </c>
      <c r="P227" s="93">
        <v>14.28</v>
      </c>
      <c r="Q227" s="94">
        <v>8</v>
      </c>
      <c r="R227" s="93">
        <f t="shared" si="12"/>
        <v>114.24</v>
      </c>
      <c r="S227" s="95">
        <v>0.01</v>
      </c>
      <c r="T227" s="96">
        <f t="shared" si="13"/>
        <v>1.1424000000000001</v>
      </c>
      <c r="U227" s="96">
        <f t="shared" si="14"/>
        <v>114.22999999999999</v>
      </c>
      <c r="V227" s="93">
        <v>2.99</v>
      </c>
      <c r="W227" s="97">
        <f t="shared" si="15"/>
        <v>117.21999999999998</v>
      </c>
    </row>
    <row r="228" spans="1:23" x14ac:dyDescent="0.25">
      <c r="A228" s="61" t="s">
        <v>321</v>
      </c>
      <c r="B228" s="91">
        <v>41515</v>
      </c>
      <c r="C228" s="92" t="s">
        <v>1604</v>
      </c>
      <c r="D228" s="92" t="s">
        <v>1451</v>
      </c>
      <c r="E228" s="92" t="s">
        <v>1198</v>
      </c>
      <c r="F228" s="92" t="s">
        <v>1235</v>
      </c>
      <c r="G228" s="92" t="s">
        <v>1203</v>
      </c>
      <c r="H228" s="92" t="s">
        <v>1291</v>
      </c>
      <c r="I228" s="92" t="s">
        <v>1248</v>
      </c>
      <c r="J228" s="92" t="s">
        <v>1522</v>
      </c>
      <c r="K228" s="92" t="s">
        <v>1239</v>
      </c>
      <c r="L228" s="92" t="s">
        <v>1260</v>
      </c>
      <c r="M228" s="92" t="s">
        <v>1241</v>
      </c>
      <c r="N228" s="91">
        <v>41520</v>
      </c>
      <c r="O228" s="93">
        <v>60.59</v>
      </c>
      <c r="P228" s="93">
        <v>100.98</v>
      </c>
      <c r="Q228" s="94">
        <v>12</v>
      </c>
      <c r="R228" s="93">
        <f t="shared" si="12"/>
        <v>1211.76</v>
      </c>
      <c r="S228" s="95">
        <v>0.04</v>
      </c>
      <c r="T228" s="96">
        <f t="shared" si="13"/>
        <v>48.470399999999998</v>
      </c>
      <c r="U228" s="96">
        <f t="shared" si="14"/>
        <v>1211.72</v>
      </c>
      <c r="V228" s="93">
        <v>7.18</v>
      </c>
      <c r="W228" s="97">
        <f t="shared" si="15"/>
        <v>1218.9000000000001</v>
      </c>
    </row>
    <row r="229" spans="1:23" x14ac:dyDescent="0.25">
      <c r="A229" s="61" t="s">
        <v>322</v>
      </c>
      <c r="B229" s="91">
        <v>41516</v>
      </c>
      <c r="C229" s="92" t="s">
        <v>1604</v>
      </c>
      <c r="D229" s="92" t="s">
        <v>1451</v>
      </c>
      <c r="E229" s="92" t="s">
        <v>1198</v>
      </c>
      <c r="F229" s="92" t="s">
        <v>1235</v>
      </c>
      <c r="G229" s="92" t="s">
        <v>1203</v>
      </c>
      <c r="H229" s="92" t="s">
        <v>1291</v>
      </c>
      <c r="I229" s="92" t="s">
        <v>1237</v>
      </c>
      <c r="J229" s="92" t="s">
        <v>1275</v>
      </c>
      <c r="K229" s="92" t="s">
        <v>1243</v>
      </c>
      <c r="L229" s="92" t="s">
        <v>1260</v>
      </c>
      <c r="M229" s="92" t="s">
        <v>1250</v>
      </c>
      <c r="N229" s="91">
        <v>41518</v>
      </c>
      <c r="O229" s="93">
        <v>2.4500000000000002</v>
      </c>
      <c r="P229" s="93">
        <v>3.89</v>
      </c>
      <c r="Q229" s="94">
        <v>32</v>
      </c>
      <c r="R229" s="93">
        <f t="shared" si="12"/>
        <v>124.48</v>
      </c>
      <c r="S229" s="95">
        <v>0.09</v>
      </c>
      <c r="T229" s="96">
        <f t="shared" si="13"/>
        <v>11.203200000000001</v>
      </c>
      <c r="U229" s="96">
        <f t="shared" si="14"/>
        <v>124.39</v>
      </c>
      <c r="V229" s="93">
        <v>7.01</v>
      </c>
      <c r="W229" s="97">
        <f t="shared" si="15"/>
        <v>131.4</v>
      </c>
    </row>
    <row r="230" spans="1:23" x14ac:dyDescent="0.25">
      <c r="A230" s="61" t="s">
        <v>323</v>
      </c>
      <c r="B230" s="91">
        <v>41518</v>
      </c>
      <c r="C230" s="92" t="s">
        <v>1605</v>
      </c>
      <c r="D230" s="92" t="s">
        <v>1268</v>
      </c>
      <c r="E230" s="92" t="s">
        <v>1198</v>
      </c>
      <c r="F230" s="92" t="s">
        <v>1235</v>
      </c>
      <c r="G230" s="92" t="s">
        <v>1203</v>
      </c>
      <c r="H230" s="92" t="s">
        <v>1269</v>
      </c>
      <c r="I230" s="92" t="s">
        <v>1264</v>
      </c>
      <c r="J230" s="92" t="s">
        <v>1324</v>
      </c>
      <c r="K230" s="92" t="s">
        <v>1243</v>
      </c>
      <c r="L230" s="92" t="s">
        <v>1260</v>
      </c>
      <c r="M230" s="92" t="s">
        <v>1241</v>
      </c>
      <c r="N230" s="91">
        <v>41519</v>
      </c>
      <c r="O230" s="93">
        <v>1.18</v>
      </c>
      <c r="P230" s="93">
        <v>1.88</v>
      </c>
      <c r="Q230" s="94">
        <v>43</v>
      </c>
      <c r="R230" s="93">
        <f t="shared" si="12"/>
        <v>80.839999999999989</v>
      </c>
      <c r="S230" s="95">
        <v>0.03</v>
      </c>
      <c r="T230" s="96">
        <f t="shared" si="13"/>
        <v>2.4251999999999998</v>
      </c>
      <c r="U230" s="96">
        <f t="shared" si="14"/>
        <v>80.809999999999988</v>
      </c>
      <c r="V230" s="93">
        <v>1.49</v>
      </c>
      <c r="W230" s="97">
        <f t="shared" si="15"/>
        <v>82.299999999999983</v>
      </c>
    </row>
    <row r="231" spans="1:23" x14ac:dyDescent="0.25">
      <c r="A231" s="61" t="s">
        <v>324</v>
      </c>
      <c r="B231" s="91">
        <v>41519</v>
      </c>
      <c r="C231" s="92" t="s">
        <v>1606</v>
      </c>
      <c r="D231" s="92" t="s">
        <v>1607</v>
      </c>
      <c r="E231" s="92" t="s">
        <v>1198</v>
      </c>
      <c r="F231" s="92" t="s">
        <v>1235</v>
      </c>
      <c r="G231" s="92" t="s">
        <v>1200</v>
      </c>
      <c r="H231" s="92" t="s">
        <v>1247</v>
      </c>
      <c r="I231" s="92" t="s">
        <v>1317</v>
      </c>
      <c r="J231" s="92" t="s">
        <v>1384</v>
      </c>
      <c r="K231" s="92" t="s">
        <v>1243</v>
      </c>
      <c r="L231" s="92" t="s">
        <v>1260</v>
      </c>
      <c r="M231" s="92" t="s">
        <v>1241</v>
      </c>
      <c r="N231" s="91">
        <v>41520</v>
      </c>
      <c r="O231" s="93">
        <v>4.46</v>
      </c>
      <c r="P231" s="93">
        <v>10.89</v>
      </c>
      <c r="Q231" s="94">
        <v>9</v>
      </c>
      <c r="R231" s="93">
        <f t="shared" si="12"/>
        <v>98.01</v>
      </c>
      <c r="S231" s="95">
        <v>0.03</v>
      </c>
      <c r="T231" s="96">
        <f t="shared" si="13"/>
        <v>2.9403000000000001</v>
      </c>
      <c r="U231" s="96">
        <f t="shared" si="14"/>
        <v>97.98</v>
      </c>
      <c r="V231" s="93">
        <v>4.5</v>
      </c>
      <c r="W231" s="97">
        <f t="shared" si="15"/>
        <v>102.48</v>
      </c>
    </row>
    <row r="232" spans="1:23" x14ac:dyDescent="0.25">
      <c r="A232" s="61" t="s">
        <v>325</v>
      </c>
      <c r="B232" s="91">
        <v>41520</v>
      </c>
      <c r="C232" s="92" t="s">
        <v>1467</v>
      </c>
      <c r="D232" s="92" t="s">
        <v>1330</v>
      </c>
      <c r="E232" s="92" t="s">
        <v>1199</v>
      </c>
      <c r="F232" s="92" t="s">
        <v>1254</v>
      </c>
      <c r="G232" s="92" t="s">
        <v>1200</v>
      </c>
      <c r="H232" s="92" t="s">
        <v>1255</v>
      </c>
      <c r="I232" s="92" t="s">
        <v>1248</v>
      </c>
      <c r="J232" s="92" t="s">
        <v>1357</v>
      </c>
      <c r="K232" s="92" t="s">
        <v>1243</v>
      </c>
      <c r="L232" s="92" t="s">
        <v>1240</v>
      </c>
      <c r="M232" s="92" t="s">
        <v>1241</v>
      </c>
      <c r="N232" s="91">
        <v>41522</v>
      </c>
      <c r="O232" s="93">
        <v>1.46</v>
      </c>
      <c r="P232" s="93">
        <v>3.57</v>
      </c>
      <c r="Q232" s="94">
        <v>26</v>
      </c>
      <c r="R232" s="93">
        <f t="shared" si="12"/>
        <v>92.82</v>
      </c>
      <c r="S232" s="95">
        <v>0.04</v>
      </c>
      <c r="T232" s="96">
        <f t="shared" si="13"/>
        <v>3.7127999999999997</v>
      </c>
      <c r="U232" s="96">
        <f t="shared" si="14"/>
        <v>92.779999999999987</v>
      </c>
      <c r="V232" s="93">
        <v>4.17</v>
      </c>
      <c r="W232" s="97">
        <f t="shared" si="15"/>
        <v>96.949999999999989</v>
      </c>
    </row>
    <row r="233" spans="1:23" x14ac:dyDescent="0.25">
      <c r="A233" s="61" t="s">
        <v>326</v>
      </c>
      <c r="B233" s="91">
        <v>41521</v>
      </c>
      <c r="C233" s="92" t="s">
        <v>1608</v>
      </c>
      <c r="D233" s="92" t="s">
        <v>1281</v>
      </c>
      <c r="E233" s="92" t="s">
        <v>1199</v>
      </c>
      <c r="F233" s="92" t="s">
        <v>1254</v>
      </c>
      <c r="G233" s="92" t="s">
        <v>1201</v>
      </c>
      <c r="H233" s="92" t="s">
        <v>1274</v>
      </c>
      <c r="I233" s="92" t="s">
        <v>1256</v>
      </c>
      <c r="J233" s="92" t="s">
        <v>1249</v>
      </c>
      <c r="K233" s="92" t="s">
        <v>1243</v>
      </c>
      <c r="L233" s="92" t="s">
        <v>1244</v>
      </c>
      <c r="M233" s="92" t="s">
        <v>1250</v>
      </c>
      <c r="N233" s="91">
        <v>41523</v>
      </c>
      <c r="O233" s="93">
        <v>3.32</v>
      </c>
      <c r="P233" s="93">
        <v>5.18</v>
      </c>
      <c r="Q233" s="94">
        <v>37</v>
      </c>
      <c r="R233" s="93">
        <f t="shared" si="12"/>
        <v>191.66</v>
      </c>
      <c r="S233" s="95">
        <v>7.0000000000000007E-2</v>
      </c>
      <c r="T233" s="96">
        <f t="shared" si="13"/>
        <v>13.416200000000002</v>
      </c>
      <c r="U233" s="96">
        <f t="shared" si="14"/>
        <v>191.59</v>
      </c>
      <c r="V233" s="93">
        <v>2.04</v>
      </c>
      <c r="W233" s="97">
        <f t="shared" si="15"/>
        <v>193.63</v>
      </c>
    </row>
    <row r="234" spans="1:23" x14ac:dyDescent="0.25">
      <c r="A234" s="61" t="s">
        <v>327</v>
      </c>
      <c r="B234" s="91">
        <v>41521</v>
      </c>
      <c r="C234" s="92" t="s">
        <v>1609</v>
      </c>
      <c r="D234" s="92" t="s">
        <v>1610</v>
      </c>
      <c r="E234" s="92" t="s">
        <v>1198</v>
      </c>
      <c r="F234" s="92" t="s">
        <v>1235</v>
      </c>
      <c r="G234" s="92" t="s">
        <v>1200</v>
      </c>
      <c r="H234" s="92" t="s">
        <v>1404</v>
      </c>
      <c r="I234" s="92" t="s">
        <v>1248</v>
      </c>
      <c r="J234" s="92" t="s">
        <v>1509</v>
      </c>
      <c r="K234" s="92" t="s">
        <v>1243</v>
      </c>
      <c r="L234" s="92" t="s">
        <v>1260</v>
      </c>
      <c r="M234" s="92" t="s">
        <v>1241</v>
      </c>
      <c r="N234" s="91">
        <v>41526</v>
      </c>
      <c r="O234" s="93">
        <v>3.84</v>
      </c>
      <c r="P234" s="93">
        <v>6.3</v>
      </c>
      <c r="Q234" s="94">
        <v>39</v>
      </c>
      <c r="R234" s="93">
        <f t="shared" si="12"/>
        <v>245.7</v>
      </c>
      <c r="S234" s="95">
        <v>0.1</v>
      </c>
      <c r="T234" s="96">
        <f t="shared" si="13"/>
        <v>24.57</v>
      </c>
      <c r="U234" s="96">
        <f t="shared" si="14"/>
        <v>245.6</v>
      </c>
      <c r="V234" s="93">
        <v>0.5</v>
      </c>
      <c r="W234" s="97">
        <f t="shared" si="15"/>
        <v>246.1</v>
      </c>
    </row>
    <row r="235" spans="1:23" x14ac:dyDescent="0.25">
      <c r="A235" s="61" t="s">
        <v>328</v>
      </c>
      <c r="B235" s="91">
        <v>41526</v>
      </c>
      <c r="C235" s="92" t="s">
        <v>1611</v>
      </c>
      <c r="D235" s="92" t="s">
        <v>1246</v>
      </c>
      <c r="E235" s="92" t="s">
        <v>1198</v>
      </c>
      <c r="F235" s="92" t="s">
        <v>1235</v>
      </c>
      <c r="G235" s="92" t="s">
        <v>1200</v>
      </c>
      <c r="H235" s="92" t="s">
        <v>1247</v>
      </c>
      <c r="I235" s="92" t="s">
        <v>1256</v>
      </c>
      <c r="J235" s="92" t="s">
        <v>1575</v>
      </c>
      <c r="K235" s="92" t="s">
        <v>1243</v>
      </c>
      <c r="L235" s="92" t="s">
        <v>1260</v>
      </c>
      <c r="M235" s="92" t="s">
        <v>1241</v>
      </c>
      <c r="N235" s="91">
        <v>41527</v>
      </c>
      <c r="O235" s="93">
        <v>1.94</v>
      </c>
      <c r="P235" s="93">
        <v>3.08</v>
      </c>
      <c r="Q235" s="94">
        <v>24</v>
      </c>
      <c r="R235" s="93">
        <f t="shared" si="12"/>
        <v>73.92</v>
      </c>
      <c r="S235" s="95">
        <v>0.04</v>
      </c>
      <c r="T235" s="96">
        <f t="shared" si="13"/>
        <v>2.9568000000000003</v>
      </c>
      <c r="U235" s="96">
        <f t="shared" si="14"/>
        <v>73.88</v>
      </c>
      <c r="V235" s="93">
        <v>0.99</v>
      </c>
      <c r="W235" s="97">
        <f t="shared" si="15"/>
        <v>74.86999999999999</v>
      </c>
    </row>
    <row r="236" spans="1:23" x14ac:dyDescent="0.25">
      <c r="A236" s="61" t="s">
        <v>329</v>
      </c>
      <c r="B236" s="91">
        <v>41527</v>
      </c>
      <c r="C236" s="92" t="s">
        <v>1612</v>
      </c>
      <c r="D236" s="92" t="s">
        <v>1613</v>
      </c>
      <c r="E236" s="92" t="s">
        <v>1198</v>
      </c>
      <c r="F236" s="92" t="s">
        <v>1235</v>
      </c>
      <c r="G236" s="92" t="s">
        <v>1200</v>
      </c>
      <c r="H236" s="92" t="s">
        <v>1313</v>
      </c>
      <c r="I236" s="92" t="s">
        <v>1256</v>
      </c>
      <c r="J236" s="92" t="s">
        <v>1527</v>
      </c>
      <c r="K236" s="92" t="s">
        <v>1243</v>
      </c>
      <c r="L236" s="92" t="s">
        <v>1244</v>
      </c>
      <c r="M236" s="92" t="s">
        <v>1241</v>
      </c>
      <c r="N236" s="91">
        <v>41529</v>
      </c>
      <c r="O236" s="93">
        <v>1.76</v>
      </c>
      <c r="P236" s="93">
        <v>3.38</v>
      </c>
      <c r="Q236" s="94">
        <v>27</v>
      </c>
      <c r="R236" s="93">
        <f t="shared" si="12"/>
        <v>91.259999999999991</v>
      </c>
      <c r="S236" s="95">
        <v>0.08</v>
      </c>
      <c r="T236" s="96">
        <f t="shared" si="13"/>
        <v>7.3007999999999997</v>
      </c>
      <c r="U236" s="96">
        <f t="shared" si="14"/>
        <v>91.179999999999993</v>
      </c>
      <c r="V236" s="93">
        <v>0.85</v>
      </c>
      <c r="W236" s="97">
        <f t="shared" si="15"/>
        <v>92.029999999999987</v>
      </c>
    </row>
    <row r="237" spans="1:23" x14ac:dyDescent="0.25">
      <c r="A237" s="61" t="s">
        <v>330</v>
      </c>
      <c r="B237" s="91">
        <v>41529</v>
      </c>
      <c r="C237" s="92" t="s">
        <v>1614</v>
      </c>
      <c r="D237" s="92" t="s">
        <v>1615</v>
      </c>
      <c r="E237" s="92" t="s">
        <v>1198</v>
      </c>
      <c r="F237" s="92" t="s">
        <v>1235</v>
      </c>
      <c r="G237" s="92" t="s">
        <v>1201</v>
      </c>
      <c r="H237" s="92" t="s">
        <v>1404</v>
      </c>
      <c r="I237" s="92" t="s">
        <v>1264</v>
      </c>
      <c r="J237" s="92" t="s">
        <v>1384</v>
      </c>
      <c r="K237" s="92" t="s">
        <v>1243</v>
      </c>
      <c r="L237" s="92" t="s">
        <v>1260</v>
      </c>
      <c r="M237" s="92" t="s">
        <v>1241</v>
      </c>
      <c r="N237" s="91">
        <v>41531</v>
      </c>
      <c r="O237" s="93">
        <v>4.46</v>
      </c>
      <c r="P237" s="93">
        <v>10.89</v>
      </c>
      <c r="Q237" s="94">
        <v>37</v>
      </c>
      <c r="R237" s="93">
        <f t="shared" si="12"/>
        <v>402.93</v>
      </c>
      <c r="S237" s="95">
        <v>0.1</v>
      </c>
      <c r="T237" s="96">
        <f t="shared" si="13"/>
        <v>40.293000000000006</v>
      </c>
      <c r="U237" s="96">
        <f t="shared" si="14"/>
        <v>402.83</v>
      </c>
      <c r="V237" s="93">
        <v>4.5</v>
      </c>
      <c r="W237" s="97">
        <f t="shared" si="15"/>
        <v>407.33</v>
      </c>
    </row>
    <row r="238" spans="1:23" x14ac:dyDescent="0.25">
      <c r="A238" s="61" t="s">
        <v>331</v>
      </c>
      <c r="B238" s="91">
        <v>41529</v>
      </c>
      <c r="C238" s="92" t="s">
        <v>1616</v>
      </c>
      <c r="D238" s="92" t="s">
        <v>1486</v>
      </c>
      <c r="E238" s="92" t="s">
        <v>1198</v>
      </c>
      <c r="F238" s="92" t="s">
        <v>1235</v>
      </c>
      <c r="G238" s="92" t="s">
        <v>1202</v>
      </c>
      <c r="H238" s="92" t="s">
        <v>1291</v>
      </c>
      <c r="I238" s="92" t="s">
        <v>1256</v>
      </c>
      <c r="J238" s="92" t="s">
        <v>1431</v>
      </c>
      <c r="K238" s="92" t="s">
        <v>1243</v>
      </c>
      <c r="L238" s="92" t="s">
        <v>1260</v>
      </c>
      <c r="M238" s="92" t="s">
        <v>1241</v>
      </c>
      <c r="N238" s="91">
        <v>41532</v>
      </c>
      <c r="O238" s="93">
        <v>4.8899999999999997</v>
      </c>
      <c r="P238" s="93">
        <v>7.64</v>
      </c>
      <c r="Q238" s="94">
        <v>44</v>
      </c>
      <c r="R238" s="93">
        <f t="shared" si="12"/>
        <v>336.15999999999997</v>
      </c>
      <c r="S238" s="95">
        <v>0.01</v>
      </c>
      <c r="T238" s="96">
        <f t="shared" si="13"/>
        <v>3.3615999999999997</v>
      </c>
      <c r="U238" s="96">
        <f t="shared" si="14"/>
        <v>336.15</v>
      </c>
      <c r="V238" s="93">
        <v>1.39</v>
      </c>
      <c r="W238" s="97">
        <f t="shared" si="15"/>
        <v>337.53999999999996</v>
      </c>
    </row>
    <row r="239" spans="1:23" x14ac:dyDescent="0.25">
      <c r="A239" s="61" t="s">
        <v>332</v>
      </c>
      <c r="B239" s="91">
        <v>41529</v>
      </c>
      <c r="C239" s="92" t="s">
        <v>1617</v>
      </c>
      <c r="D239" s="92" t="s">
        <v>1337</v>
      </c>
      <c r="E239" s="92" t="s">
        <v>1198</v>
      </c>
      <c r="F239" s="92" t="s">
        <v>1235</v>
      </c>
      <c r="G239" s="92" t="s">
        <v>1200</v>
      </c>
      <c r="H239" s="92" t="s">
        <v>1247</v>
      </c>
      <c r="I239" s="92" t="s">
        <v>1237</v>
      </c>
      <c r="J239" s="92" t="s">
        <v>1353</v>
      </c>
      <c r="K239" s="92" t="s">
        <v>1239</v>
      </c>
      <c r="L239" s="92" t="s">
        <v>1260</v>
      </c>
      <c r="M239" s="92" t="s">
        <v>1241</v>
      </c>
      <c r="N239" s="91">
        <v>41531</v>
      </c>
      <c r="O239" s="93">
        <v>42.11</v>
      </c>
      <c r="P239" s="93">
        <v>80.98</v>
      </c>
      <c r="Q239" s="94">
        <v>34</v>
      </c>
      <c r="R239" s="93">
        <f t="shared" si="12"/>
        <v>2753.32</v>
      </c>
      <c r="S239" s="95">
        <v>7.0000000000000007E-2</v>
      </c>
      <c r="T239" s="96">
        <f t="shared" si="13"/>
        <v>192.73240000000004</v>
      </c>
      <c r="U239" s="96">
        <f t="shared" si="14"/>
        <v>2753.25</v>
      </c>
      <c r="V239" s="93">
        <v>7.18</v>
      </c>
      <c r="W239" s="97">
        <f t="shared" si="15"/>
        <v>2760.43</v>
      </c>
    </row>
    <row r="240" spans="1:23" x14ac:dyDescent="0.25">
      <c r="A240" s="61" t="s">
        <v>333</v>
      </c>
      <c r="B240" s="91">
        <v>41531</v>
      </c>
      <c r="C240" s="92" t="s">
        <v>1397</v>
      </c>
      <c r="D240" s="92" t="s">
        <v>1398</v>
      </c>
      <c r="E240" s="92" t="s">
        <v>1198</v>
      </c>
      <c r="F240" s="92" t="s">
        <v>1235</v>
      </c>
      <c r="G240" s="92" t="s">
        <v>1203</v>
      </c>
      <c r="H240" s="92" t="s">
        <v>1269</v>
      </c>
      <c r="I240" s="92" t="s">
        <v>1248</v>
      </c>
      <c r="J240" s="92" t="s">
        <v>1618</v>
      </c>
      <c r="K240" s="92" t="s">
        <v>1243</v>
      </c>
      <c r="L240" s="92" t="s">
        <v>1240</v>
      </c>
      <c r="M240" s="92" t="s">
        <v>1250</v>
      </c>
      <c r="N240" s="91">
        <v>41535</v>
      </c>
      <c r="O240" s="93">
        <v>2.5</v>
      </c>
      <c r="P240" s="93">
        <v>5.68</v>
      </c>
      <c r="Q240" s="94">
        <v>46</v>
      </c>
      <c r="R240" s="93">
        <f t="shared" si="12"/>
        <v>261.27999999999997</v>
      </c>
      <c r="S240" s="95">
        <v>0.1</v>
      </c>
      <c r="T240" s="96">
        <f t="shared" si="13"/>
        <v>26.128</v>
      </c>
      <c r="U240" s="96">
        <f t="shared" si="14"/>
        <v>261.17999999999995</v>
      </c>
      <c r="V240" s="93">
        <v>3.6</v>
      </c>
      <c r="W240" s="97">
        <f t="shared" si="15"/>
        <v>264.77999999999997</v>
      </c>
    </row>
    <row r="241" spans="1:23" x14ac:dyDescent="0.25">
      <c r="A241" s="61" t="s">
        <v>334</v>
      </c>
      <c r="B241" s="91">
        <v>41534</v>
      </c>
      <c r="C241" s="92" t="s">
        <v>1619</v>
      </c>
      <c r="D241" s="92" t="s">
        <v>1347</v>
      </c>
      <c r="E241" s="92" t="s">
        <v>1198</v>
      </c>
      <c r="F241" s="92" t="s">
        <v>1235</v>
      </c>
      <c r="G241" s="92" t="s">
        <v>1200</v>
      </c>
      <c r="H241" s="92" t="s">
        <v>1236</v>
      </c>
      <c r="I241" s="92" t="s">
        <v>1317</v>
      </c>
      <c r="J241" s="92" t="s">
        <v>1590</v>
      </c>
      <c r="K241" s="92" t="s">
        <v>1243</v>
      </c>
      <c r="L241" s="92" t="s">
        <v>1260</v>
      </c>
      <c r="M241" s="92" t="s">
        <v>1241</v>
      </c>
      <c r="N241" s="91">
        <v>41536</v>
      </c>
      <c r="O241" s="93">
        <v>3.5</v>
      </c>
      <c r="P241" s="93">
        <v>5.74</v>
      </c>
      <c r="Q241" s="94">
        <v>3</v>
      </c>
      <c r="R241" s="93">
        <f t="shared" si="12"/>
        <v>17.22</v>
      </c>
      <c r="S241" s="95">
        <v>0.08</v>
      </c>
      <c r="T241" s="96">
        <f t="shared" si="13"/>
        <v>1.3775999999999999</v>
      </c>
      <c r="U241" s="96">
        <f t="shared" si="14"/>
        <v>17.14</v>
      </c>
      <c r="V241" s="93">
        <v>5.01</v>
      </c>
      <c r="W241" s="97">
        <f t="shared" si="15"/>
        <v>22.15</v>
      </c>
    </row>
    <row r="242" spans="1:23" x14ac:dyDescent="0.25">
      <c r="A242" s="61" t="s">
        <v>335</v>
      </c>
      <c r="B242" s="91">
        <v>41535</v>
      </c>
      <c r="C242" s="92" t="s">
        <v>1620</v>
      </c>
      <c r="D242" s="92" t="s">
        <v>1408</v>
      </c>
      <c r="E242" s="92" t="s">
        <v>1198</v>
      </c>
      <c r="F242" s="92" t="s">
        <v>1235</v>
      </c>
      <c r="G242" s="92" t="s">
        <v>1203</v>
      </c>
      <c r="H242" s="92" t="s">
        <v>1409</v>
      </c>
      <c r="I242" s="92" t="s">
        <v>1248</v>
      </c>
      <c r="J242" s="92" t="s">
        <v>1338</v>
      </c>
      <c r="K242" s="92" t="s">
        <v>1243</v>
      </c>
      <c r="L242" s="92" t="s">
        <v>1260</v>
      </c>
      <c r="M242" s="92" t="s">
        <v>1250</v>
      </c>
      <c r="N242" s="91">
        <v>41542</v>
      </c>
      <c r="O242" s="93">
        <v>13.88</v>
      </c>
      <c r="P242" s="93">
        <v>22.38</v>
      </c>
      <c r="Q242" s="94">
        <v>16</v>
      </c>
      <c r="R242" s="93">
        <f t="shared" si="12"/>
        <v>358.08</v>
      </c>
      <c r="S242" s="95">
        <v>0</v>
      </c>
      <c r="T242" s="96">
        <f t="shared" si="13"/>
        <v>0</v>
      </c>
      <c r="U242" s="96">
        <f t="shared" si="14"/>
        <v>358.08</v>
      </c>
      <c r="V242" s="93">
        <v>15.1</v>
      </c>
      <c r="W242" s="97">
        <f t="shared" si="15"/>
        <v>373.18</v>
      </c>
    </row>
    <row r="243" spans="1:23" x14ac:dyDescent="0.25">
      <c r="A243" s="61" t="s">
        <v>336</v>
      </c>
      <c r="B243" s="91">
        <v>41537</v>
      </c>
      <c r="C243" s="92" t="s">
        <v>1621</v>
      </c>
      <c r="D243" s="92" t="s">
        <v>1361</v>
      </c>
      <c r="E243" s="92" t="s">
        <v>1198</v>
      </c>
      <c r="F243" s="92" t="s">
        <v>1235</v>
      </c>
      <c r="G243" s="92" t="s">
        <v>1200</v>
      </c>
      <c r="H243" s="92" t="s">
        <v>1286</v>
      </c>
      <c r="I243" s="92" t="s">
        <v>1317</v>
      </c>
      <c r="J243" s="92" t="s">
        <v>1436</v>
      </c>
      <c r="K243" s="92" t="s">
        <v>1243</v>
      </c>
      <c r="L243" s="92" t="s">
        <v>1260</v>
      </c>
      <c r="M243" s="92" t="s">
        <v>1241</v>
      </c>
      <c r="N243" s="91">
        <v>41538</v>
      </c>
      <c r="O243" s="93">
        <v>36.020000000000003</v>
      </c>
      <c r="P243" s="93">
        <v>58.1</v>
      </c>
      <c r="Q243" s="94">
        <v>7</v>
      </c>
      <c r="R243" s="93">
        <f t="shared" si="12"/>
        <v>406.7</v>
      </c>
      <c r="S243" s="95">
        <v>0.1</v>
      </c>
      <c r="T243" s="96">
        <f t="shared" si="13"/>
        <v>40.67</v>
      </c>
      <c r="U243" s="96">
        <f t="shared" si="14"/>
        <v>406.59999999999997</v>
      </c>
      <c r="V243" s="93">
        <v>1.49</v>
      </c>
      <c r="W243" s="97">
        <f t="shared" si="15"/>
        <v>408.09</v>
      </c>
    </row>
    <row r="244" spans="1:23" x14ac:dyDescent="0.25">
      <c r="A244" s="61" t="s">
        <v>337</v>
      </c>
      <c r="B244" s="91">
        <v>41539</v>
      </c>
      <c r="C244" s="92" t="s">
        <v>1622</v>
      </c>
      <c r="D244" s="92" t="s">
        <v>1395</v>
      </c>
      <c r="E244" s="92" t="s">
        <v>1198</v>
      </c>
      <c r="F244" s="92" t="s">
        <v>1235</v>
      </c>
      <c r="G244" s="92" t="s">
        <v>1203</v>
      </c>
      <c r="H244" s="92" t="s">
        <v>1236</v>
      </c>
      <c r="I244" s="92" t="s">
        <v>1264</v>
      </c>
      <c r="J244" s="92" t="s">
        <v>1292</v>
      </c>
      <c r="K244" s="92" t="s">
        <v>1243</v>
      </c>
      <c r="L244" s="92" t="s">
        <v>1240</v>
      </c>
      <c r="M244" s="92" t="s">
        <v>1241</v>
      </c>
      <c r="N244" s="91">
        <v>41541</v>
      </c>
      <c r="O244" s="93">
        <v>0.94</v>
      </c>
      <c r="P244" s="93">
        <v>2.08</v>
      </c>
      <c r="Q244" s="94">
        <v>43</v>
      </c>
      <c r="R244" s="93">
        <f t="shared" si="12"/>
        <v>89.44</v>
      </c>
      <c r="S244" s="95">
        <v>0.05</v>
      </c>
      <c r="T244" s="96">
        <f t="shared" si="13"/>
        <v>4.4720000000000004</v>
      </c>
      <c r="U244" s="96">
        <f t="shared" si="14"/>
        <v>89.39</v>
      </c>
      <c r="V244" s="93">
        <v>2.56</v>
      </c>
      <c r="W244" s="97">
        <f t="shared" si="15"/>
        <v>91.95</v>
      </c>
    </row>
    <row r="245" spans="1:23" x14ac:dyDescent="0.25">
      <c r="A245" s="61" t="s">
        <v>338</v>
      </c>
      <c r="B245" s="91">
        <v>41540</v>
      </c>
      <c r="C245" s="92" t="s">
        <v>1623</v>
      </c>
      <c r="D245" s="92" t="s">
        <v>1624</v>
      </c>
      <c r="E245" s="92" t="s">
        <v>1198</v>
      </c>
      <c r="F245" s="92" t="s">
        <v>1235</v>
      </c>
      <c r="G245" s="92" t="s">
        <v>1202</v>
      </c>
      <c r="H245" s="92" t="s">
        <v>1440</v>
      </c>
      <c r="I245" s="92" t="s">
        <v>1248</v>
      </c>
      <c r="J245" s="92" t="s">
        <v>1498</v>
      </c>
      <c r="K245" s="92" t="s">
        <v>1239</v>
      </c>
      <c r="L245" s="92" t="s">
        <v>1258</v>
      </c>
      <c r="M245" s="92" t="s">
        <v>1241</v>
      </c>
      <c r="N245" s="91">
        <v>41547</v>
      </c>
      <c r="O245" s="93">
        <v>9.91</v>
      </c>
      <c r="P245" s="93">
        <v>15.99</v>
      </c>
      <c r="Q245" s="94">
        <v>27</v>
      </c>
      <c r="R245" s="93">
        <f t="shared" si="12"/>
        <v>431.73</v>
      </c>
      <c r="S245" s="95">
        <v>0.01</v>
      </c>
      <c r="T245" s="96">
        <f t="shared" si="13"/>
        <v>4.3173000000000004</v>
      </c>
      <c r="U245" s="96">
        <f t="shared" si="14"/>
        <v>431.72</v>
      </c>
      <c r="V245" s="93">
        <v>11.28</v>
      </c>
      <c r="W245" s="97">
        <f t="shared" si="15"/>
        <v>443</v>
      </c>
    </row>
    <row r="246" spans="1:23" x14ac:dyDescent="0.25">
      <c r="A246" s="61" t="s">
        <v>339</v>
      </c>
      <c r="B246" s="91">
        <v>41543</v>
      </c>
      <c r="C246" s="92" t="s">
        <v>1545</v>
      </c>
      <c r="D246" s="92" t="s">
        <v>1299</v>
      </c>
      <c r="E246" s="92" t="s">
        <v>1198</v>
      </c>
      <c r="F246" s="92" t="s">
        <v>1235</v>
      </c>
      <c r="G246" s="92" t="s">
        <v>1203</v>
      </c>
      <c r="H246" s="92" t="s">
        <v>1236</v>
      </c>
      <c r="I246" s="92" t="s">
        <v>1237</v>
      </c>
      <c r="J246" s="92" t="s">
        <v>1249</v>
      </c>
      <c r="K246" s="92" t="s">
        <v>1243</v>
      </c>
      <c r="L246" s="92" t="s">
        <v>1244</v>
      </c>
      <c r="M246" s="92" t="s">
        <v>1241</v>
      </c>
      <c r="N246" s="91">
        <v>41545</v>
      </c>
      <c r="O246" s="93">
        <v>3.32</v>
      </c>
      <c r="P246" s="93">
        <v>5.18</v>
      </c>
      <c r="Q246" s="94">
        <v>23</v>
      </c>
      <c r="R246" s="93">
        <f t="shared" si="12"/>
        <v>119.13999999999999</v>
      </c>
      <c r="S246" s="95">
        <v>0.05</v>
      </c>
      <c r="T246" s="96">
        <f t="shared" si="13"/>
        <v>5.9569999999999999</v>
      </c>
      <c r="U246" s="96">
        <f t="shared" si="14"/>
        <v>119.08999999999999</v>
      </c>
      <c r="V246" s="93">
        <v>2.04</v>
      </c>
      <c r="W246" s="97">
        <f t="shared" si="15"/>
        <v>121.13</v>
      </c>
    </row>
    <row r="247" spans="1:23" x14ac:dyDescent="0.25">
      <c r="A247" s="61" t="s">
        <v>340</v>
      </c>
      <c r="B247" s="91">
        <v>41543</v>
      </c>
      <c r="C247" s="92" t="s">
        <v>1625</v>
      </c>
      <c r="D247" s="92" t="s">
        <v>1330</v>
      </c>
      <c r="E247" s="92" t="s">
        <v>1199</v>
      </c>
      <c r="F247" s="92" t="s">
        <v>1254</v>
      </c>
      <c r="G247" s="92" t="s">
        <v>1203</v>
      </c>
      <c r="H247" s="92" t="s">
        <v>1255</v>
      </c>
      <c r="I247" s="92" t="s">
        <v>1317</v>
      </c>
      <c r="J247" s="92" t="s">
        <v>1333</v>
      </c>
      <c r="K247" s="92" t="s">
        <v>1243</v>
      </c>
      <c r="L247" s="92" t="s">
        <v>1260</v>
      </c>
      <c r="M247" s="92" t="s">
        <v>1241</v>
      </c>
      <c r="N247" s="91">
        <v>41545</v>
      </c>
      <c r="O247" s="93">
        <v>14.95</v>
      </c>
      <c r="P247" s="93">
        <v>34.76</v>
      </c>
      <c r="Q247" s="94">
        <v>15</v>
      </c>
      <c r="R247" s="93">
        <f t="shared" si="12"/>
        <v>521.4</v>
      </c>
      <c r="S247" s="95">
        <v>0.09</v>
      </c>
      <c r="T247" s="96">
        <f t="shared" si="13"/>
        <v>46.925999999999995</v>
      </c>
      <c r="U247" s="96">
        <f t="shared" si="14"/>
        <v>521.30999999999995</v>
      </c>
      <c r="V247" s="93">
        <v>8.2200000000000006</v>
      </c>
      <c r="W247" s="97">
        <f t="shared" si="15"/>
        <v>529.53</v>
      </c>
    </row>
    <row r="248" spans="1:23" x14ac:dyDescent="0.25">
      <c r="A248" s="61" t="s">
        <v>341</v>
      </c>
      <c r="B248" s="91">
        <v>41544</v>
      </c>
      <c r="C248" s="92" t="s">
        <v>1443</v>
      </c>
      <c r="D248" s="92" t="s">
        <v>1444</v>
      </c>
      <c r="E248" s="92" t="s">
        <v>1198</v>
      </c>
      <c r="F248" s="92" t="s">
        <v>1235</v>
      </c>
      <c r="G248" s="92" t="s">
        <v>1200</v>
      </c>
      <c r="H248" s="92" t="s">
        <v>1313</v>
      </c>
      <c r="I248" s="92" t="s">
        <v>1248</v>
      </c>
      <c r="J248" s="92" t="s">
        <v>1288</v>
      </c>
      <c r="K248" s="92" t="s">
        <v>1243</v>
      </c>
      <c r="L248" s="92" t="s">
        <v>1260</v>
      </c>
      <c r="M248" s="92" t="s">
        <v>1241</v>
      </c>
      <c r="N248" s="91">
        <v>41549</v>
      </c>
      <c r="O248" s="93">
        <v>22.18</v>
      </c>
      <c r="P248" s="93">
        <v>54.1</v>
      </c>
      <c r="Q248" s="94">
        <v>19</v>
      </c>
      <c r="R248" s="93">
        <f t="shared" si="12"/>
        <v>1027.9000000000001</v>
      </c>
      <c r="S248" s="95">
        <v>0.1</v>
      </c>
      <c r="T248" s="96">
        <f t="shared" si="13"/>
        <v>102.79000000000002</v>
      </c>
      <c r="U248" s="96">
        <f t="shared" si="14"/>
        <v>1027.8000000000002</v>
      </c>
      <c r="V248" s="93">
        <v>19.989999999999998</v>
      </c>
      <c r="W248" s="97">
        <f t="shared" si="15"/>
        <v>1047.7900000000002</v>
      </c>
    </row>
    <row r="249" spans="1:23" x14ac:dyDescent="0.25">
      <c r="A249" s="61" t="s">
        <v>342</v>
      </c>
      <c r="B249" s="91">
        <v>41547</v>
      </c>
      <c r="C249" s="92" t="s">
        <v>1626</v>
      </c>
      <c r="D249" s="92" t="s">
        <v>1312</v>
      </c>
      <c r="E249" s="92" t="s">
        <v>1198</v>
      </c>
      <c r="F249" s="92" t="s">
        <v>1235</v>
      </c>
      <c r="G249" s="92" t="s">
        <v>1200</v>
      </c>
      <c r="H249" s="92" t="s">
        <v>1313</v>
      </c>
      <c r="I249" s="92" t="s">
        <v>1256</v>
      </c>
      <c r="J249" s="92" t="s">
        <v>1249</v>
      </c>
      <c r="K249" s="92" t="s">
        <v>1243</v>
      </c>
      <c r="L249" s="92" t="s">
        <v>1244</v>
      </c>
      <c r="M249" s="92" t="s">
        <v>1241</v>
      </c>
      <c r="N249" s="91">
        <v>41549</v>
      </c>
      <c r="O249" s="93">
        <v>3.32</v>
      </c>
      <c r="P249" s="93">
        <v>5.18</v>
      </c>
      <c r="Q249" s="94">
        <v>10</v>
      </c>
      <c r="R249" s="93">
        <f t="shared" si="12"/>
        <v>51.8</v>
      </c>
      <c r="S249" s="95">
        <v>0.01</v>
      </c>
      <c r="T249" s="96">
        <f t="shared" si="13"/>
        <v>0.51800000000000002</v>
      </c>
      <c r="U249" s="96">
        <f t="shared" si="14"/>
        <v>51.79</v>
      </c>
      <c r="V249" s="93">
        <v>2.04</v>
      </c>
      <c r="W249" s="97">
        <f t="shared" si="15"/>
        <v>53.83</v>
      </c>
    </row>
    <row r="250" spans="1:23" x14ac:dyDescent="0.25">
      <c r="A250" s="61" t="s">
        <v>343</v>
      </c>
      <c r="B250" s="91">
        <v>41548</v>
      </c>
      <c r="C250" s="92" t="s">
        <v>1627</v>
      </c>
      <c r="D250" s="92" t="s">
        <v>1330</v>
      </c>
      <c r="E250" s="92" t="s">
        <v>1199</v>
      </c>
      <c r="F250" s="92" t="s">
        <v>1254</v>
      </c>
      <c r="G250" s="92" t="s">
        <v>1200</v>
      </c>
      <c r="H250" s="92" t="s">
        <v>1255</v>
      </c>
      <c r="I250" s="92" t="s">
        <v>1237</v>
      </c>
      <c r="J250" s="92" t="s">
        <v>1392</v>
      </c>
      <c r="K250" s="92" t="s">
        <v>1239</v>
      </c>
      <c r="L250" s="92" t="s">
        <v>1240</v>
      </c>
      <c r="M250" s="92" t="s">
        <v>1250</v>
      </c>
      <c r="N250" s="91">
        <v>41549</v>
      </c>
      <c r="O250" s="93">
        <v>20.18</v>
      </c>
      <c r="P250" s="93">
        <v>35.409999999999997</v>
      </c>
      <c r="Q250" s="94">
        <v>16</v>
      </c>
      <c r="R250" s="93">
        <f t="shared" si="12"/>
        <v>566.55999999999995</v>
      </c>
      <c r="S250" s="95">
        <v>0</v>
      </c>
      <c r="T250" s="96">
        <f t="shared" si="13"/>
        <v>0</v>
      </c>
      <c r="U250" s="96">
        <f t="shared" si="14"/>
        <v>566.55999999999995</v>
      </c>
      <c r="V250" s="93">
        <v>1.99</v>
      </c>
      <c r="W250" s="97">
        <f t="shared" si="15"/>
        <v>568.54999999999995</v>
      </c>
    </row>
    <row r="251" spans="1:23" x14ac:dyDescent="0.25">
      <c r="A251" s="61" t="s">
        <v>344</v>
      </c>
      <c r="B251" s="91">
        <v>41550</v>
      </c>
      <c r="C251" s="92" t="s">
        <v>1569</v>
      </c>
      <c r="D251" s="92" t="s">
        <v>1337</v>
      </c>
      <c r="E251" s="92" t="s">
        <v>1198</v>
      </c>
      <c r="F251" s="92" t="s">
        <v>1235</v>
      </c>
      <c r="G251" s="92" t="s">
        <v>1202</v>
      </c>
      <c r="H251" s="92" t="s">
        <v>1247</v>
      </c>
      <c r="I251" s="92" t="s">
        <v>1317</v>
      </c>
      <c r="J251" s="92" t="s">
        <v>1492</v>
      </c>
      <c r="K251" s="92" t="s">
        <v>1243</v>
      </c>
      <c r="L251" s="92" t="s">
        <v>1244</v>
      </c>
      <c r="M251" s="92" t="s">
        <v>1250</v>
      </c>
      <c r="N251" s="91">
        <v>41551</v>
      </c>
      <c r="O251" s="93">
        <v>21.56</v>
      </c>
      <c r="P251" s="93">
        <v>36.549999999999997</v>
      </c>
      <c r="Q251" s="94">
        <v>46</v>
      </c>
      <c r="R251" s="93">
        <f t="shared" si="12"/>
        <v>1681.3</v>
      </c>
      <c r="S251" s="95">
        <v>0.05</v>
      </c>
      <c r="T251" s="96">
        <f t="shared" si="13"/>
        <v>84.064999999999998</v>
      </c>
      <c r="U251" s="96">
        <f t="shared" si="14"/>
        <v>1681.25</v>
      </c>
      <c r="V251" s="93">
        <v>13.89</v>
      </c>
      <c r="W251" s="97">
        <f t="shared" si="15"/>
        <v>1695.14</v>
      </c>
    </row>
    <row r="252" spans="1:23" x14ac:dyDescent="0.25">
      <c r="A252" s="61" t="s">
        <v>345</v>
      </c>
      <c r="B252" s="91">
        <v>41551</v>
      </c>
      <c r="C252" s="92" t="s">
        <v>1628</v>
      </c>
      <c r="D252" s="92" t="s">
        <v>1629</v>
      </c>
      <c r="E252" s="92" t="s">
        <v>1198</v>
      </c>
      <c r="F252" s="92" t="s">
        <v>1235</v>
      </c>
      <c r="G252" s="92" t="s">
        <v>1200</v>
      </c>
      <c r="H252" s="92" t="s">
        <v>1471</v>
      </c>
      <c r="I252" s="92" t="s">
        <v>1317</v>
      </c>
      <c r="J252" s="92" t="s">
        <v>1533</v>
      </c>
      <c r="K252" s="92" t="s">
        <v>1243</v>
      </c>
      <c r="L252" s="92" t="s">
        <v>1260</v>
      </c>
      <c r="M252" s="92" t="s">
        <v>1241</v>
      </c>
      <c r="N252" s="91">
        <v>41552</v>
      </c>
      <c r="O252" s="93">
        <v>178.83</v>
      </c>
      <c r="P252" s="93">
        <v>415.88</v>
      </c>
      <c r="Q252" s="94">
        <v>2</v>
      </c>
      <c r="R252" s="93">
        <f t="shared" si="12"/>
        <v>831.76</v>
      </c>
      <c r="S252" s="95">
        <v>0.08</v>
      </c>
      <c r="T252" s="96">
        <f t="shared" si="13"/>
        <v>66.540800000000004</v>
      </c>
      <c r="U252" s="96">
        <f t="shared" si="14"/>
        <v>831.68</v>
      </c>
      <c r="V252" s="93">
        <v>11.37</v>
      </c>
      <c r="W252" s="97">
        <f t="shared" si="15"/>
        <v>843.05</v>
      </c>
    </row>
    <row r="253" spans="1:23" x14ac:dyDescent="0.25">
      <c r="A253" s="61" t="s">
        <v>346</v>
      </c>
      <c r="B253" s="91">
        <v>41552</v>
      </c>
      <c r="C253" s="92" t="s">
        <v>1630</v>
      </c>
      <c r="D253" s="92" t="s">
        <v>1496</v>
      </c>
      <c r="E253" s="92" t="s">
        <v>1198</v>
      </c>
      <c r="F253" s="92" t="s">
        <v>1235</v>
      </c>
      <c r="G253" s="92" t="s">
        <v>1202</v>
      </c>
      <c r="H253" s="92" t="s">
        <v>1313</v>
      </c>
      <c r="I253" s="92" t="s">
        <v>1248</v>
      </c>
      <c r="J253" s="92" t="s">
        <v>1631</v>
      </c>
      <c r="K253" s="92" t="s">
        <v>1239</v>
      </c>
      <c r="L253" s="92" t="s">
        <v>1260</v>
      </c>
      <c r="M253" s="92" t="s">
        <v>1241</v>
      </c>
      <c r="N253" s="91">
        <v>41559</v>
      </c>
      <c r="O253" s="93">
        <v>41.28</v>
      </c>
      <c r="P253" s="93">
        <v>95.99</v>
      </c>
      <c r="Q253" s="94">
        <v>17</v>
      </c>
      <c r="R253" s="93">
        <f t="shared" si="12"/>
        <v>1631.83</v>
      </c>
      <c r="S253" s="95">
        <v>0.09</v>
      </c>
      <c r="T253" s="96">
        <f t="shared" si="13"/>
        <v>146.8647</v>
      </c>
      <c r="U253" s="96">
        <f t="shared" si="14"/>
        <v>1631.74</v>
      </c>
      <c r="V253" s="93">
        <v>8.99</v>
      </c>
      <c r="W253" s="97">
        <f t="shared" si="15"/>
        <v>1640.73</v>
      </c>
    </row>
    <row r="254" spans="1:23" x14ac:dyDescent="0.25">
      <c r="A254" s="61" t="s">
        <v>347</v>
      </c>
      <c r="B254" s="91">
        <v>41552</v>
      </c>
      <c r="C254" s="92" t="s">
        <v>1528</v>
      </c>
      <c r="D254" s="92" t="s">
        <v>1234</v>
      </c>
      <c r="E254" s="92" t="s">
        <v>1198</v>
      </c>
      <c r="F254" s="92" t="s">
        <v>1235</v>
      </c>
      <c r="G254" s="92" t="s">
        <v>1200</v>
      </c>
      <c r="H254" s="92" t="s">
        <v>1236</v>
      </c>
      <c r="I254" s="92" t="s">
        <v>1237</v>
      </c>
      <c r="J254" s="92" t="s">
        <v>1547</v>
      </c>
      <c r="K254" s="92" t="s">
        <v>1243</v>
      </c>
      <c r="L254" s="92" t="s">
        <v>1260</v>
      </c>
      <c r="M254" s="92" t="s">
        <v>1241</v>
      </c>
      <c r="N254" s="91">
        <v>41554</v>
      </c>
      <c r="O254" s="93">
        <v>1.33</v>
      </c>
      <c r="P254" s="93">
        <v>2.08</v>
      </c>
      <c r="Q254" s="94">
        <v>16</v>
      </c>
      <c r="R254" s="93">
        <f t="shared" si="12"/>
        <v>33.28</v>
      </c>
      <c r="S254" s="95">
        <v>0.04</v>
      </c>
      <c r="T254" s="96">
        <f t="shared" si="13"/>
        <v>1.3312000000000002</v>
      </c>
      <c r="U254" s="96">
        <f t="shared" si="14"/>
        <v>33.24</v>
      </c>
      <c r="V254" s="93">
        <v>1.49</v>
      </c>
      <c r="W254" s="97">
        <f t="shared" si="15"/>
        <v>34.730000000000004</v>
      </c>
    </row>
    <row r="255" spans="1:23" x14ac:dyDescent="0.25">
      <c r="A255" s="61" t="s">
        <v>348</v>
      </c>
      <c r="B255" s="91">
        <v>41553</v>
      </c>
      <c r="C255" s="92" t="s">
        <v>1500</v>
      </c>
      <c r="D255" s="92" t="s">
        <v>1351</v>
      </c>
      <c r="E255" s="92" t="s">
        <v>1198</v>
      </c>
      <c r="F255" s="92" t="s">
        <v>1235</v>
      </c>
      <c r="G255" s="92" t="s">
        <v>1200</v>
      </c>
      <c r="H255" s="92" t="s">
        <v>1304</v>
      </c>
      <c r="I255" s="92" t="s">
        <v>1237</v>
      </c>
      <c r="J255" s="92" t="s">
        <v>1257</v>
      </c>
      <c r="K255" s="92" t="s">
        <v>1239</v>
      </c>
      <c r="L255" s="92" t="s">
        <v>1258</v>
      </c>
      <c r="M255" s="92" t="s">
        <v>1241</v>
      </c>
      <c r="N255" s="91">
        <v>41554</v>
      </c>
      <c r="O255" s="93">
        <v>8.82</v>
      </c>
      <c r="P255" s="93">
        <v>20.99</v>
      </c>
      <c r="Q255" s="94">
        <v>25</v>
      </c>
      <c r="R255" s="93">
        <f t="shared" si="12"/>
        <v>524.75</v>
      </c>
      <c r="S255" s="95">
        <v>0.05</v>
      </c>
      <c r="T255" s="96">
        <f t="shared" si="13"/>
        <v>26.237500000000001</v>
      </c>
      <c r="U255" s="96">
        <f t="shared" si="14"/>
        <v>524.70000000000005</v>
      </c>
      <c r="V255" s="93">
        <v>4.8099999999999996</v>
      </c>
      <c r="W255" s="97">
        <f t="shared" si="15"/>
        <v>529.51</v>
      </c>
    </row>
    <row r="256" spans="1:23" x14ac:dyDescent="0.25">
      <c r="A256" s="61" t="s">
        <v>349</v>
      </c>
      <c r="B256" s="91">
        <v>41556</v>
      </c>
      <c r="C256" s="92" t="s">
        <v>1632</v>
      </c>
      <c r="D256" s="92" t="s">
        <v>1398</v>
      </c>
      <c r="E256" s="92" t="s">
        <v>1198</v>
      </c>
      <c r="F256" s="92" t="s">
        <v>1235</v>
      </c>
      <c r="G256" s="92" t="s">
        <v>1200</v>
      </c>
      <c r="H256" s="92" t="s">
        <v>1269</v>
      </c>
      <c r="I256" s="92" t="s">
        <v>1237</v>
      </c>
      <c r="J256" s="92" t="s">
        <v>1396</v>
      </c>
      <c r="K256" s="92" t="s">
        <v>1243</v>
      </c>
      <c r="L256" s="92" t="s">
        <v>1244</v>
      </c>
      <c r="M256" s="92" t="s">
        <v>1241</v>
      </c>
      <c r="N256" s="91">
        <v>41558</v>
      </c>
      <c r="O256" s="93">
        <v>1.53</v>
      </c>
      <c r="P256" s="93">
        <v>2.78</v>
      </c>
      <c r="Q256" s="94">
        <v>6</v>
      </c>
      <c r="R256" s="93">
        <f t="shared" si="12"/>
        <v>16.68</v>
      </c>
      <c r="S256" s="95">
        <v>0.01</v>
      </c>
      <c r="T256" s="96">
        <f t="shared" si="13"/>
        <v>0.1668</v>
      </c>
      <c r="U256" s="96">
        <f t="shared" si="14"/>
        <v>16.669999999999998</v>
      </c>
      <c r="V256" s="93">
        <v>1.34</v>
      </c>
      <c r="W256" s="97">
        <f t="shared" si="15"/>
        <v>18.009999999999998</v>
      </c>
    </row>
    <row r="257" spans="1:23" x14ac:dyDescent="0.25">
      <c r="A257" s="61" t="s">
        <v>350</v>
      </c>
      <c r="B257" s="91">
        <v>41558</v>
      </c>
      <c r="C257" s="92" t="s">
        <v>1633</v>
      </c>
      <c r="D257" s="92" t="s">
        <v>1451</v>
      </c>
      <c r="E257" s="92" t="s">
        <v>1198</v>
      </c>
      <c r="F257" s="92" t="s">
        <v>1235</v>
      </c>
      <c r="G257" s="92" t="s">
        <v>1201</v>
      </c>
      <c r="H257" s="92" t="s">
        <v>1291</v>
      </c>
      <c r="I257" s="92" t="s">
        <v>1264</v>
      </c>
      <c r="J257" s="92" t="s">
        <v>1423</v>
      </c>
      <c r="K257" s="92" t="s">
        <v>1243</v>
      </c>
      <c r="L257" s="92" t="s">
        <v>1244</v>
      </c>
      <c r="M257" s="92" t="s">
        <v>1241</v>
      </c>
      <c r="N257" s="91">
        <v>41559</v>
      </c>
      <c r="O257" s="93">
        <v>1.0900000000000001</v>
      </c>
      <c r="P257" s="93">
        <v>1.68</v>
      </c>
      <c r="Q257" s="94">
        <v>38</v>
      </c>
      <c r="R257" s="93">
        <f t="shared" si="12"/>
        <v>63.839999999999996</v>
      </c>
      <c r="S257" s="95">
        <v>7.0000000000000007E-2</v>
      </c>
      <c r="T257" s="96">
        <f t="shared" si="13"/>
        <v>4.4687999999999999</v>
      </c>
      <c r="U257" s="96">
        <f t="shared" si="14"/>
        <v>63.769999999999996</v>
      </c>
      <c r="V257" s="93">
        <v>1</v>
      </c>
      <c r="W257" s="97">
        <f t="shared" si="15"/>
        <v>64.77</v>
      </c>
    </row>
    <row r="258" spans="1:23" x14ac:dyDescent="0.25">
      <c r="A258" s="61" t="s">
        <v>351</v>
      </c>
      <c r="B258" s="91">
        <v>41567</v>
      </c>
      <c r="C258" s="92" t="s">
        <v>1634</v>
      </c>
      <c r="D258" s="92" t="s">
        <v>1572</v>
      </c>
      <c r="E258" s="92" t="s">
        <v>1199</v>
      </c>
      <c r="F258" s="92" t="s">
        <v>1254</v>
      </c>
      <c r="G258" s="92" t="s">
        <v>1200</v>
      </c>
      <c r="H258" s="92" t="s">
        <v>1274</v>
      </c>
      <c r="I258" s="92" t="s">
        <v>1264</v>
      </c>
      <c r="J258" s="92" t="s">
        <v>1352</v>
      </c>
      <c r="K258" s="92" t="s">
        <v>1243</v>
      </c>
      <c r="L258" s="92" t="s">
        <v>1244</v>
      </c>
      <c r="M258" s="92" t="s">
        <v>1241</v>
      </c>
      <c r="N258" s="91">
        <v>41569</v>
      </c>
      <c r="O258" s="93">
        <v>1.0900000000000001</v>
      </c>
      <c r="P258" s="93">
        <v>2.6</v>
      </c>
      <c r="Q258" s="94">
        <v>36</v>
      </c>
      <c r="R258" s="93">
        <f t="shared" si="12"/>
        <v>93.600000000000009</v>
      </c>
      <c r="S258" s="95">
        <v>0</v>
      </c>
      <c r="T258" s="96">
        <f t="shared" si="13"/>
        <v>0</v>
      </c>
      <c r="U258" s="96">
        <f t="shared" si="14"/>
        <v>93.600000000000009</v>
      </c>
      <c r="V258" s="93">
        <v>2.4</v>
      </c>
      <c r="W258" s="97">
        <f t="shared" si="15"/>
        <v>96.000000000000014</v>
      </c>
    </row>
    <row r="259" spans="1:23" x14ac:dyDescent="0.25">
      <c r="A259" s="61" t="s">
        <v>352</v>
      </c>
      <c r="B259" s="91">
        <v>41567</v>
      </c>
      <c r="C259" s="92" t="s">
        <v>1635</v>
      </c>
      <c r="D259" s="92" t="s">
        <v>1636</v>
      </c>
      <c r="E259" s="92" t="s">
        <v>1198</v>
      </c>
      <c r="F259" s="92" t="s">
        <v>1235</v>
      </c>
      <c r="G259" s="92" t="s">
        <v>1200</v>
      </c>
      <c r="H259" s="92" t="s">
        <v>1409</v>
      </c>
      <c r="I259" s="92" t="s">
        <v>1264</v>
      </c>
      <c r="J259" s="92" t="s">
        <v>1468</v>
      </c>
      <c r="K259" s="92" t="s">
        <v>1243</v>
      </c>
      <c r="L259" s="92" t="s">
        <v>1260</v>
      </c>
      <c r="M259" s="92" t="s">
        <v>1250</v>
      </c>
      <c r="N259" s="91">
        <v>41567</v>
      </c>
      <c r="O259" s="93">
        <v>1.59</v>
      </c>
      <c r="P259" s="93">
        <v>2.61</v>
      </c>
      <c r="Q259" s="94">
        <v>1</v>
      </c>
      <c r="R259" s="93">
        <f t="shared" si="12"/>
        <v>2.61</v>
      </c>
      <c r="S259" s="95">
        <v>0.06</v>
      </c>
      <c r="T259" s="96">
        <f t="shared" si="13"/>
        <v>0.15659999999999999</v>
      </c>
      <c r="U259" s="96">
        <f t="shared" si="14"/>
        <v>2.5499999999999998</v>
      </c>
      <c r="V259" s="93">
        <v>0.5</v>
      </c>
      <c r="W259" s="97">
        <f t="shared" si="15"/>
        <v>3.05</v>
      </c>
    </row>
    <row r="260" spans="1:23" x14ac:dyDescent="0.25">
      <c r="A260" s="61" t="s">
        <v>353</v>
      </c>
      <c r="B260" s="91">
        <v>41567</v>
      </c>
      <c r="C260" s="92" t="s">
        <v>1637</v>
      </c>
      <c r="D260" s="92" t="s">
        <v>1246</v>
      </c>
      <c r="E260" s="92" t="s">
        <v>1198</v>
      </c>
      <c r="F260" s="92" t="s">
        <v>1235</v>
      </c>
      <c r="G260" s="92" t="s">
        <v>1200</v>
      </c>
      <c r="H260" s="92" t="s">
        <v>1247</v>
      </c>
      <c r="I260" s="92" t="s">
        <v>1237</v>
      </c>
      <c r="J260" s="92" t="s">
        <v>1349</v>
      </c>
      <c r="K260" s="92" t="s">
        <v>1243</v>
      </c>
      <c r="L260" s="92" t="s">
        <v>1260</v>
      </c>
      <c r="M260" s="92" t="s">
        <v>1241</v>
      </c>
      <c r="N260" s="91">
        <v>41568</v>
      </c>
      <c r="O260" s="93">
        <v>3.65</v>
      </c>
      <c r="P260" s="93">
        <v>5.98</v>
      </c>
      <c r="Q260" s="94">
        <v>21</v>
      </c>
      <c r="R260" s="93">
        <f t="shared" si="12"/>
        <v>125.58000000000001</v>
      </c>
      <c r="S260" s="95">
        <v>0.02</v>
      </c>
      <c r="T260" s="96">
        <f t="shared" si="13"/>
        <v>2.5116000000000005</v>
      </c>
      <c r="U260" s="96">
        <f t="shared" si="14"/>
        <v>125.56000000000002</v>
      </c>
      <c r="V260" s="93">
        <v>1.49</v>
      </c>
      <c r="W260" s="97">
        <f t="shared" si="15"/>
        <v>127.05000000000001</v>
      </c>
    </row>
    <row r="261" spans="1:23" x14ac:dyDescent="0.25">
      <c r="A261" s="61" t="s">
        <v>354</v>
      </c>
      <c r="B261" s="91">
        <v>41568</v>
      </c>
      <c r="C261" s="92" t="s">
        <v>1638</v>
      </c>
      <c r="D261" s="92" t="s">
        <v>1246</v>
      </c>
      <c r="E261" s="92" t="s">
        <v>1198</v>
      </c>
      <c r="F261" s="92" t="s">
        <v>1235</v>
      </c>
      <c r="G261" s="92" t="s">
        <v>1202</v>
      </c>
      <c r="H261" s="92" t="s">
        <v>1247</v>
      </c>
      <c r="I261" s="92" t="s">
        <v>1256</v>
      </c>
      <c r="J261" s="92" t="s">
        <v>1349</v>
      </c>
      <c r="K261" s="92" t="s">
        <v>1243</v>
      </c>
      <c r="L261" s="92" t="s">
        <v>1260</v>
      </c>
      <c r="M261" s="92" t="s">
        <v>1241</v>
      </c>
      <c r="N261" s="91">
        <v>41570</v>
      </c>
      <c r="O261" s="93">
        <v>3.65</v>
      </c>
      <c r="P261" s="93">
        <v>5.98</v>
      </c>
      <c r="Q261" s="94">
        <v>40</v>
      </c>
      <c r="R261" s="93">
        <f t="shared" ref="R261:R324" si="16">P261*Q261</f>
        <v>239.20000000000002</v>
      </c>
      <c r="S261" s="95">
        <v>0</v>
      </c>
      <c r="T261" s="96">
        <f t="shared" ref="T261:T324" si="17">R261*S261</f>
        <v>0</v>
      </c>
      <c r="U261" s="96">
        <f t="shared" ref="U261:U324" si="18">R261-S261</f>
        <v>239.20000000000002</v>
      </c>
      <c r="V261" s="93">
        <v>1.49</v>
      </c>
      <c r="W261" s="97">
        <f t="shared" ref="W261:W324" si="19">U261+V261</f>
        <v>240.69000000000003</v>
      </c>
    </row>
    <row r="262" spans="1:23" x14ac:dyDescent="0.25">
      <c r="A262" s="61" t="s">
        <v>355</v>
      </c>
      <c r="B262" s="91">
        <v>41568</v>
      </c>
      <c r="C262" s="92" t="s">
        <v>1633</v>
      </c>
      <c r="D262" s="92" t="s">
        <v>1451</v>
      </c>
      <c r="E262" s="92" t="s">
        <v>1198</v>
      </c>
      <c r="F262" s="92" t="s">
        <v>1235</v>
      </c>
      <c r="G262" s="92" t="s">
        <v>1201</v>
      </c>
      <c r="H262" s="92" t="s">
        <v>1291</v>
      </c>
      <c r="I262" s="92" t="s">
        <v>1256</v>
      </c>
      <c r="J262" s="92" t="s">
        <v>1324</v>
      </c>
      <c r="K262" s="92" t="s">
        <v>1243</v>
      </c>
      <c r="L262" s="92" t="s">
        <v>1260</v>
      </c>
      <c r="M262" s="92" t="s">
        <v>1241</v>
      </c>
      <c r="N262" s="91">
        <v>41570</v>
      </c>
      <c r="O262" s="93">
        <v>1.18</v>
      </c>
      <c r="P262" s="93">
        <v>1.88</v>
      </c>
      <c r="Q262" s="94">
        <v>33</v>
      </c>
      <c r="R262" s="93">
        <f t="shared" si="16"/>
        <v>62.04</v>
      </c>
      <c r="S262" s="95">
        <v>7.0000000000000007E-2</v>
      </c>
      <c r="T262" s="96">
        <f t="shared" si="17"/>
        <v>4.3428000000000004</v>
      </c>
      <c r="U262" s="96">
        <f t="shared" si="18"/>
        <v>61.97</v>
      </c>
      <c r="V262" s="93">
        <v>1.49</v>
      </c>
      <c r="W262" s="97">
        <f t="shared" si="19"/>
        <v>63.46</v>
      </c>
    </row>
    <row r="263" spans="1:23" x14ac:dyDescent="0.25">
      <c r="A263" s="61" t="s">
        <v>356</v>
      </c>
      <c r="B263" s="91">
        <v>41571</v>
      </c>
      <c r="C263" s="92" t="s">
        <v>1639</v>
      </c>
      <c r="D263" s="92" t="s">
        <v>1640</v>
      </c>
      <c r="E263" s="92" t="s">
        <v>1198</v>
      </c>
      <c r="F263" s="92" t="s">
        <v>1235</v>
      </c>
      <c r="G263" s="92" t="s">
        <v>1201</v>
      </c>
      <c r="H263" s="92" t="s">
        <v>1263</v>
      </c>
      <c r="I263" s="92" t="s">
        <v>1317</v>
      </c>
      <c r="J263" s="92" t="s">
        <v>1305</v>
      </c>
      <c r="K263" s="92" t="s">
        <v>1243</v>
      </c>
      <c r="L263" s="92" t="s">
        <v>1260</v>
      </c>
      <c r="M263" s="92" t="s">
        <v>1241</v>
      </c>
      <c r="N263" s="91">
        <v>41574</v>
      </c>
      <c r="O263" s="93">
        <v>4.53</v>
      </c>
      <c r="P263" s="93">
        <v>7.3</v>
      </c>
      <c r="Q263" s="94">
        <v>31</v>
      </c>
      <c r="R263" s="93">
        <f t="shared" si="16"/>
        <v>226.29999999999998</v>
      </c>
      <c r="S263" s="95">
        <v>0.03</v>
      </c>
      <c r="T263" s="96">
        <f t="shared" si="17"/>
        <v>6.7889999999999988</v>
      </c>
      <c r="U263" s="96">
        <f t="shared" si="18"/>
        <v>226.26999999999998</v>
      </c>
      <c r="V263" s="93">
        <v>7.72</v>
      </c>
      <c r="W263" s="97">
        <f t="shared" si="19"/>
        <v>233.98999999999998</v>
      </c>
    </row>
    <row r="264" spans="1:23" x14ac:dyDescent="0.25">
      <c r="A264" s="61" t="s">
        <v>357</v>
      </c>
      <c r="B264" s="91">
        <v>41572</v>
      </c>
      <c r="C264" s="92" t="s">
        <v>1641</v>
      </c>
      <c r="D264" s="92" t="s">
        <v>1636</v>
      </c>
      <c r="E264" s="92" t="s">
        <v>1198</v>
      </c>
      <c r="F264" s="92" t="s">
        <v>1235</v>
      </c>
      <c r="G264" s="92" t="s">
        <v>1201</v>
      </c>
      <c r="H264" s="92" t="s">
        <v>1409</v>
      </c>
      <c r="I264" s="92" t="s">
        <v>1317</v>
      </c>
      <c r="J264" s="92" t="s">
        <v>1642</v>
      </c>
      <c r="K264" s="92" t="s">
        <v>1243</v>
      </c>
      <c r="L264" s="92" t="s">
        <v>1260</v>
      </c>
      <c r="M264" s="92" t="s">
        <v>1241</v>
      </c>
      <c r="N264" s="91">
        <v>41574</v>
      </c>
      <c r="O264" s="93">
        <v>11.04</v>
      </c>
      <c r="P264" s="93">
        <v>16.98</v>
      </c>
      <c r="Q264" s="94">
        <v>27</v>
      </c>
      <c r="R264" s="93">
        <f t="shared" si="16"/>
        <v>458.46000000000004</v>
      </c>
      <c r="S264" s="95">
        <v>0.1</v>
      </c>
      <c r="T264" s="96">
        <f t="shared" si="17"/>
        <v>45.846000000000004</v>
      </c>
      <c r="U264" s="96">
        <f t="shared" si="18"/>
        <v>458.36</v>
      </c>
      <c r="V264" s="93">
        <v>12.39</v>
      </c>
      <c r="W264" s="97">
        <f t="shared" si="19"/>
        <v>470.75</v>
      </c>
    </row>
    <row r="265" spans="1:23" x14ac:dyDescent="0.25">
      <c r="A265" s="61" t="s">
        <v>358</v>
      </c>
      <c r="B265" s="91">
        <v>41573</v>
      </c>
      <c r="C265" s="92" t="s">
        <v>1643</v>
      </c>
      <c r="D265" s="92" t="s">
        <v>1463</v>
      </c>
      <c r="E265" s="92" t="s">
        <v>1198</v>
      </c>
      <c r="F265" s="92" t="s">
        <v>1235</v>
      </c>
      <c r="G265" s="92" t="s">
        <v>1202</v>
      </c>
      <c r="H265" s="92" t="s">
        <v>1263</v>
      </c>
      <c r="I265" s="92" t="s">
        <v>1256</v>
      </c>
      <c r="J265" s="92" t="s">
        <v>1259</v>
      </c>
      <c r="K265" s="92" t="s">
        <v>1243</v>
      </c>
      <c r="L265" s="92" t="s">
        <v>1260</v>
      </c>
      <c r="M265" s="92" t="s">
        <v>1241</v>
      </c>
      <c r="N265" s="91">
        <v>41575</v>
      </c>
      <c r="O265" s="93">
        <v>3.4</v>
      </c>
      <c r="P265" s="93">
        <v>5.4</v>
      </c>
      <c r="Q265" s="94">
        <v>47</v>
      </c>
      <c r="R265" s="93">
        <f t="shared" si="16"/>
        <v>253.8</v>
      </c>
      <c r="S265" s="95">
        <v>0.03</v>
      </c>
      <c r="T265" s="96">
        <f t="shared" si="17"/>
        <v>7.6139999999999999</v>
      </c>
      <c r="U265" s="96">
        <f t="shared" si="18"/>
        <v>253.77</v>
      </c>
      <c r="V265" s="93">
        <v>7.78</v>
      </c>
      <c r="W265" s="97">
        <f t="shared" si="19"/>
        <v>261.55</v>
      </c>
    </row>
    <row r="266" spans="1:23" x14ac:dyDescent="0.25">
      <c r="A266" s="61" t="s">
        <v>359</v>
      </c>
      <c r="B266" s="91">
        <v>41575</v>
      </c>
      <c r="C266" s="92" t="s">
        <v>1644</v>
      </c>
      <c r="D266" s="92" t="s">
        <v>1316</v>
      </c>
      <c r="E266" s="92" t="s">
        <v>1199</v>
      </c>
      <c r="F266" s="92" t="s">
        <v>1254</v>
      </c>
      <c r="G266" s="92" t="s">
        <v>1200</v>
      </c>
      <c r="H266" s="92" t="s">
        <v>1255</v>
      </c>
      <c r="I266" s="92" t="s">
        <v>1317</v>
      </c>
      <c r="J266" s="92" t="s">
        <v>1238</v>
      </c>
      <c r="K266" s="92" t="s">
        <v>1239</v>
      </c>
      <c r="L266" s="92" t="s">
        <v>1240</v>
      </c>
      <c r="M266" s="92" t="s">
        <v>1241</v>
      </c>
      <c r="N266" s="91">
        <v>41576</v>
      </c>
      <c r="O266" s="93">
        <v>1.87</v>
      </c>
      <c r="P266" s="93">
        <v>8.1199999999999992</v>
      </c>
      <c r="Q266" s="94">
        <v>37</v>
      </c>
      <c r="R266" s="93">
        <f t="shared" si="16"/>
        <v>300.44</v>
      </c>
      <c r="S266" s="95">
        <v>0</v>
      </c>
      <c r="T266" s="96">
        <f t="shared" si="17"/>
        <v>0</v>
      </c>
      <c r="U266" s="96">
        <f t="shared" si="18"/>
        <v>300.44</v>
      </c>
      <c r="V266" s="93">
        <v>2.83</v>
      </c>
      <c r="W266" s="97">
        <f t="shared" si="19"/>
        <v>303.27</v>
      </c>
    </row>
    <row r="267" spans="1:23" x14ac:dyDescent="0.25">
      <c r="A267" s="61" t="s">
        <v>360</v>
      </c>
      <c r="B267" s="91">
        <v>41575</v>
      </c>
      <c r="C267" s="92" t="s">
        <v>1429</v>
      </c>
      <c r="D267" s="92" t="s">
        <v>1430</v>
      </c>
      <c r="E267" s="92" t="s">
        <v>1199</v>
      </c>
      <c r="F267" s="92" t="s">
        <v>1254</v>
      </c>
      <c r="G267" s="92" t="s">
        <v>1200</v>
      </c>
      <c r="H267" s="92" t="s">
        <v>1255</v>
      </c>
      <c r="I267" s="92" t="s">
        <v>1317</v>
      </c>
      <c r="J267" s="92" t="s">
        <v>1645</v>
      </c>
      <c r="K267" s="92" t="s">
        <v>1243</v>
      </c>
      <c r="L267" s="92" t="s">
        <v>1240</v>
      </c>
      <c r="M267" s="92" t="s">
        <v>1250</v>
      </c>
      <c r="N267" s="91">
        <v>41576</v>
      </c>
      <c r="O267" s="93">
        <v>16.8</v>
      </c>
      <c r="P267" s="93">
        <v>40.97</v>
      </c>
      <c r="Q267" s="94">
        <v>11</v>
      </c>
      <c r="R267" s="93">
        <f t="shared" si="16"/>
        <v>450.66999999999996</v>
      </c>
      <c r="S267" s="95">
        <v>0.03</v>
      </c>
      <c r="T267" s="96">
        <f t="shared" si="17"/>
        <v>13.520099999999998</v>
      </c>
      <c r="U267" s="96">
        <f t="shared" si="18"/>
        <v>450.64</v>
      </c>
      <c r="V267" s="93">
        <v>8.99</v>
      </c>
      <c r="W267" s="97">
        <f t="shared" si="19"/>
        <v>459.63</v>
      </c>
    </row>
    <row r="268" spans="1:23" x14ac:dyDescent="0.25">
      <c r="A268" s="61" t="s">
        <v>361</v>
      </c>
      <c r="B268" s="91">
        <v>41576</v>
      </c>
      <c r="C268" s="92" t="s">
        <v>1646</v>
      </c>
      <c r="D268" s="92" t="s">
        <v>1303</v>
      </c>
      <c r="E268" s="92" t="s">
        <v>1198</v>
      </c>
      <c r="F268" s="92" t="s">
        <v>1235</v>
      </c>
      <c r="G268" s="92" t="s">
        <v>1203</v>
      </c>
      <c r="H268" s="92" t="s">
        <v>1304</v>
      </c>
      <c r="I268" s="92" t="s">
        <v>1264</v>
      </c>
      <c r="J268" s="92" t="s">
        <v>1575</v>
      </c>
      <c r="K268" s="92" t="s">
        <v>1243</v>
      </c>
      <c r="L268" s="92" t="s">
        <v>1260</v>
      </c>
      <c r="M268" s="92" t="s">
        <v>1241</v>
      </c>
      <c r="N268" s="91">
        <v>41577</v>
      </c>
      <c r="O268" s="93">
        <v>1.94</v>
      </c>
      <c r="P268" s="93">
        <v>3.08</v>
      </c>
      <c r="Q268" s="94">
        <v>41</v>
      </c>
      <c r="R268" s="93">
        <f t="shared" si="16"/>
        <v>126.28</v>
      </c>
      <c r="S268" s="95">
        <v>0.04</v>
      </c>
      <c r="T268" s="96">
        <f t="shared" si="17"/>
        <v>5.0512000000000006</v>
      </c>
      <c r="U268" s="96">
        <f t="shared" si="18"/>
        <v>126.24</v>
      </c>
      <c r="V268" s="93">
        <v>0.99</v>
      </c>
      <c r="W268" s="97">
        <f t="shared" si="19"/>
        <v>127.22999999999999</v>
      </c>
    </row>
    <row r="269" spans="1:23" x14ac:dyDescent="0.25">
      <c r="A269" s="61" t="s">
        <v>362</v>
      </c>
      <c r="B269" s="91">
        <v>41579</v>
      </c>
      <c r="C269" s="92" t="s">
        <v>1647</v>
      </c>
      <c r="D269" s="92" t="s">
        <v>1640</v>
      </c>
      <c r="E269" s="92" t="s">
        <v>1198</v>
      </c>
      <c r="F269" s="92" t="s">
        <v>1235</v>
      </c>
      <c r="G269" s="92" t="s">
        <v>1202</v>
      </c>
      <c r="H269" s="92" t="s">
        <v>1263</v>
      </c>
      <c r="I269" s="92" t="s">
        <v>1264</v>
      </c>
      <c r="J269" s="92" t="s">
        <v>1238</v>
      </c>
      <c r="K269" s="92" t="s">
        <v>1239</v>
      </c>
      <c r="L269" s="92" t="s">
        <v>1240</v>
      </c>
      <c r="M269" s="92" t="s">
        <v>1241</v>
      </c>
      <c r="N269" s="91">
        <v>41580</v>
      </c>
      <c r="O269" s="93">
        <v>1.87</v>
      </c>
      <c r="P269" s="93">
        <v>8.1199999999999992</v>
      </c>
      <c r="Q269" s="94">
        <v>16</v>
      </c>
      <c r="R269" s="93">
        <f t="shared" si="16"/>
        <v>129.91999999999999</v>
      </c>
      <c r="S269" s="95">
        <v>0.03</v>
      </c>
      <c r="T269" s="96">
        <f t="shared" si="17"/>
        <v>3.8975999999999993</v>
      </c>
      <c r="U269" s="96">
        <f t="shared" si="18"/>
        <v>129.88999999999999</v>
      </c>
      <c r="V269" s="93">
        <v>2.83</v>
      </c>
      <c r="W269" s="97">
        <f t="shared" si="19"/>
        <v>132.72</v>
      </c>
    </row>
    <row r="270" spans="1:23" x14ac:dyDescent="0.25">
      <c r="A270" s="61" t="s">
        <v>363</v>
      </c>
      <c r="B270" s="91">
        <v>41580</v>
      </c>
      <c r="C270" s="92" t="s">
        <v>1546</v>
      </c>
      <c r="D270" s="92" t="s">
        <v>1430</v>
      </c>
      <c r="E270" s="92" t="s">
        <v>1199</v>
      </c>
      <c r="F270" s="92" t="s">
        <v>1254</v>
      </c>
      <c r="G270" s="92" t="s">
        <v>1203</v>
      </c>
      <c r="H270" s="92" t="s">
        <v>1274</v>
      </c>
      <c r="I270" s="92" t="s">
        <v>1237</v>
      </c>
      <c r="J270" s="92" t="s">
        <v>1305</v>
      </c>
      <c r="K270" s="92" t="s">
        <v>1243</v>
      </c>
      <c r="L270" s="92" t="s">
        <v>1260</v>
      </c>
      <c r="M270" s="92" t="s">
        <v>1241</v>
      </c>
      <c r="N270" s="91">
        <v>41581</v>
      </c>
      <c r="O270" s="93">
        <v>4.53</v>
      </c>
      <c r="P270" s="93">
        <v>7.3</v>
      </c>
      <c r="Q270" s="94">
        <v>45</v>
      </c>
      <c r="R270" s="93">
        <f t="shared" si="16"/>
        <v>328.5</v>
      </c>
      <c r="S270" s="95">
        <v>0.04</v>
      </c>
      <c r="T270" s="96">
        <f t="shared" si="17"/>
        <v>13.14</v>
      </c>
      <c r="U270" s="96">
        <f t="shared" si="18"/>
        <v>328.46</v>
      </c>
      <c r="V270" s="93">
        <v>7.72</v>
      </c>
      <c r="W270" s="97">
        <f t="shared" si="19"/>
        <v>336.18</v>
      </c>
    </row>
    <row r="271" spans="1:23" x14ac:dyDescent="0.25">
      <c r="A271" s="61" t="s">
        <v>364</v>
      </c>
      <c r="B271" s="91">
        <v>41581</v>
      </c>
      <c r="C271" s="92" t="s">
        <v>1648</v>
      </c>
      <c r="D271" s="92" t="s">
        <v>1649</v>
      </c>
      <c r="E271" s="92" t="s">
        <v>1198</v>
      </c>
      <c r="F271" s="92" t="s">
        <v>1235</v>
      </c>
      <c r="G271" s="92" t="s">
        <v>1200</v>
      </c>
      <c r="H271" s="92" t="s">
        <v>1471</v>
      </c>
      <c r="I271" s="92" t="s">
        <v>1264</v>
      </c>
      <c r="J271" s="92" t="s">
        <v>1331</v>
      </c>
      <c r="K271" s="92" t="s">
        <v>1243</v>
      </c>
      <c r="L271" s="92" t="s">
        <v>1240</v>
      </c>
      <c r="M271" s="92" t="s">
        <v>1241</v>
      </c>
      <c r="N271" s="91">
        <v>41581</v>
      </c>
      <c r="O271" s="93">
        <v>5.19</v>
      </c>
      <c r="P271" s="93">
        <v>12.98</v>
      </c>
      <c r="Q271" s="94">
        <v>40</v>
      </c>
      <c r="R271" s="93">
        <f t="shared" si="16"/>
        <v>519.20000000000005</v>
      </c>
      <c r="S271" s="95">
        <v>0.05</v>
      </c>
      <c r="T271" s="96">
        <f t="shared" si="17"/>
        <v>25.960000000000004</v>
      </c>
      <c r="U271" s="96">
        <f t="shared" si="18"/>
        <v>519.15000000000009</v>
      </c>
      <c r="V271" s="93">
        <v>3.14</v>
      </c>
      <c r="W271" s="97">
        <f t="shared" si="19"/>
        <v>522.29000000000008</v>
      </c>
    </row>
    <row r="272" spans="1:23" x14ac:dyDescent="0.25">
      <c r="A272" s="61" t="s">
        <v>365</v>
      </c>
      <c r="B272" s="91">
        <v>41583</v>
      </c>
      <c r="C272" s="92" t="s">
        <v>1650</v>
      </c>
      <c r="D272" s="92" t="s">
        <v>1496</v>
      </c>
      <c r="E272" s="92" t="s">
        <v>1198</v>
      </c>
      <c r="F272" s="92" t="s">
        <v>1235</v>
      </c>
      <c r="G272" s="92" t="s">
        <v>1200</v>
      </c>
      <c r="H272" s="92" t="s">
        <v>1313</v>
      </c>
      <c r="I272" s="92" t="s">
        <v>1256</v>
      </c>
      <c r="J272" s="92" t="s">
        <v>1373</v>
      </c>
      <c r="K272" s="92" t="s">
        <v>1243</v>
      </c>
      <c r="L272" s="92" t="s">
        <v>1260</v>
      </c>
      <c r="M272" s="92" t="s">
        <v>1241</v>
      </c>
      <c r="N272" s="91">
        <v>41585</v>
      </c>
      <c r="O272" s="93">
        <v>2.29</v>
      </c>
      <c r="P272" s="93">
        <v>3.69</v>
      </c>
      <c r="Q272" s="94">
        <v>42</v>
      </c>
      <c r="R272" s="93">
        <f t="shared" si="16"/>
        <v>154.97999999999999</v>
      </c>
      <c r="S272" s="95">
        <v>0.04</v>
      </c>
      <c r="T272" s="96">
        <f t="shared" si="17"/>
        <v>6.1991999999999994</v>
      </c>
      <c r="U272" s="96">
        <f t="shared" si="18"/>
        <v>154.94</v>
      </c>
      <c r="V272" s="93">
        <v>0.5</v>
      </c>
      <c r="W272" s="97">
        <f t="shared" si="19"/>
        <v>155.44</v>
      </c>
    </row>
    <row r="273" spans="1:23" x14ac:dyDescent="0.25">
      <c r="A273" s="61" t="s">
        <v>366</v>
      </c>
      <c r="B273" s="91">
        <v>41583</v>
      </c>
      <c r="C273" s="92" t="s">
        <v>1651</v>
      </c>
      <c r="D273" s="92" t="s">
        <v>1607</v>
      </c>
      <c r="E273" s="92" t="s">
        <v>1198</v>
      </c>
      <c r="F273" s="92" t="s">
        <v>1235</v>
      </c>
      <c r="G273" s="92" t="s">
        <v>1200</v>
      </c>
      <c r="H273" s="92" t="s">
        <v>1247</v>
      </c>
      <c r="I273" s="92" t="s">
        <v>1264</v>
      </c>
      <c r="J273" s="92" t="s">
        <v>1377</v>
      </c>
      <c r="K273" s="92" t="s">
        <v>1243</v>
      </c>
      <c r="L273" s="92" t="s">
        <v>1244</v>
      </c>
      <c r="M273" s="92" t="s">
        <v>1241</v>
      </c>
      <c r="N273" s="91">
        <v>41584</v>
      </c>
      <c r="O273" s="93">
        <v>5.22</v>
      </c>
      <c r="P273" s="93">
        <v>9.85</v>
      </c>
      <c r="Q273" s="94">
        <v>27</v>
      </c>
      <c r="R273" s="93">
        <f t="shared" si="16"/>
        <v>265.95</v>
      </c>
      <c r="S273" s="95">
        <v>0.1</v>
      </c>
      <c r="T273" s="96">
        <f t="shared" si="17"/>
        <v>26.594999999999999</v>
      </c>
      <c r="U273" s="96">
        <f t="shared" si="18"/>
        <v>265.84999999999997</v>
      </c>
      <c r="V273" s="93">
        <v>4.82</v>
      </c>
      <c r="W273" s="97">
        <f t="shared" si="19"/>
        <v>270.66999999999996</v>
      </c>
    </row>
    <row r="274" spans="1:23" x14ac:dyDescent="0.25">
      <c r="A274" s="61" t="s">
        <v>367</v>
      </c>
      <c r="B274" s="91">
        <v>41585</v>
      </c>
      <c r="C274" s="92" t="s">
        <v>1652</v>
      </c>
      <c r="D274" s="92" t="s">
        <v>1653</v>
      </c>
      <c r="E274" s="92" t="s">
        <v>1198</v>
      </c>
      <c r="F274" s="92" t="s">
        <v>1235</v>
      </c>
      <c r="G274" s="92" t="s">
        <v>1201</v>
      </c>
      <c r="H274" s="92" t="s">
        <v>1313</v>
      </c>
      <c r="I274" s="92" t="s">
        <v>1237</v>
      </c>
      <c r="J274" s="92" t="s">
        <v>1499</v>
      </c>
      <c r="K274" s="92" t="s">
        <v>1243</v>
      </c>
      <c r="L274" s="92" t="s">
        <v>1244</v>
      </c>
      <c r="M274" s="92" t="s">
        <v>1250</v>
      </c>
      <c r="N274" s="91">
        <v>41586</v>
      </c>
      <c r="O274" s="93">
        <v>3.75</v>
      </c>
      <c r="P274" s="93">
        <v>7.08</v>
      </c>
      <c r="Q274" s="94">
        <v>29</v>
      </c>
      <c r="R274" s="93">
        <f t="shared" si="16"/>
        <v>205.32</v>
      </c>
      <c r="S274" s="95">
        <v>7.0000000000000007E-2</v>
      </c>
      <c r="T274" s="96">
        <f t="shared" si="17"/>
        <v>14.372400000000001</v>
      </c>
      <c r="U274" s="96">
        <f t="shared" si="18"/>
        <v>205.25</v>
      </c>
      <c r="V274" s="93">
        <v>2.35</v>
      </c>
      <c r="W274" s="97">
        <f t="shared" si="19"/>
        <v>207.6</v>
      </c>
    </row>
    <row r="275" spans="1:23" x14ac:dyDescent="0.25">
      <c r="A275" s="61" t="s">
        <v>368</v>
      </c>
      <c r="B275" s="91">
        <v>41587</v>
      </c>
      <c r="C275" s="92" t="s">
        <v>1654</v>
      </c>
      <c r="D275" s="92" t="s">
        <v>1330</v>
      </c>
      <c r="E275" s="92" t="s">
        <v>1199</v>
      </c>
      <c r="F275" s="92" t="s">
        <v>1254</v>
      </c>
      <c r="G275" s="92" t="s">
        <v>1201</v>
      </c>
      <c r="H275" s="92" t="s">
        <v>1255</v>
      </c>
      <c r="I275" s="92" t="s">
        <v>1248</v>
      </c>
      <c r="J275" s="92" t="s">
        <v>1249</v>
      </c>
      <c r="K275" s="92" t="s">
        <v>1243</v>
      </c>
      <c r="L275" s="92" t="s">
        <v>1244</v>
      </c>
      <c r="M275" s="92" t="s">
        <v>1241</v>
      </c>
      <c r="N275" s="91">
        <v>41587</v>
      </c>
      <c r="O275" s="93">
        <v>3.32</v>
      </c>
      <c r="P275" s="93">
        <v>5.18</v>
      </c>
      <c r="Q275" s="94">
        <v>8</v>
      </c>
      <c r="R275" s="93">
        <f t="shared" si="16"/>
        <v>41.44</v>
      </c>
      <c r="S275" s="95">
        <v>0.06</v>
      </c>
      <c r="T275" s="96">
        <f t="shared" si="17"/>
        <v>2.4863999999999997</v>
      </c>
      <c r="U275" s="96">
        <f t="shared" si="18"/>
        <v>41.379999999999995</v>
      </c>
      <c r="V275" s="93">
        <v>2.04</v>
      </c>
      <c r="W275" s="97">
        <f t="shared" si="19"/>
        <v>43.419999999999995</v>
      </c>
    </row>
    <row r="276" spans="1:23" x14ac:dyDescent="0.25">
      <c r="A276" s="61" t="s">
        <v>369</v>
      </c>
      <c r="B276" s="91">
        <v>41590</v>
      </c>
      <c r="C276" s="92" t="s">
        <v>1655</v>
      </c>
      <c r="D276" s="92" t="s">
        <v>1412</v>
      </c>
      <c r="E276" s="92" t="s">
        <v>1199</v>
      </c>
      <c r="F276" s="92" t="s">
        <v>1254</v>
      </c>
      <c r="G276" s="92" t="s">
        <v>1200</v>
      </c>
      <c r="H276" s="92" t="s">
        <v>1274</v>
      </c>
      <c r="I276" s="92" t="s">
        <v>1237</v>
      </c>
      <c r="J276" s="92" t="s">
        <v>1341</v>
      </c>
      <c r="K276" s="92" t="s">
        <v>1243</v>
      </c>
      <c r="L276" s="92" t="s">
        <v>1260</v>
      </c>
      <c r="M276" s="92" t="s">
        <v>1241</v>
      </c>
      <c r="N276" s="91">
        <v>41592</v>
      </c>
      <c r="O276" s="93">
        <v>3.37</v>
      </c>
      <c r="P276" s="93">
        <v>5.53</v>
      </c>
      <c r="Q276" s="94">
        <v>17</v>
      </c>
      <c r="R276" s="93">
        <f t="shared" si="16"/>
        <v>94.01</v>
      </c>
      <c r="S276" s="95">
        <v>0.02</v>
      </c>
      <c r="T276" s="96">
        <f t="shared" si="17"/>
        <v>1.8802000000000001</v>
      </c>
      <c r="U276" s="96">
        <f t="shared" si="18"/>
        <v>93.990000000000009</v>
      </c>
      <c r="V276" s="93">
        <v>6.98</v>
      </c>
      <c r="W276" s="97">
        <f t="shared" si="19"/>
        <v>100.97000000000001</v>
      </c>
    </row>
    <row r="277" spans="1:23" x14ac:dyDescent="0.25">
      <c r="A277" s="61" t="s">
        <v>370</v>
      </c>
      <c r="B277" s="91">
        <v>41593</v>
      </c>
      <c r="C277" s="92" t="s">
        <v>1611</v>
      </c>
      <c r="D277" s="92" t="s">
        <v>1246</v>
      </c>
      <c r="E277" s="92" t="s">
        <v>1198</v>
      </c>
      <c r="F277" s="92" t="s">
        <v>1235</v>
      </c>
      <c r="G277" s="92" t="s">
        <v>1202</v>
      </c>
      <c r="H277" s="92" t="s">
        <v>1247</v>
      </c>
      <c r="I277" s="92" t="s">
        <v>1256</v>
      </c>
      <c r="J277" s="92" t="s">
        <v>1517</v>
      </c>
      <c r="K277" s="92" t="s">
        <v>1243</v>
      </c>
      <c r="L277" s="92" t="s">
        <v>1260</v>
      </c>
      <c r="M277" s="92" t="s">
        <v>1241</v>
      </c>
      <c r="N277" s="91">
        <v>41595</v>
      </c>
      <c r="O277" s="93">
        <v>12.39</v>
      </c>
      <c r="P277" s="93">
        <v>19.98</v>
      </c>
      <c r="Q277" s="94">
        <v>47</v>
      </c>
      <c r="R277" s="93">
        <f t="shared" si="16"/>
        <v>939.06000000000006</v>
      </c>
      <c r="S277" s="95">
        <v>0.04</v>
      </c>
      <c r="T277" s="96">
        <f t="shared" si="17"/>
        <v>37.562400000000004</v>
      </c>
      <c r="U277" s="96">
        <f t="shared" si="18"/>
        <v>939.0200000000001</v>
      </c>
      <c r="V277" s="93">
        <v>5.77</v>
      </c>
      <c r="W277" s="97">
        <f t="shared" si="19"/>
        <v>944.79000000000008</v>
      </c>
    </row>
    <row r="278" spans="1:23" x14ac:dyDescent="0.25">
      <c r="A278" s="61" t="s">
        <v>371</v>
      </c>
      <c r="B278" s="91">
        <v>41594</v>
      </c>
      <c r="C278" s="92" t="s">
        <v>1474</v>
      </c>
      <c r="D278" s="92" t="s">
        <v>1425</v>
      </c>
      <c r="E278" s="92" t="s">
        <v>1198</v>
      </c>
      <c r="F278" s="92" t="s">
        <v>1235</v>
      </c>
      <c r="G278" s="92" t="s">
        <v>1202</v>
      </c>
      <c r="H278" s="92" t="s">
        <v>1409</v>
      </c>
      <c r="I278" s="92" t="s">
        <v>1256</v>
      </c>
      <c r="J278" s="92" t="s">
        <v>1386</v>
      </c>
      <c r="K278" s="92" t="s">
        <v>1382</v>
      </c>
      <c r="L278" s="92" t="s">
        <v>1240</v>
      </c>
      <c r="M278" s="92" t="s">
        <v>1241</v>
      </c>
      <c r="N278" s="91">
        <v>41594</v>
      </c>
      <c r="O278" s="93">
        <v>5.5</v>
      </c>
      <c r="P278" s="93">
        <v>12.22</v>
      </c>
      <c r="Q278" s="94">
        <v>27</v>
      </c>
      <c r="R278" s="93">
        <f t="shared" si="16"/>
        <v>329.94</v>
      </c>
      <c r="S278" s="95">
        <v>7.0000000000000007E-2</v>
      </c>
      <c r="T278" s="96">
        <f t="shared" si="17"/>
        <v>23.095800000000001</v>
      </c>
      <c r="U278" s="96">
        <f t="shared" si="18"/>
        <v>329.87</v>
      </c>
      <c r="V278" s="93">
        <v>2.85</v>
      </c>
      <c r="W278" s="97">
        <f t="shared" si="19"/>
        <v>332.72</v>
      </c>
    </row>
    <row r="279" spans="1:23" x14ac:dyDescent="0.25">
      <c r="A279" s="61" t="s">
        <v>372</v>
      </c>
      <c r="B279" s="91">
        <v>41594</v>
      </c>
      <c r="C279" s="92" t="s">
        <v>1656</v>
      </c>
      <c r="D279" s="92" t="s">
        <v>1285</v>
      </c>
      <c r="E279" s="92" t="s">
        <v>1198</v>
      </c>
      <c r="F279" s="92" t="s">
        <v>1235</v>
      </c>
      <c r="G279" s="92" t="s">
        <v>1200</v>
      </c>
      <c r="H279" s="92" t="s">
        <v>1286</v>
      </c>
      <c r="I279" s="92" t="s">
        <v>1264</v>
      </c>
      <c r="J279" s="92" t="s">
        <v>1378</v>
      </c>
      <c r="K279" s="92" t="s">
        <v>1243</v>
      </c>
      <c r="L279" s="92" t="s">
        <v>1244</v>
      </c>
      <c r="M279" s="92" t="s">
        <v>1241</v>
      </c>
      <c r="N279" s="91">
        <v>41595</v>
      </c>
      <c r="O279" s="93">
        <v>1.76</v>
      </c>
      <c r="P279" s="93">
        <v>2.94</v>
      </c>
      <c r="Q279" s="94">
        <v>23</v>
      </c>
      <c r="R279" s="93">
        <f t="shared" si="16"/>
        <v>67.62</v>
      </c>
      <c r="S279" s="95">
        <v>7.0000000000000007E-2</v>
      </c>
      <c r="T279" s="96">
        <f t="shared" si="17"/>
        <v>4.7334000000000005</v>
      </c>
      <c r="U279" s="96">
        <f t="shared" si="18"/>
        <v>67.550000000000011</v>
      </c>
      <c r="V279" s="93">
        <v>0.81</v>
      </c>
      <c r="W279" s="97">
        <f t="shared" si="19"/>
        <v>68.360000000000014</v>
      </c>
    </row>
    <row r="280" spans="1:23" x14ac:dyDescent="0.25">
      <c r="A280" s="61" t="s">
        <v>373</v>
      </c>
      <c r="B280" s="91">
        <v>41595</v>
      </c>
      <c r="C280" s="92" t="s">
        <v>1657</v>
      </c>
      <c r="D280" s="92" t="s">
        <v>1408</v>
      </c>
      <c r="E280" s="92" t="s">
        <v>1198</v>
      </c>
      <c r="F280" s="92" t="s">
        <v>1235</v>
      </c>
      <c r="G280" s="92" t="s">
        <v>1202</v>
      </c>
      <c r="H280" s="92" t="s">
        <v>1409</v>
      </c>
      <c r="I280" s="92" t="s">
        <v>1264</v>
      </c>
      <c r="J280" s="92" t="s">
        <v>1391</v>
      </c>
      <c r="K280" s="92" t="s">
        <v>1239</v>
      </c>
      <c r="L280" s="92" t="s">
        <v>1260</v>
      </c>
      <c r="M280" s="92" t="s">
        <v>1250</v>
      </c>
      <c r="N280" s="91">
        <v>41597</v>
      </c>
      <c r="O280" s="93">
        <v>39.64</v>
      </c>
      <c r="P280" s="93">
        <v>152.47999999999999</v>
      </c>
      <c r="Q280" s="94">
        <v>2</v>
      </c>
      <c r="R280" s="93">
        <f t="shared" si="16"/>
        <v>304.95999999999998</v>
      </c>
      <c r="S280" s="95">
        <v>0.02</v>
      </c>
      <c r="T280" s="96">
        <f t="shared" si="17"/>
        <v>6.0991999999999997</v>
      </c>
      <c r="U280" s="96">
        <f t="shared" si="18"/>
        <v>304.94</v>
      </c>
      <c r="V280" s="93">
        <v>6.5</v>
      </c>
      <c r="W280" s="97">
        <f t="shared" si="19"/>
        <v>311.44</v>
      </c>
    </row>
    <row r="281" spans="1:23" x14ac:dyDescent="0.25">
      <c r="A281" s="61" t="s">
        <v>374</v>
      </c>
      <c r="B281" s="91">
        <v>41595</v>
      </c>
      <c r="C281" s="92" t="s">
        <v>1658</v>
      </c>
      <c r="D281" s="92" t="s">
        <v>1340</v>
      </c>
      <c r="E281" s="92" t="s">
        <v>1199</v>
      </c>
      <c r="F281" s="92" t="s">
        <v>1254</v>
      </c>
      <c r="G281" s="92" t="s">
        <v>1203</v>
      </c>
      <c r="H281" s="92" t="s">
        <v>1255</v>
      </c>
      <c r="I281" s="92" t="s">
        <v>1264</v>
      </c>
      <c r="J281" s="92" t="s">
        <v>1659</v>
      </c>
      <c r="K281" s="92" t="s">
        <v>1243</v>
      </c>
      <c r="L281" s="92" t="s">
        <v>1240</v>
      </c>
      <c r="M281" s="92" t="s">
        <v>1241</v>
      </c>
      <c r="N281" s="91">
        <v>41596</v>
      </c>
      <c r="O281" s="93">
        <v>3.51</v>
      </c>
      <c r="P281" s="93">
        <v>8.57</v>
      </c>
      <c r="Q281" s="94">
        <v>24</v>
      </c>
      <c r="R281" s="93">
        <f t="shared" si="16"/>
        <v>205.68</v>
      </c>
      <c r="S281" s="95">
        <v>0.06</v>
      </c>
      <c r="T281" s="96">
        <f t="shared" si="17"/>
        <v>12.3408</v>
      </c>
      <c r="U281" s="96">
        <f t="shared" si="18"/>
        <v>205.62</v>
      </c>
      <c r="V281" s="93">
        <v>6.14</v>
      </c>
      <c r="W281" s="97">
        <f t="shared" si="19"/>
        <v>211.76</v>
      </c>
    </row>
    <row r="282" spans="1:23" x14ac:dyDescent="0.25">
      <c r="A282" s="61" t="s">
        <v>375</v>
      </c>
      <c r="B282" s="91">
        <v>41595</v>
      </c>
      <c r="C282" s="92" t="s">
        <v>1660</v>
      </c>
      <c r="D282" s="92" t="s">
        <v>1316</v>
      </c>
      <c r="E282" s="92" t="s">
        <v>1199</v>
      </c>
      <c r="F282" s="92" t="s">
        <v>1254</v>
      </c>
      <c r="G282" s="92" t="s">
        <v>1200</v>
      </c>
      <c r="H282" s="92" t="s">
        <v>1255</v>
      </c>
      <c r="I282" s="92" t="s">
        <v>1317</v>
      </c>
      <c r="J282" s="92" t="s">
        <v>1275</v>
      </c>
      <c r="K282" s="92" t="s">
        <v>1243</v>
      </c>
      <c r="L282" s="92" t="s">
        <v>1260</v>
      </c>
      <c r="M282" s="92" t="s">
        <v>1241</v>
      </c>
      <c r="N282" s="91">
        <v>41595</v>
      </c>
      <c r="O282" s="93">
        <v>2.4500000000000002</v>
      </c>
      <c r="P282" s="93">
        <v>3.89</v>
      </c>
      <c r="Q282" s="94">
        <v>47</v>
      </c>
      <c r="R282" s="93">
        <f t="shared" si="16"/>
        <v>182.83</v>
      </c>
      <c r="S282" s="95">
        <v>0</v>
      </c>
      <c r="T282" s="96">
        <f t="shared" si="17"/>
        <v>0</v>
      </c>
      <c r="U282" s="96">
        <f t="shared" si="18"/>
        <v>182.83</v>
      </c>
      <c r="V282" s="93">
        <v>7.01</v>
      </c>
      <c r="W282" s="97">
        <f t="shared" si="19"/>
        <v>189.84</v>
      </c>
    </row>
    <row r="283" spans="1:23" x14ac:dyDescent="0.25">
      <c r="A283" s="61" t="s">
        <v>376</v>
      </c>
      <c r="B283" s="91">
        <v>41596</v>
      </c>
      <c r="C283" s="92" t="s">
        <v>1661</v>
      </c>
      <c r="D283" s="92" t="s">
        <v>1458</v>
      </c>
      <c r="E283" s="92" t="s">
        <v>1198</v>
      </c>
      <c r="F283" s="92" t="s">
        <v>1235</v>
      </c>
      <c r="G283" s="92" t="s">
        <v>1201</v>
      </c>
      <c r="H283" s="92" t="s">
        <v>1404</v>
      </c>
      <c r="I283" s="92" t="s">
        <v>1248</v>
      </c>
      <c r="J283" s="92" t="s">
        <v>1314</v>
      </c>
      <c r="K283" s="92" t="s">
        <v>1243</v>
      </c>
      <c r="L283" s="92" t="s">
        <v>1244</v>
      </c>
      <c r="M283" s="92" t="s">
        <v>1241</v>
      </c>
      <c r="N283" s="91">
        <v>41598</v>
      </c>
      <c r="O283" s="93">
        <v>1.6</v>
      </c>
      <c r="P283" s="93">
        <v>2.62</v>
      </c>
      <c r="Q283" s="94">
        <v>26</v>
      </c>
      <c r="R283" s="93">
        <f t="shared" si="16"/>
        <v>68.12</v>
      </c>
      <c r="S283" s="95">
        <v>0.09</v>
      </c>
      <c r="T283" s="96">
        <f t="shared" si="17"/>
        <v>6.1307999999999998</v>
      </c>
      <c r="U283" s="96">
        <f t="shared" si="18"/>
        <v>68.03</v>
      </c>
      <c r="V283" s="93">
        <v>0.8</v>
      </c>
      <c r="W283" s="97">
        <f t="shared" si="19"/>
        <v>68.83</v>
      </c>
    </row>
    <row r="284" spans="1:23" x14ac:dyDescent="0.25">
      <c r="A284" s="61" t="s">
        <v>377</v>
      </c>
      <c r="B284" s="91">
        <v>41596</v>
      </c>
      <c r="C284" s="92" t="s">
        <v>1462</v>
      </c>
      <c r="D284" s="92" t="s">
        <v>1463</v>
      </c>
      <c r="E284" s="92" t="s">
        <v>1198</v>
      </c>
      <c r="F284" s="92" t="s">
        <v>1235</v>
      </c>
      <c r="G284" s="92" t="s">
        <v>1200</v>
      </c>
      <c r="H284" s="92" t="s">
        <v>1263</v>
      </c>
      <c r="I284" s="92" t="s">
        <v>1317</v>
      </c>
      <c r="J284" s="92" t="s">
        <v>1558</v>
      </c>
      <c r="K284" s="92" t="s">
        <v>1243</v>
      </c>
      <c r="L284" s="92" t="s">
        <v>1260</v>
      </c>
      <c r="M284" s="92" t="s">
        <v>1241</v>
      </c>
      <c r="N284" s="91">
        <v>41598</v>
      </c>
      <c r="O284" s="93">
        <v>21.56</v>
      </c>
      <c r="P284" s="93">
        <v>35.94</v>
      </c>
      <c r="Q284" s="94">
        <v>19</v>
      </c>
      <c r="R284" s="93">
        <f t="shared" si="16"/>
        <v>682.8599999999999</v>
      </c>
      <c r="S284" s="95">
        <v>0.09</v>
      </c>
      <c r="T284" s="96">
        <f t="shared" si="17"/>
        <v>61.457399999999986</v>
      </c>
      <c r="U284" s="96">
        <f t="shared" si="18"/>
        <v>682.76999999999987</v>
      </c>
      <c r="V284" s="93">
        <v>6.66</v>
      </c>
      <c r="W284" s="97">
        <f t="shared" si="19"/>
        <v>689.42999999999984</v>
      </c>
    </row>
    <row r="285" spans="1:23" x14ac:dyDescent="0.25">
      <c r="A285" s="61" t="s">
        <v>378</v>
      </c>
      <c r="B285" s="91">
        <v>41597</v>
      </c>
      <c r="C285" s="92" t="s">
        <v>1579</v>
      </c>
      <c r="D285" s="92" t="s">
        <v>1290</v>
      </c>
      <c r="E285" s="92" t="s">
        <v>1198</v>
      </c>
      <c r="F285" s="92" t="s">
        <v>1235</v>
      </c>
      <c r="G285" s="92" t="s">
        <v>1200</v>
      </c>
      <c r="H285" s="92" t="s">
        <v>1291</v>
      </c>
      <c r="I285" s="92" t="s">
        <v>1237</v>
      </c>
      <c r="J285" s="92" t="s">
        <v>1405</v>
      </c>
      <c r="K285" s="92" t="s">
        <v>1243</v>
      </c>
      <c r="L285" s="92" t="s">
        <v>1260</v>
      </c>
      <c r="M285" s="92" t="s">
        <v>1241</v>
      </c>
      <c r="N285" s="91">
        <v>41599</v>
      </c>
      <c r="O285" s="93">
        <v>4.59</v>
      </c>
      <c r="P285" s="93">
        <v>7.28</v>
      </c>
      <c r="Q285" s="94">
        <v>3</v>
      </c>
      <c r="R285" s="93">
        <f t="shared" si="16"/>
        <v>21.84</v>
      </c>
      <c r="S285" s="95">
        <v>0.01</v>
      </c>
      <c r="T285" s="96">
        <f t="shared" si="17"/>
        <v>0.21840000000000001</v>
      </c>
      <c r="U285" s="96">
        <f t="shared" si="18"/>
        <v>21.83</v>
      </c>
      <c r="V285" s="93">
        <v>11.15</v>
      </c>
      <c r="W285" s="97">
        <f t="shared" si="19"/>
        <v>32.979999999999997</v>
      </c>
    </row>
    <row r="286" spans="1:23" x14ac:dyDescent="0.25">
      <c r="A286" s="61" t="s">
        <v>379</v>
      </c>
      <c r="B286" s="91">
        <v>41598</v>
      </c>
      <c r="C286" s="92" t="s">
        <v>1635</v>
      </c>
      <c r="D286" s="92" t="s">
        <v>1636</v>
      </c>
      <c r="E286" s="92" t="s">
        <v>1198</v>
      </c>
      <c r="F286" s="92" t="s">
        <v>1235</v>
      </c>
      <c r="G286" s="92" t="s">
        <v>1202</v>
      </c>
      <c r="H286" s="92" t="s">
        <v>1409</v>
      </c>
      <c r="I286" s="92" t="s">
        <v>1248</v>
      </c>
      <c r="J286" s="92" t="s">
        <v>1578</v>
      </c>
      <c r="K286" s="92" t="s">
        <v>1239</v>
      </c>
      <c r="L286" s="92" t="s">
        <v>1319</v>
      </c>
      <c r="M286" s="92" t="s">
        <v>1320</v>
      </c>
      <c r="N286" s="91">
        <v>41605</v>
      </c>
      <c r="O286" s="93">
        <v>76.790000000000006</v>
      </c>
      <c r="P286" s="93">
        <v>119.99</v>
      </c>
      <c r="Q286" s="94">
        <v>4</v>
      </c>
      <c r="R286" s="93">
        <f t="shared" si="16"/>
        <v>479.96</v>
      </c>
      <c r="S286" s="95">
        <v>0.06</v>
      </c>
      <c r="T286" s="96">
        <f t="shared" si="17"/>
        <v>28.797599999999999</v>
      </c>
      <c r="U286" s="96">
        <f t="shared" si="18"/>
        <v>479.9</v>
      </c>
      <c r="V286" s="93">
        <v>14</v>
      </c>
      <c r="W286" s="97">
        <f t="shared" si="19"/>
        <v>493.9</v>
      </c>
    </row>
    <row r="287" spans="1:23" x14ac:dyDescent="0.25">
      <c r="A287" s="61" t="s">
        <v>380</v>
      </c>
      <c r="B287" s="91">
        <v>41598</v>
      </c>
      <c r="C287" s="92" t="s">
        <v>1644</v>
      </c>
      <c r="D287" s="92" t="s">
        <v>1316</v>
      </c>
      <c r="E287" s="92" t="s">
        <v>1199</v>
      </c>
      <c r="F287" s="92" t="s">
        <v>1254</v>
      </c>
      <c r="G287" s="92" t="s">
        <v>1200</v>
      </c>
      <c r="H287" s="92" t="s">
        <v>1255</v>
      </c>
      <c r="I287" s="92" t="s">
        <v>1256</v>
      </c>
      <c r="J287" s="92" t="s">
        <v>1242</v>
      </c>
      <c r="K287" s="92" t="s">
        <v>1243</v>
      </c>
      <c r="L287" s="92" t="s">
        <v>1244</v>
      </c>
      <c r="M287" s="92" t="s">
        <v>1241</v>
      </c>
      <c r="N287" s="91">
        <v>41599</v>
      </c>
      <c r="O287" s="93">
        <v>3.47</v>
      </c>
      <c r="P287" s="93">
        <v>6.68</v>
      </c>
      <c r="Q287" s="94">
        <v>15</v>
      </c>
      <c r="R287" s="93">
        <f t="shared" si="16"/>
        <v>100.19999999999999</v>
      </c>
      <c r="S287" s="95">
        <v>0.03</v>
      </c>
      <c r="T287" s="96">
        <f t="shared" si="17"/>
        <v>3.0059999999999993</v>
      </c>
      <c r="U287" s="96">
        <f t="shared" si="18"/>
        <v>100.16999999999999</v>
      </c>
      <c r="V287" s="93">
        <v>1.5</v>
      </c>
      <c r="W287" s="97">
        <f t="shared" si="19"/>
        <v>101.66999999999999</v>
      </c>
    </row>
    <row r="288" spans="1:23" x14ac:dyDescent="0.25">
      <c r="A288" s="61" t="s">
        <v>381</v>
      </c>
      <c r="B288" s="91">
        <v>41601</v>
      </c>
      <c r="C288" s="92" t="s">
        <v>1662</v>
      </c>
      <c r="D288" s="92" t="s">
        <v>1308</v>
      </c>
      <c r="E288" s="92" t="s">
        <v>1198</v>
      </c>
      <c r="F288" s="92" t="s">
        <v>1235</v>
      </c>
      <c r="G288" s="92" t="s">
        <v>1202</v>
      </c>
      <c r="H288" s="92" t="s">
        <v>1247</v>
      </c>
      <c r="I288" s="92" t="s">
        <v>1256</v>
      </c>
      <c r="J288" s="92" t="s">
        <v>1663</v>
      </c>
      <c r="K288" s="92" t="s">
        <v>1382</v>
      </c>
      <c r="L288" s="92" t="s">
        <v>1240</v>
      </c>
      <c r="M288" s="92" t="s">
        <v>1241</v>
      </c>
      <c r="N288" s="91">
        <v>41602</v>
      </c>
      <c r="O288" s="93">
        <v>11.38</v>
      </c>
      <c r="P288" s="93">
        <v>18.649999999999999</v>
      </c>
      <c r="Q288" s="94">
        <v>19</v>
      </c>
      <c r="R288" s="93">
        <f t="shared" si="16"/>
        <v>354.34999999999997</v>
      </c>
      <c r="S288" s="95">
        <v>7.0000000000000007E-2</v>
      </c>
      <c r="T288" s="96">
        <f t="shared" si="17"/>
        <v>24.804500000000001</v>
      </c>
      <c r="U288" s="96">
        <f t="shared" si="18"/>
        <v>354.28</v>
      </c>
      <c r="V288" s="93">
        <v>3.77</v>
      </c>
      <c r="W288" s="97">
        <f t="shared" si="19"/>
        <v>358.04999999999995</v>
      </c>
    </row>
    <row r="289" spans="1:23" x14ac:dyDescent="0.25">
      <c r="A289" s="61" t="s">
        <v>382</v>
      </c>
      <c r="B289" s="91">
        <v>41601</v>
      </c>
      <c r="C289" s="92" t="s">
        <v>1664</v>
      </c>
      <c r="D289" s="92" t="s">
        <v>1246</v>
      </c>
      <c r="E289" s="92" t="s">
        <v>1198</v>
      </c>
      <c r="F289" s="92" t="s">
        <v>1235</v>
      </c>
      <c r="G289" s="92" t="s">
        <v>1200</v>
      </c>
      <c r="H289" s="92" t="s">
        <v>1247</v>
      </c>
      <c r="I289" s="92" t="s">
        <v>1237</v>
      </c>
      <c r="J289" s="92" t="s">
        <v>1590</v>
      </c>
      <c r="K289" s="92" t="s">
        <v>1243</v>
      </c>
      <c r="L289" s="92" t="s">
        <v>1260</v>
      </c>
      <c r="M289" s="92" t="s">
        <v>1250</v>
      </c>
      <c r="N289" s="91">
        <v>41603</v>
      </c>
      <c r="O289" s="93">
        <v>3.5</v>
      </c>
      <c r="P289" s="93">
        <v>5.74</v>
      </c>
      <c r="Q289" s="94">
        <v>27</v>
      </c>
      <c r="R289" s="93">
        <f t="shared" si="16"/>
        <v>154.98000000000002</v>
      </c>
      <c r="S289" s="95">
        <v>0.08</v>
      </c>
      <c r="T289" s="96">
        <f t="shared" si="17"/>
        <v>12.398400000000002</v>
      </c>
      <c r="U289" s="96">
        <f t="shared" si="18"/>
        <v>154.9</v>
      </c>
      <c r="V289" s="93">
        <v>5.01</v>
      </c>
      <c r="W289" s="97">
        <f t="shared" si="19"/>
        <v>159.91</v>
      </c>
    </row>
    <row r="290" spans="1:23" x14ac:dyDescent="0.25">
      <c r="A290" s="61" t="s">
        <v>383</v>
      </c>
      <c r="B290" s="91">
        <v>41605</v>
      </c>
      <c r="C290" s="92" t="s">
        <v>1665</v>
      </c>
      <c r="D290" s="92" t="s">
        <v>1581</v>
      </c>
      <c r="E290" s="92" t="s">
        <v>1199</v>
      </c>
      <c r="F290" s="92" t="s">
        <v>1254</v>
      </c>
      <c r="G290" s="92" t="s">
        <v>1202</v>
      </c>
      <c r="H290" s="92" t="s">
        <v>1274</v>
      </c>
      <c r="I290" s="92" t="s">
        <v>1264</v>
      </c>
      <c r="J290" s="92" t="s">
        <v>1452</v>
      </c>
      <c r="K290" s="92" t="s">
        <v>1239</v>
      </c>
      <c r="L290" s="92" t="s">
        <v>1260</v>
      </c>
      <c r="M290" s="92" t="s">
        <v>1241</v>
      </c>
      <c r="N290" s="91">
        <v>41607</v>
      </c>
      <c r="O290" s="93">
        <v>81.59</v>
      </c>
      <c r="P290" s="93">
        <v>159.99</v>
      </c>
      <c r="Q290" s="94">
        <v>50</v>
      </c>
      <c r="R290" s="93">
        <f t="shared" si="16"/>
        <v>7999.5</v>
      </c>
      <c r="S290" s="95">
        <v>0.05</v>
      </c>
      <c r="T290" s="96">
        <f t="shared" si="17"/>
        <v>399.97500000000002</v>
      </c>
      <c r="U290" s="96">
        <f t="shared" si="18"/>
        <v>7999.45</v>
      </c>
      <c r="V290" s="93">
        <v>5.5</v>
      </c>
      <c r="W290" s="97">
        <f t="shared" si="19"/>
        <v>8004.95</v>
      </c>
    </row>
    <row r="291" spans="1:23" x14ac:dyDescent="0.25">
      <c r="A291" s="61" t="s">
        <v>384</v>
      </c>
      <c r="B291" s="91">
        <v>41607</v>
      </c>
      <c r="C291" s="92" t="s">
        <v>1666</v>
      </c>
      <c r="D291" s="92" t="s">
        <v>1425</v>
      </c>
      <c r="E291" s="92" t="s">
        <v>1198</v>
      </c>
      <c r="F291" s="92" t="s">
        <v>1235</v>
      </c>
      <c r="G291" s="92" t="s">
        <v>1200</v>
      </c>
      <c r="H291" s="92" t="s">
        <v>1409</v>
      </c>
      <c r="I291" s="92" t="s">
        <v>1317</v>
      </c>
      <c r="J291" s="92" t="s">
        <v>1578</v>
      </c>
      <c r="K291" s="92" t="s">
        <v>1239</v>
      </c>
      <c r="L291" s="92" t="s">
        <v>1319</v>
      </c>
      <c r="M291" s="92" t="s">
        <v>1320</v>
      </c>
      <c r="N291" s="91">
        <v>41609</v>
      </c>
      <c r="O291" s="93">
        <v>76.790000000000006</v>
      </c>
      <c r="P291" s="93">
        <v>119.99</v>
      </c>
      <c r="Q291" s="94">
        <v>8</v>
      </c>
      <c r="R291" s="93">
        <f t="shared" si="16"/>
        <v>959.92</v>
      </c>
      <c r="S291" s="95">
        <v>0.09</v>
      </c>
      <c r="T291" s="96">
        <f t="shared" si="17"/>
        <v>86.392799999999994</v>
      </c>
      <c r="U291" s="96">
        <f t="shared" si="18"/>
        <v>959.82999999999993</v>
      </c>
      <c r="V291" s="93">
        <v>14</v>
      </c>
      <c r="W291" s="97">
        <f t="shared" si="19"/>
        <v>973.82999999999993</v>
      </c>
    </row>
    <row r="292" spans="1:23" x14ac:dyDescent="0.25">
      <c r="A292" s="61" t="s">
        <v>385</v>
      </c>
      <c r="B292" s="91">
        <v>41613</v>
      </c>
      <c r="C292" s="92" t="s">
        <v>1667</v>
      </c>
      <c r="D292" s="92" t="s">
        <v>1253</v>
      </c>
      <c r="E292" s="92" t="s">
        <v>1199</v>
      </c>
      <c r="F292" s="92" t="s">
        <v>1254</v>
      </c>
      <c r="G292" s="92" t="s">
        <v>1201</v>
      </c>
      <c r="H292" s="92" t="s">
        <v>1255</v>
      </c>
      <c r="I292" s="92" t="s">
        <v>1256</v>
      </c>
      <c r="J292" s="92" t="s">
        <v>1645</v>
      </c>
      <c r="K292" s="92" t="s">
        <v>1243</v>
      </c>
      <c r="L292" s="92" t="s">
        <v>1240</v>
      </c>
      <c r="M292" s="92" t="s">
        <v>1250</v>
      </c>
      <c r="N292" s="91">
        <v>41615</v>
      </c>
      <c r="O292" s="93">
        <v>16.8</v>
      </c>
      <c r="P292" s="93">
        <v>40.97</v>
      </c>
      <c r="Q292" s="94">
        <v>49</v>
      </c>
      <c r="R292" s="93">
        <f t="shared" si="16"/>
        <v>2007.53</v>
      </c>
      <c r="S292" s="95">
        <v>0.09</v>
      </c>
      <c r="T292" s="96">
        <f t="shared" si="17"/>
        <v>180.67769999999999</v>
      </c>
      <c r="U292" s="96">
        <f t="shared" si="18"/>
        <v>2007.44</v>
      </c>
      <c r="V292" s="93">
        <v>8.99</v>
      </c>
      <c r="W292" s="97">
        <f t="shared" si="19"/>
        <v>2016.43</v>
      </c>
    </row>
    <row r="293" spans="1:23" x14ac:dyDescent="0.25">
      <c r="A293" s="61" t="s">
        <v>386</v>
      </c>
      <c r="B293" s="91">
        <v>41616</v>
      </c>
      <c r="C293" s="92" t="s">
        <v>1668</v>
      </c>
      <c r="D293" s="92" t="s">
        <v>1482</v>
      </c>
      <c r="E293" s="92" t="s">
        <v>1198</v>
      </c>
      <c r="F293" s="92" t="s">
        <v>1235</v>
      </c>
      <c r="G293" s="92" t="s">
        <v>1203</v>
      </c>
      <c r="H293" s="92" t="s">
        <v>1471</v>
      </c>
      <c r="I293" s="92" t="s">
        <v>1248</v>
      </c>
      <c r="J293" s="92" t="s">
        <v>1314</v>
      </c>
      <c r="K293" s="92" t="s">
        <v>1243</v>
      </c>
      <c r="L293" s="92" t="s">
        <v>1244</v>
      </c>
      <c r="M293" s="92" t="s">
        <v>1241</v>
      </c>
      <c r="N293" s="91">
        <v>41623</v>
      </c>
      <c r="O293" s="93">
        <v>1.6</v>
      </c>
      <c r="P293" s="93">
        <v>2.62</v>
      </c>
      <c r="Q293" s="94">
        <v>47</v>
      </c>
      <c r="R293" s="93">
        <f t="shared" si="16"/>
        <v>123.14</v>
      </c>
      <c r="S293" s="95">
        <v>0.1</v>
      </c>
      <c r="T293" s="96">
        <f t="shared" si="17"/>
        <v>12.314</v>
      </c>
      <c r="U293" s="96">
        <f t="shared" si="18"/>
        <v>123.04</v>
      </c>
      <c r="V293" s="93">
        <v>0.8</v>
      </c>
      <c r="W293" s="97">
        <f t="shared" si="19"/>
        <v>123.84</v>
      </c>
    </row>
    <row r="294" spans="1:23" x14ac:dyDescent="0.25">
      <c r="A294" s="61" t="s">
        <v>387</v>
      </c>
      <c r="B294" s="91">
        <v>41616</v>
      </c>
      <c r="C294" s="92" t="s">
        <v>1669</v>
      </c>
      <c r="D294" s="92" t="s">
        <v>1234</v>
      </c>
      <c r="E294" s="92" t="s">
        <v>1198</v>
      </c>
      <c r="F294" s="92" t="s">
        <v>1235</v>
      </c>
      <c r="G294" s="92" t="s">
        <v>1203</v>
      </c>
      <c r="H294" s="92" t="s">
        <v>1236</v>
      </c>
      <c r="I294" s="92" t="s">
        <v>1237</v>
      </c>
      <c r="J294" s="92" t="s">
        <v>1670</v>
      </c>
      <c r="K294" s="92" t="s">
        <v>1243</v>
      </c>
      <c r="L294" s="92" t="s">
        <v>1244</v>
      </c>
      <c r="M294" s="92" t="s">
        <v>1241</v>
      </c>
      <c r="N294" s="91">
        <v>41616</v>
      </c>
      <c r="O294" s="93">
        <v>0.93</v>
      </c>
      <c r="P294" s="93">
        <v>1.6</v>
      </c>
      <c r="Q294" s="94">
        <v>25</v>
      </c>
      <c r="R294" s="93">
        <f t="shared" si="16"/>
        <v>40</v>
      </c>
      <c r="S294" s="95">
        <v>0.1</v>
      </c>
      <c r="T294" s="96">
        <f t="shared" si="17"/>
        <v>4</v>
      </c>
      <c r="U294" s="96">
        <f t="shared" si="18"/>
        <v>39.9</v>
      </c>
      <c r="V294" s="93">
        <v>1.29</v>
      </c>
      <c r="W294" s="97">
        <f t="shared" si="19"/>
        <v>41.19</v>
      </c>
    </row>
    <row r="295" spans="1:23" x14ac:dyDescent="0.25">
      <c r="A295" s="61" t="s">
        <v>388</v>
      </c>
      <c r="B295" s="91">
        <v>41617</v>
      </c>
      <c r="C295" s="92" t="s">
        <v>1641</v>
      </c>
      <c r="D295" s="92" t="s">
        <v>1636</v>
      </c>
      <c r="E295" s="92" t="s">
        <v>1198</v>
      </c>
      <c r="F295" s="92" t="s">
        <v>1235</v>
      </c>
      <c r="G295" s="92" t="s">
        <v>1200</v>
      </c>
      <c r="H295" s="92" t="s">
        <v>1409</v>
      </c>
      <c r="I295" s="92" t="s">
        <v>1264</v>
      </c>
      <c r="J295" s="92" t="s">
        <v>1344</v>
      </c>
      <c r="K295" s="92" t="s">
        <v>1243</v>
      </c>
      <c r="L295" s="92" t="s">
        <v>1244</v>
      </c>
      <c r="M295" s="92" t="s">
        <v>1241</v>
      </c>
      <c r="N295" s="91">
        <v>41617</v>
      </c>
      <c r="O295" s="93">
        <v>0.24</v>
      </c>
      <c r="P295" s="93">
        <v>1.26</v>
      </c>
      <c r="Q295" s="94">
        <v>9</v>
      </c>
      <c r="R295" s="93">
        <f t="shared" si="16"/>
        <v>11.34</v>
      </c>
      <c r="S295" s="95">
        <v>0.06</v>
      </c>
      <c r="T295" s="96">
        <f t="shared" si="17"/>
        <v>0.6804</v>
      </c>
      <c r="U295" s="96">
        <f t="shared" si="18"/>
        <v>11.28</v>
      </c>
      <c r="V295" s="93">
        <v>0.7</v>
      </c>
      <c r="W295" s="97">
        <f t="shared" si="19"/>
        <v>11.979999999999999</v>
      </c>
    </row>
    <row r="296" spans="1:23" x14ac:dyDescent="0.25">
      <c r="A296" s="61" t="s">
        <v>389</v>
      </c>
      <c r="B296" s="91">
        <v>41618</v>
      </c>
      <c r="C296" s="92" t="s">
        <v>1569</v>
      </c>
      <c r="D296" s="92" t="s">
        <v>1337</v>
      </c>
      <c r="E296" s="92" t="s">
        <v>1198</v>
      </c>
      <c r="F296" s="92" t="s">
        <v>1235</v>
      </c>
      <c r="G296" s="92" t="s">
        <v>1201</v>
      </c>
      <c r="H296" s="92" t="s">
        <v>1247</v>
      </c>
      <c r="I296" s="92" t="s">
        <v>1256</v>
      </c>
      <c r="J296" s="92" t="s">
        <v>1349</v>
      </c>
      <c r="K296" s="92" t="s">
        <v>1243</v>
      </c>
      <c r="L296" s="92" t="s">
        <v>1260</v>
      </c>
      <c r="M296" s="92" t="s">
        <v>1241</v>
      </c>
      <c r="N296" s="91">
        <v>41620</v>
      </c>
      <c r="O296" s="93">
        <v>3.65</v>
      </c>
      <c r="P296" s="93">
        <v>5.98</v>
      </c>
      <c r="Q296" s="94">
        <v>25</v>
      </c>
      <c r="R296" s="93">
        <f t="shared" si="16"/>
        <v>149.5</v>
      </c>
      <c r="S296" s="95">
        <v>0.03</v>
      </c>
      <c r="T296" s="96">
        <f t="shared" si="17"/>
        <v>4.4849999999999994</v>
      </c>
      <c r="U296" s="96">
        <f t="shared" si="18"/>
        <v>149.47</v>
      </c>
      <c r="V296" s="93">
        <v>1.49</v>
      </c>
      <c r="W296" s="97">
        <f t="shared" si="19"/>
        <v>150.96</v>
      </c>
    </row>
    <row r="297" spans="1:23" x14ac:dyDescent="0.25">
      <c r="A297" s="61" t="s">
        <v>390</v>
      </c>
      <c r="B297" s="91">
        <v>41619</v>
      </c>
      <c r="C297" s="92" t="s">
        <v>1346</v>
      </c>
      <c r="D297" s="92" t="s">
        <v>1347</v>
      </c>
      <c r="E297" s="92" t="s">
        <v>1198</v>
      </c>
      <c r="F297" s="92" t="s">
        <v>1235</v>
      </c>
      <c r="G297" s="92" t="s">
        <v>1200</v>
      </c>
      <c r="H297" s="92" t="s">
        <v>1236</v>
      </c>
      <c r="I297" s="92" t="s">
        <v>1248</v>
      </c>
      <c r="J297" s="92" t="s">
        <v>1586</v>
      </c>
      <c r="K297" s="92" t="s">
        <v>1243</v>
      </c>
      <c r="L297" s="92" t="s">
        <v>1260</v>
      </c>
      <c r="M297" s="92" t="s">
        <v>1241</v>
      </c>
      <c r="N297" s="91">
        <v>41623</v>
      </c>
      <c r="O297" s="93">
        <v>18.38</v>
      </c>
      <c r="P297" s="93">
        <v>29.17</v>
      </c>
      <c r="Q297" s="94">
        <v>16</v>
      </c>
      <c r="R297" s="93">
        <f t="shared" si="16"/>
        <v>466.72</v>
      </c>
      <c r="S297" s="95">
        <v>7.0000000000000007E-2</v>
      </c>
      <c r="T297" s="96">
        <f t="shared" si="17"/>
        <v>32.670400000000008</v>
      </c>
      <c r="U297" s="96">
        <f t="shared" si="18"/>
        <v>466.65000000000003</v>
      </c>
      <c r="V297" s="93">
        <v>6.27</v>
      </c>
      <c r="W297" s="97">
        <f t="shared" si="19"/>
        <v>472.92</v>
      </c>
    </row>
    <row r="298" spans="1:23" x14ac:dyDescent="0.25">
      <c r="A298" s="61" t="s">
        <v>391</v>
      </c>
      <c r="B298" s="91">
        <v>41621</v>
      </c>
      <c r="C298" s="92" t="s">
        <v>1671</v>
      </c>
      <c r="D298" s="92" t="s">
        <v>1496</v>
      </c>
      <c r="E298" s="92" t="s">
        <v>1198</v>
      </c>
      <c r="F298" s="92" t="s">
        <v>1235</v>
      </c>
      <c r="G298" s="92" t="s">
        <v>1202</v>
      </c>
      <c r="H298" s="92" t="s">
        <v>1313</v>
      </c>
      <c r="I298" s="92" t="s">
        <v>1256</v>
      </c>
      <c r="J298" s="92" t="s">
        <v>1672</v>
      </c>
      <c r="K298" s="92" t="s">
        <v>1243</v>
      </c>
      <c r="L298" s="92" t="s">
        <v>1260</v>
      </c>
      <c r="M298" s="92" t="s">
        <v>1241</v>
      </c>
      <c r="N298" s="91">
        <v>41622</v>
      </c>
      <c r="O298" s="93">
        <v>3.75</v>
      </c>
      <c r="P298" s="93">
        <v>5.77</v>
      </c>
      <c r="Q298" s="94">
        <v>9</v>
      </c>
      <c r="R298" s="93">
        <f t="shared" si="16"/>
        <v>51.929999999999993</v>
      </c>
      <c r="S298" s="95">
        <v>0</v>
      </c>
      <c r="T298" s="96">
        <f t="shared" si="17"/>
        <v>0</v>
      </c>
      <c r="U298" s="96">
        <f t="shared" si="18"/>
        <v>51.929999999999993</v>
      </c>
      <c r="V298" s="93">
        <v>4.97</v>
      </c>
      <c r="W298" s="97">
        <f t="shared" si="19"/>
        <v>56.899999999999991</v>
      </c>
    </row>
    <row r="299" spans="1:23" x14ac:dyDescent="0.25">
      <c r="A299" s="61" t="s">
        <v>392</v>
      </c>
      <c r="B299" s="91">
        <v>41621</v>
      </c>
      <c r="C299" s="92" t="s">
        <v>1673</v>
      </c>
      <c r="D299" s="92" t="s">
        <v>1674</v>
      </c>
      <c r="E299" s="92" t="s">
        <v>1198</v>
      </c>
      <c r="F299" s="92" t="s">
        <v>1235</v>
      </c>
      <c r="G299" s="92" t="s">
        <v>1200</v>
      </c>
      <c r="H299" s="92" t="s">
        <v>1409</v>
      </c>
      <c r="I299" s="92" t="s">
        <v>1264</v>
      </c>
      <c r="J299" s="92" t="s">
        <v>1675</v>
      </c>
      <c r="K299" s="92" t="s">
        <v>1243</v>
      </c>
      <c r="L299" s="92" t="s">
        <v>1244</v>
      </c>
      <c r="M299" s="92" t="s">
        <v>1241</v>
      </c>
      <c r="N299" s="91">
        <v>41623</v>
      </c>
      <c r="O299" s="93">
        <v>1.92</v>
      </c>
      <c r="P299" s="93">
        <v>3.26</v>
      </c>
      <c r="Q299" s="94">
        <v>6</v>
      </c>
      <c r="R299" s="93">
        <f t="shared" si="16"/>
        <v>19.559999999999999</v>
      </c>
      <c r="S299" s="95">
        <v>0.01</v>
      </c>
      <c r="T299" s="96">
        <f t="shared" si="17"/>
        <v>0.1956</v>
      </c>
      <c r="U299" s="96">
        <f t="shared" si="18"/>
        <v>19.549999999999997</v>
      </c>
      <c r="V299" s="93">
        <v>1.86</v>
      </c>
      <c r="W299" s="97">
        <f t="shared" si="19"/>
        <v>21.409999999999997</v>
      </c>
    </row>
    <row r="300" spans="1:23" x14ac:dyDescent="0.25">
      <c r="A300" s="61" t="s">
        <v>393</v>
      </c>
      <c r="B300" s="91">
        <v>41624</v>
      </c>
      <c r="C300" s="92" t="s">
        <v>1676</v>
      </c>
      <c r="D300" s="92" t="s">
        <v>1581</v>
      </c>
      <c r="E300" s="92" t="s">
        <v>1199</v>
      </c>
      <c r="F300" s="92" t="s">
        <v>1254</v>
      </c>
      <c r="G300" s="92" t="s">
        <v>1201</v>
      </c>
      <c r="H300" s="92" t="s">
        <v>1274</v>
      </c>
      <c r="I300" s="92" t="s">
        <v>1264</v>
      </c>
      <c r="J300" s="92" t="s">
        <v>1373</v>
      </c>
      <c r="K300" s="92" t="s">
        <v>1243</v>
      </c>
      <c r="L300" s="92" t="s">
        <v>1260</v>
      </c>
      <c r="M300" s="92" t="s">
        <v>1241</v>
      </c>
      <c r="N300" s="91">
        <v>41627</v>
      </c>
      <c r="O300" s="93">
        <v>2.29</v>
      </c>
      <c r="P300" s="93">
        <v>3.69</v>
      </c>
      <c r="Q300" s="94">
        <v>45</v>
      </c>
      <c r="R300" s="93">
        <f t="shared" si="16"/>
        <v>166.05</v>
      </c>
      <c r="S300" s="95">
        <v>0.08</v>
      </c>
      <c r="T300" s="96">
        <f t="shared" si="17"/>
        <v>13.284000000000001</v>
      </c>
      <c r="U300" s="96">
        <f t="shared" si="18"/>
        <v>165.97</v>
      </c>
      <c r="V300" s="93">
        <v>0.5</v>
      </c>
      <c r="W300" s="97">
        <f t="shared" si="19"/>
        <v>166.47</v>
      </c>
    </row>
    <row r="301" spans="1:23" x14ac:dyDescent="0.25">
      <c r="A301" s="61" t="s">
        <v>394</v>
      </c>
      <c r="B301" s="91">
        <v>41625</v>
      </c>
      <c r="C301" s="92" t="s">
        <v>1677</v>
      </c>
      <c r="D301" s="92" t="s">
        <v>1323</v>
      </c>
      <c r="E301" s="92" t="s">
        <v>1198</v>
      </c>
      <c r="F301" s="92" t="s">
        <v>1235</v>
      </c>
      <c r="G301" s="92" t="s">
        <v>1200</v>
      </c>
      <c r="H301" s="92" t="s">
        <v>1263</v>
      </c>
      <c r="I301" s="92" t="s">
        <v>1264</v>
      </c>
      <c r="J301" s="92" t="s">
        <v>1282</v>
      </c>
      <c r="K301" s="92" t="s">
        <v>1243</v>
      </c>
      <c r="L301" s="92" t="s">
        <v>1260</v>
      </c>
      <c r="M301" s="92" t="s">
        <v>1241</v>
      </c>
      <c r="N301" s="91">
        <v>41627</v>
      </c>
      <c r="O301" s="93">
        <v>5.33</v>
      </c>
      <c r="P301" s="93">
        <v>8.6</v>
      </c>
      <c r="Q301" s="94">
        <v>23</v>
      </c>
      <c r="R301" s="93">
        <f t="shared" si="16"/>
        <v>197.79999999999998</v>
      </c>
      <c r="S301" s="95">
        <v>0.02</v>
      </c>
      <c r="T301" s="96">
        <f t="shared" si="17"/>
        <v>3.956</v>
      </c>
      <c r="U301" s="96">
        <f t="shared" si="18"/>
        <v>197.77999999999997</v>
      </c>
      <c r="V301" s="93">
        <v>6.19</v>
      </c>
      <c r="W301" s="97">
        <f t="shared" si="19"/>
        <v>203.96999999999997</v>
      </c>
    </row>
    <row r="302" spans="1:23" x14ac:dyDescent="0.25">
      <c r="A302" s="61" t="s">
        <v>395</v>
      </c>
      <c r="B302" s="91">
        <v>41627</v>
      </c>
      <c r="C302" s="92" t="s">
        <v>1523</v>
      </c>
      <c r="D302" s="92" t="s">
        <v>1281</v>
      </c>
      <c r="E302" s="92" t="s">
        <v>1199</v>
      </c>
      <c r="F302" s="92" t="s">
        <v>1254</v>
      </c>
      <c r="G302" s="92" t="s">
        <v>1202</v>
      </c>
      <c r="H302" s="92" t="s">
        <v>1274</v>
      </c>
      <c r="I302" s="92" t="s">
        <v>1317</v>
      </c>
      <c r="J302" s="92" t="s">
        <v>1353</v>
      </c>
      <c r="K302" s="92" t="s">
        <v>1239</v>
      </c>
      <c r="L302" s="92" t="s">
        <v>1260</v>
      </c>
      <c r="M302" s="92" t="s">
        <v>1241</v>
      </c>
      <c r="N302" s="91">
        <v>41629</v>
      </c>
      <c r="O302" s="93">
        <v>42.11</v>
      </c>
      <c r="P302" s="93">
        <v>80.98</v>
      </c>
      <c r="Q302" s="94">
        <v>13</v>
      </c>
      <c r="R302" s="93">
        <f t="shared" si="16"/>
        <v>1052.74</v>
      </c>
      <c r="S302" s="95">
        <v>0.03</v>
      </c>
      <c r="T302" s="96">
        <f t="shared" si="17"/>
        <v>31.5822</v>
      </c>
      <c r="U302" s="96">
        <f t="shared" si="18"/>
        <v>1052.71</v>
      </c>
      <c r="V302" s="93">
        <v>7.18</v>
      </c>
      <c r="W302" s="97">
        <f t="shared" si="19"/>
        <v>1059.8900000000001</v>
      </c>
    </row>
    <row r="303" spans="1:23" x14ac:dyDescent="0.25">
      <c r="A303" s="61" t="s">
        <v>396</v>
      </c>
      <c r="B303" s="91">
        <v>41631</v>
      </c>
      <c r="C303" s="92" t="s">
        <v>1678</v>
      </c>
      <c r="D303" s="92" t="s">
        <v>1290</v>
      </c>
      <c r="E303" s="92" t="s">
        <v>1198</v>
      </c>
      <c r="F303" s="92" t="s">
        <v>1235</v>
      </c>
      <c r="G303" s="92" t="s">
        <v>1201</v>
      </c>
      <c r="H303" s="92" t="s">
        <v>1291</v>
      </c>
      <c r="I303" s="92" t="s">
        <v>1264</v>
      </c>
      <c r="J303" s="92" t="s">
        <v>1391</v>
      </c>
      <c r="K303" s="92" t="s">
        <v>1239</v>
      </c>
      <c r="L303" s="92" t="s">
        <v>1260</v>
      </c>
      <c r="M303" s="92" t="s">
        <v>1241</v>
      </c>
      <c r="N303" s="91">
        <v>41633</v>
      </c>
      <c r="O303" s="93">
        <v>39.64</v>
      </c>
      <c r="P303" s="93">
        <v>152.47999999999999</v>
      </c>
      <c r="Q303" s="94">
        <v>41</v>
      </c>
      <c r="R303" s="93">
        <f t="shared" si="16"/>
        <v>6251.6799999999994</v>
      </c>
      <c r="S303" s="95">
        <v>7.0000000000000007E-2</v>
      </c>
      <c r="T303" s="96">
        <f t="shared" si="17"/>
        <v>437.61759999999998</v>
      </c>
      <c r="U303" s="96">
        <f t="shared" si="18"/>
        <v>6251.61</v>
      </c>
      <c r="V303" s="93">
        <v>6.5</v>
      </c>
      <c r="W303" s="97">
        <f t="shared" si="19"/>
        <v>6258.11</v>
      </c>
    </row>
    <row r="304" spans="1:23" x14ac:dyDescent="0.25">
      <c r="A304" s="61" t="s">
        <v>397</v>
      </c>
      <c r="B304" s="91">
        <v>41631</v>
      </c>
      <c r="C304" s="92" t="s">
        <v>1679</v>
      </c>
      <c r="D304" s="92" t="s">
        <v>1430</v>
      </c>
      <c r="E304" s="92" t="s">
        <v>1199</v>
      </c>
      <c r="F304" s="92" t="s">
        <v>1254</v>
      </c>
      <c r="G304" s="92" t="s">
        <v>1203</v>
      </c>
      <c r="H304" s="92" t="s">
        <v>1255</v>
      </c>
      <c r="I304" s="92" t="s">
        <v>1237</v>
      </c>
      <c r="J304" s="92" t="s">
        <v>1680</v>
      </c>
      <c r="K304" s="92" t="s">
        <v>1243</v>
      </c>
      <c r="L304" s="92" t="s">
        <v>1260</v>
      </c>
      <c r="M304" s="92" t="s">
        <v>1241</v>
      </c>
      <c r="N304" s="91">
        <v>41631</v>
      </c>
      <c r="O304" s="93">
        <v>3.14</v>
      </c>
      <c r="P304" s="93">
        <v>4.91</v>
      </c>
      <c r="Q304" s="94">
        <v>12</v>
      </c>
      <c r="R304" s="93">
        <f t="shared" si="16"/>
        <v>58.92</v>
      </c>
      <c r="S304" s="95">
        <v>0.04</v>
      </c>
      <c r="T304" s="96">
        <f t="shared" si="17"/>
        <v>2.3568000000000002</v>
      </c>
      <c r="U304" s="96">
        <f t="shared" si="18"/>
        <v>58.88</v>
      </c>
      <c r="V304" s="93">
        <v>0.5</v>
      </c>
      <c r="W304" s="97">
        <f t="shared" si="19"/>
        <v>59.38</v>
      </c>
    </row>
    <row r="305" spans="1:23" x14ac:dyDescent="0.25">
      <c r="A305" s="61" t="s">
        <v>398</v>
      </c>
      <c r="B305" s="91">
        <v>41635</v>
      </c>
      <c r="C305" s="92" t="s">
        <v>1350</v>
      </c>
      <c r="D305" s="92" t="s">
        <v>1351</v>
      </c>
      <c r="E305" s="92" t="s">
        <v>1198</v>
      </c>
      <c r="F305" s="92" t="s">
        <v>1235</v>
      </c>
      <c r="G305" s="92" t="s">
        <v>1203</v>
      </c>
      <c r="H305" s="92" t="s">
        <v>1304</v>
      </c>
      <c r="I305" s="92" t="s">
        <v>1248</v>
      </c>
      <c r="J305" s="92" t="s">
        <v>1586</v>
      </c>
      <c r="K305" s="92" t="s">
        <v>1243</v>
      </c>
      <c r="L305" s="92" t="s">
        <v>1260</v>
      </c>
      <c r="M305" s="92" t="s">
        <v>1241</v>
      </c>
      <c r="N305" s="91">
        <v>41637</v>
      </c>
      <c r="O305" s="93">
        <v>18.38</v>
      </c>
      <c r="P305" s="93">
        <v>29.17</v>
      </c>
      <c r="Q305" s="94">
        <v>37</v>
      </c>
      <c r="R305" s="93">
        <f t="shared" si="16"/>
        <v>1079.29</v>
      </c>
      <c r="S305" s="95">
        <v>0.09</v>
      </c>
      <c r="T305" s="96">
        <f t="shared" si="17"/>
        <v>97.136099999999999</v>
      </c>
      <c r="U305" s="96">
        <f t="shared" si="18"/>
        <v>1079.2</v>
      </c>
      <c r="V305" s="93">
        <v>6.27</v>
      </c>
      <c r="W305" s="97">
        <f t="shared" si="19"/>
        <v>1085.47</v>
      </c>
    </row>
    <row r="306" spans="1:23" x14ac:dyDescent="0.25">
      <c r="A306" s="61" t="s">
        <v>399</v>
      </c>
      <c r="B306" s="91">
        <v>41637</v>
      </c>
      <c r="C306" s="92" t="s">
        <v>1261</v>
      </c>
      <c r="D306" s="92" t="s">
        <v>1262</v>
      </c>
      <c r="E306" s="92" t="s">
        <v>1198</v>
      </c>
      <c r="F306" s="92" t="s">
        <v>1235</v>
      </c>
      <c r="G306" s="92" t="s">
        <v>1202</v>
      </c>
      <c r="H306" s="92" t="s">
        <v>1263</v>
      </c>
      <c r="I306" s="92" t="s">
        <v>1237</v>
      </c>
      <c r="J306" s="92" t="s">
        <v>1345</v>
      </c>
      <c r="K306" s="92" t="s">
        <v>1243</v>
      </c>
      <c r="L306" s="92" t="s">
        <v>1244</v>
      </c>
      <c r="M306" s="92" t="s">
        <v>1241</v>
      </c>
      <c r="N306" s="91">
        <v>41638</v>
      </c>
      <c r="O306" s="93">
        <v>2.39</v>
      </c>
      <c r="P306" s="93">
        <v>4.26</v>
      </c>
      <c r="Q306" s="94">
        <v>26</v>
      </c>
      <c r="R306" s="93">
        <f t="shared" si="16"/>
        <v>110.75999999999999</v>
      </c>
      <c r="S306" s="95">
        <v>0.1</v>
      </c>
      <c r="T306" s="96">
        <f t="shared" si="17"/>
        <v>11.076000000000001</v>
      </c>
      <c r="U306" s="96">
        <f t="shared" si="18"/>
        <v>110.66</v>
      </c>
      <c r="V306" s="93">
        <v>1.2</v>
      </c>
      <c r="W306" s="97">
        <f t="shared" si="19"/>
        <v>111.86</v>
      </c>
    </row>
    <row r="307" spans="1:23" x14ac:dyDescent="0.25">
      <c r="A307" s="61" t="s">
        <v>400</v>
      </c>
      <c r="B307" s="91">
        <v>41637</v>
      </c>
      <c r="C307" s="92" t="s">
        <v>1601</v>
      </c>
      <c r="D307" s="92" t="s">
        <v>1602</v>
      </c>
      <c r="E307" s="92" t="s">
        <v>1198</v>
      </c>
      <c r="F307" s="92" t="s">
        <v>1235</v>
      </c>
      <c r="G307" s="92" t="s">
        <v>1201</v>
      </c>
      <c r="H307" s="92" t="s">
        <v>1313</v>
      </c>
      <c r="I307" s="92" t="s">
        <v>1256</v>
      </c>
      <c r="J307" s="92" t="s">
        <v>1522</v>
      </c>
      <c r="K307" s="92" t="s">
        <v>1239</v>
      </c>
      <c r="L307" s="92" t="s">
        <v>1260</v>
      </c>
      <c r="M307" s="92" t="s">
        <v>1241</v>
      </c>
      <c r="N307" s="91">
        <v>41638</v>
      </c>
      <c r="O307" s="93">
        <v>60.59</v>
      </c>
      <c r="P307" s="93">
        <v>100.98</v>
      </c>
      <c r="Q307" s="94">
        <v>1</v>
      </c>
      <c r="R307" s="93">
        <f t="shared" si="16"/>
        <v>100.98</v>
      </c>
      <c r="S307" s="95">
        <v>0.1</v>
      </c>
      <c r="T307" s="96">
        <f t="shared" si="17"/>
        <v>10.098000000000001</v>
      </c>
      <c r="U307" s="96">
        <f t="shared" si="18"/>
        <v>100.88000000000001</v>
      </c>
      <c r="V307" s="93">
        <v>7.18</v>
      </c>
      <c r="W307" s="97">
        <f t="shared" si="19"/>
        <v>108.06</v>
      </c>
    </row>
    <row r="308" spans="1:23" x14ac:dyDescent="0.25">
      <c r="A308" s="61" t="s">
        <v>401</v>
      </c>
      <c r="B308" s="91">
        <v>41638</v>
      </c>
      <c r="C308" s="92" t="s">
        <v>1681</v>
      </c>
      <c r="D308" s="92" t="s">
        <v>1613</v>
      </c>
      <c r="E308" s="92" t="s">
        <v>1198</v>
      </c>
      <c r="F308" s="92" t="s">
        <v>1235</v>
      </c>
      <c r="G308" s="92" t="s">
        <v>1201</v>
      </c>
      <c r="H308" s="92" t="s">
        <v>1313</v>
      </c>
      <c r="I308" s="92" t="s">
        <v>1317</v>
      </c>
      <c r="J308" s="92" t="s">
        <v>1363</v>
      </c>
      <c r="K308" s="92" t="s">
        <v>1243</v>
      </c>
      <c r="L308" s="92" t="s">
        <v>1240</v>
      </c>
      <c r="M308" s="92" t="s">
        <v>1241</v>
      </c>
      <c r="N308" s="91">
        <v>41639</v>
      </c>
      <c r="O308" s="93">
        <v>4.0999999999999996</v>
      </c>
      <c r="P308" s="93">
        <v>9.31</v>
      </c>
      <c r="Q308" s="94">
        <v>18</v>
      </c>
      <c r="R308" s="93">
        <f t="shared" si="16"/>
        <v>167.58</v>
      </c>
      <c r="S308" s="95">
        <v>0.01</v>
      </c>
      <c r="T308" s="96">
        <f t="shared" si="17"/>
        <v>1.6758000000000002</v>
      </c>
      <c r="U308" s="96">
        <f t="shared" si="18"/>
        <v>167.57000000000002</v>
      </c>
      <c r="V308" s="93">
        <v>3.98</v>
      </c>
      <c r="W308" s="97">
        <f t="shared" si="19"/>
        <v>171.55</v>
      </c>
    </row>
    <row r="309" spans="1:23" x14ac:dyDescent="0.25">
      <c r="A309" s="61" t="s">
        <v>402</v>
      </c>
      <c r="B309" s="91">
        <v>41638</v>
      </c>
      <c r="C309" s="92" t="s">
        <v>1667</v>
      </c>
      <c r="D309" s="92" t="s">
        <v>1253</v>
      </c>
      <c r="E309" s="92" t="s">
        <v>1199</v>
      </c>
      <c r="F309" s="92" t="s">
        <v>1254</v>
      </c>
      <c r="G309" s="92" t="s">
        <v>1201</v>
      </c>
      <c r="H309" s="92" t="s">
        <v>1255</v>
      </c>
      <c r="I309" s="92" t="s">
        <v>1248</v>
      </c>
      <c r="J309" s="92" t="s">
        <v>1502</v>
      </c>
      <c r="K309" s="92" t="s">
        <v>1243</v>
      </c>
      <c r="L309" s="92" t="s">
        <v>1260</v>
      </c>
      <c r="M309" s="92" t="s">
        <v>1241</v>
      </c>
      <c r="N309" s="91">
        <v>41638</v>
      </c>
      <c r="O309" s="93">
        <v>13.64</v>
      </c>
      <c r="P309" s="93">
        <v>20.98</v>
      </c>
      <c r="Q309" s="94">
        <v>23</v>
      </c>
      <c r="R309" s="93">
        <f t="shared" si="16"/>
        <v>482.54</v>
      </c>
      <c r="S309" s="95">
        <v>0.03</v>
      </c>
      <c r="T309" s="96">
        <f t="shared" si="17"/>
        <v>14.4762</v>
      </c>
      <c r="U309" s="96">
        <f t="shared" si="18"/>
        <v>482.51000000000005</v>
      </c>
      <c r="V309" s="93">
        <v>1.49</v>
      </c>
      <c r="W309" s="97">
        <f t="shared" si="19"/>
        <v>484.00000000000006</v>
      </c>
    </row>
    <row r="310" spans="1:23" x14ac:dyDescent="0.25">
      <c r="A310" s="61" t="s">
        <v>403</v>
      </c>
      <c r="B310" s="91">
        <v>41646</v>
      </c>
      <c r="C310" s="92" t="s">
        <v>1682</v>
      </c>
      <c r="D310" s="92" t="s">
        <v>1511</v>
      </c>
      <c r="E310" s="92" t="s">
        <v>1198</v>
      </c>
      <c r="F310" s="92" t="s">
        <v>1235</v>
      </c>
      <c r="G310" s="92" t="s">
        <v>1203</v>
      </c>
      <c r="H310" s="92" t="s">
        <v>1236</v>
      </c>
      <c r="I310" s="92" t="s">
        <v>1317</v>
      </c>
      <c r="J310" s="92" t="s">
        <v>1276</v>
      </c>
      <c r="K310" s="92" t="s">
        <v>1243</v>
      </c>
      <c r="L310" s="92" t="s">
        <v>1260</v>
      </c>
      <c r="M310" s="92" t="s">
        <v>1241</v>
      </c>
      <c r="N310" s="91">
        <v>41646</v>
      </c>
      <c r="O310" s="93">
        <v>67.73</v>
      </c>
      <c r="P310" s="93">
        <v>165.2</v>
      </c>
      <c r="Q310" s="94">
        <v>49</v>
      </c>
      <c r="R310" s="93">
        <f t="shared" si="16"/>
        <v>8094.7999999999993</v>
      </c>
      <c r="S310" s="95">
        <v>0.05</v>
      </c>
      <c r="T310" s="96">
        <f t="shared" si="17"/>
        <v>404.74</v>
      </c>
      <c r="U310" s="96">
        <f t="shared" si="18"/>
        <v>8094.7499999999991</v>
      </c>
      <c r="V310" s="93">
        <v>19.989999999999998</v>
      </c>
      <c r="W310" s="97">
        <f t="shared" si="19"/>
        <v>8114.7399999999989</v>
      </c>
    </row>
    <row r="311" spans="1:23" x14ac:dyDescent="0.25">
      <c r="A311" s="61" t="s">
        <v>404</v>
      </c>
      <c r="B311" s="91">
        <v>41646</v>
      </c>
      <c r="C311" s="92" t="s">
        <v>1683</v>
      </c>
      <c r="D311" s="92" t="s">
        <v>1526</v>
      </c>
      <c r="E311" s="92" t="s">
        <v>1198</v>
      </c>
      <c r="F311" s="92" t="s">
        <v>1235</v>
      </c>
      <c r="G311" s="92" t="s">
        <v>1203</v>
      </c>
      <c r="H311" s="92" t="s">
        <v>1286</v>
      </c>
      <c r="I311" s="92" t="s">
        <v>1237</v>
      </c>
      <c r="J311" s="92" t="s">
        <v>1334</v>
      </c>
      <c r="K311" s="92" t="s">
        <v>1243</v>
      </c>
      <c r="L311" s="92" t="s">
        <v>1244</v>
      </c>
      <c r="M311" s="92" t="s">
        <v>1241</v>
      </c>
      <c r="N311" s="91">
        <v>41647</v>
      </c>
      <c r="O311" s="93">
        <v>2.31</v>
      </c>
      <c r="P311" s="93">
        <v>3.78</v>
      </c>
      <c r="Q311" s="94">
        <v>47</v>
      </c>
      <c r="R311" s="93">
        <f t="shared" si="16"/>
        <v>177.66</v>
      </c>
      <c r="S311" s="95">
        <v>0.02</v>
      </c>
      <c r="T311" s="96">
        <f t="shared" si="17"/>
        <v>3.5531999999999999</v>
      </c>
      <c r="U311" s="96">
        <f t="shared" si="18"/>
        <v>177.64</v>
      </c>
      <c r="V311" s="93">
        <v>0.71</v>
      </c>
      <c r="W311" s="97">
        <f t="shared" si="19"/>
        <v>178.35</v>
      </c>
    </row>
    <row r="312" spans="1:23" x14ac:dyDescent="0.25">
      <c r="A312" s="61" t="s">
        <v>405</v>
      </c>
      <c r="B312" s="91">
        <v>41647</v>
      </c>
      <c r="C312" s="92" t="s">
        <v>1684</v>
      </c>
      <c r="D312" s="92" t="s">
        <v>1323</v>
      </c>
      <c r="E312" s="92" t="s">
        <v>1198</v>
      </c>
      <c r="F312" s="92" t="s">
        <v>1235</v>
      </c>
      <c r="G312" s="92" t="s">
        <v>1201</v>
      </c>
      <c r="H312" s="92" t="s">
        <v>1263</v>
      </c>
      <c r="I312" s="92" t="s">
        <v>1248</v>
      </c>
      <c r="J312" s="92" t="s">
        <v>1338</v>
      </c>
      <c r="K312" s="92" t="s">
        <v>1243</v>
      </c>
      <c r="L312" s="92" t="s">
        <v>1260</v>
      </c>
      <c r="M312" s="92" t="s">
        <v>1241</v>
      </c>
      <c r="N312" s="91">
        <v>41654</v>
      </c>
      <c r="O312" s="93">
        <v>13.88</v>
      </c>
      <c r="P312" s="93">
        <v>22.38</v>
      </c>
      <c r="Q312" s="94">
        <v>21</v>
      </c>
      <c r="R312" s="93">
        <f t="shared" si="16"/>
        <v>469.97999999999996</v>
      </c>
      <c r="S312" s="95">
        <v>0.04</v>
      </c>
      <c r="T312" s="96">
        <f t="shared" si="17"/>
        <v>18.799199999999999</v>
      </c>
      <c r="U312" s="96">
        <f t="shared" si="18"/>
        <v>469.93999999999994</v>
      </c>
      <c r="V312" s="93">
        <v>15.1</v>
      </c>
      <c r="W312" s="97">
        <f t="shared" si="19"/>
        <v>485.03999999999996</v>
      </c>
    </row>
    <row r="313" spans="1:23" x14ac:dyDescent="0.25">
      <c r="A313" s="61" t="s">
        <v>406</v>
      </c>
      <c r="B313" s="91">
        <v>41647</v>
      </c>
      <c r="C313" s="92" t="s">
        <v>1437</v>
      </c>
      <c r="D313" s="92" t="s">
        <v>1273</v>
      </c>
      <c r="E313" s="92" t="s">
        <v>1199</v>
      </c>
      <c r="F313" s="92" t="s">
        <v>1254</v>
      </c>
      <c r="G313" s="92" t="s">
        <v>1200</v>
      </c>
      <c r="H313" s="92" t="s">
        <v>1274</v>
      </c>
      <c r="I313" s="92" t="s">
        <v>1248</v>
      </c>
      <c r="J313" s="92" t="s">
        <v>1368</v>
      </c>
      <c r="K313" s="92" t="s">
        <v>1243</v>
      </c>
      <c r="L313" s="92" t="s">
        <v>1244</v>
      </c>
      <c r="M313" s="92" t="s">
        <v>1241</v>
      </c>
      <c r="N313" s="91">
        <v>41651</v>
      </c>
      <c r="O313" s="93">
        <v>1.3</v>
      </c>
      <c r="P313" s="93">
        <v>2.88</v>
      </c>
      <c r="Q313" s="94">
        <v>46</v>
      </c>
      <c r="R313" s="93">
        <f t="shared" si="16"/>
        <v>132.47999999999999</v>
      </c>
      <c r="S313" s="95">
        <v>0.04</v>
      </c>
      <c r="T313" s="96">
        <f t="shared" si="17"/>
        <v>5.2991999999999999</v>
      </c>
      <c r="U313" s="96">
        <f t="shared" si="18"/>
        <v>132.44</v>
      </c>
      <c r="V313" s="93">
        <v>1.01</v>
      </c>
      <c r="W313" s="97">
        <f t="shared" si="19"/>
        <v>133.44999999999999</v>
      </c>
    </row>
    <row r="314" spans="1:23" x14ac:dyDescent="0.25">
      <c r="A314" s="61" t="s">
        <v>407</v>
      </c>
      <c r="B314" s="91">
        <v>41649</v>
      </c>
      <c r="C314" s="92" t="s">
        <v>1574</v>
      </c>
      <c r="D314" s="92" t="s">
        <v>1340</v>
      </c>
      <c r="E314" s="92" t="s">
        <v>1199</v>
      </c>
      <c r="F314" s="92" t="s">
        <v>1254</v>
      </c>
      <c r="G314" s="92" t="s">
        <v>1201</v>
      </c>
      <c r="H314" s="92" t="s">
        <v>1255</v>
      </c>
      <c r="I314" s="92" t="s">
        <v>1256</v>
      </c>
      <c r="J314" s="92" t="s">
        <v>1381</v>
      </c>
      <c r="K314" s="92" t="s">
        <v>1382</v>
      </c>
      <c r="L314" s="92" t="s">
        <v>1296</v>
      </c>
      <c r="M314" s="92" t="s">
        <v>1250</v>
      </c>
      <c r="N314" s="91">
        <v>41650</v>
      </c>
      <c r="O314" s="93">
        <v>56.16</v>
      </c>
      <c r="P314" s="93">
        <v>136.97999999999999</v>
      </c>
      <c r="Q314" s="94">
        <v>18</v>
      </c>
      <c r="R314" s="93">
        <f t="shared" si="16"/>
        <v>2465.64</v>
      </c>
      <c r="S314" s="95">
        <v>0.02</v>
      </c>
      <c r="T314" s="96">
        <f t="shared" si="17"/>
        <v>49.312799999999996</v>
      </c>
      <c r="U314" s="96">
        <f t="shared" si="18"/>
        <v>2465.62</v>
      </c>
      <c r="V314" s="93">
        <v>24.49</v>
      </c>
      <c r="W314" s="97">
        <f t="shared" si="19"/>
        <v>2490.1099999999997</v>
      </c>
    </row>
    <row r="315" spans="1:23" x14ac:dyDescent="0.25">
      <c r="A315" s="61" t="s">
        <v>408</v>
      </c>
      <c r="B315" s="91">
        <v>41652</v>
      </c>
      <c r="C315" s="92" t="s">
        <v>1685</v>
      </c>
      <c r="D315" s="92" t="s">
        <v>1253</v>
      </c>
      <c r="E315" s="92" t="s">
        <v>1199</v>
      </c>
      <c r="F315" s="92" t="s">
        <v>1254</v>
      </c>
      <c r="G315" s="92" t="s">
        <v>1203</v>
      </c>
      <c r="H315" s="92" t="s">
        <v>1255</v>
      </c>
      <c r="I315" s="92" t="s">
        <v>1248</v>
      </c>
      <c r="J315" s="92" t="s">
        <v>1558</v>
      </c>
      <c r="K315" s="92" t="s">
        <v>1243</v>
      </c>
      <c r="L315" s="92" t="s">
        <v>1260</v>
      </c>
      <c r="M315" s="92" t="s">
        <v>1241</v>
      </c>
      <c r="N315" s="91">
        <v>41657</v>
      </c>
      <c r="O315" s="93">
        <v>21.56</v>
      </c>
      <c r="P315" s="93">
        <v>35.94</v>
      </c>
      <c r="Q315" s="94">
        <v>13</v>
      </c>
      <c r="R315" s="93">
        <f t="shared" si="16"/>
        <v>467.21999999999997</v>
      </c>
      <c r="S315" s="95">
        <v>0.09</v>
      </c>
      <c r="T315" s="96">
        <f t="shared" si="17"/>
        <v>42.049799999999998</v>
      </c>
      <c r="U315" s="96">
        <f t="shared" si="18"/>
        <v>467.13</v>
      </c>
      <c r="V315" s="93">
        <v>6.66</v>
      </c>
      <c r="W315" s="97">
        <f t="shared" si="19"/>
        <v>473.79</v>
      </c>
    </row>
    <row r="316" spans="1:23" x14ac:dyDescent="0.25">
      <c r="A316" s="61" t="s">
        <v>409</v>
      </c>
      <c r="B316" s="91">
        <v>41653</v>
      </c>
      <c r="C316" s="92" t="s">
        <v>1686</v>
      </c>
      <c r="D316" s="92" t="s">
        <v>1687</v>
      </c>
      <c r="E316" s="92" t="s">
        <v>1198</v>
      </c>
      <c r="F316" s="92" t="s">
        <v>1235</v>
      </c>
      <c r="G316" s="92" t="s">
        <v>1202</v>
      </c>
      <c r="H316" s="92" t="s">
        <v>1409</v>
      </c>
      <c r="I316" s="92" t="s">
        <v>1256</v>
      </c>
      <c r="J316" s="92" t="s">
        <v>1259</v>
      </c>
      <c r="K316" s="92" t="s">
        <v>1243</v>
      </c>
      <c r="L316" s="92" t="s">
        <v>1260</v>
      </c>
      <c r="M316" s="92" t="s">
        <v>1250</v>
      </c>
      <c r="N316" s="91">
        <v>41655</v>
      </c>
      <c r="O316" s="93">
        <v>3.4</v>
      </c>
      <c r="P316" s="93">
        <v>5.4</v>
      </c>
      <c r="Q316" s="94">
        <v>14</v>
      </c>
      <c r="R316" s="93">
        <f t="shared" si="16"/>
        <v>75.600000000000009</v>
      </c>
      <c r="S316" s="95">
        <v>0.09</v>
      </c>
      <c r="T316" s="96">
        <f t="shared" si="17"/>
        <v>6.8040000000000003</v>
      </c>
      <c r="U316" s="96">
        <f t="shared" si="18"/>
        <v>75.510000000000005</v>
      </c>
      <c r="V316" s="93">
        <v>7.78</v>
      </c>
      <c r="W316" s="97">
        <f t="shared" si="19"/>
        <v>83.29</v>
      </c>
    </row>
    <row r="317" spans="1:23" x14ac:dyDescent="0.25">
      <c r="A317" s="61" t="s">
        <v>410</v>
      </c>
      <c r="B317" s="91">
        <v>41653</v>
      </c>
      <c r="C317" s="92" t="s">
        <v>1620</v>
      </c>
      <c r="D317" s="92" t="s">
        <v>1408</v>
      </c>
      <c r="E317" s="92" t="s">
        <v>1198</v>
      </c>
      <c r="F317" s="92" t="s">
        <v>1235</v>
      </c>
      <c r="G317" s="92" t="s">
        <v>1203</v>
      </c>
      <c r="H317" s="92" t="s">
        <v>1409</v>
      </c>
      <c r="I317" s="92" t="s">
        <v>1256</v>
      </c>
      <c r="J317" s="92" t="s">
        <v>1573</v>
      </c>
      <c r="K317" s="92" t="s">
        <v>1243</v>
      </c>
      <c r="L317" s="92" t="s">
        <v>1244</v>
      </c>
      <c r="M317" s="92" t="s">
        <v>1241</v>
      </c>
      <c r="N317" s="91">
        <v>41656</v>
      </c>
      <c r="O317" s="93">
        <v>1.95</v>
      </c>
      <c r="P317" s="93">
        <v>3.98</v>
      </c>
      <c r="Q317" s="94">
        <v>41</v>
      </c>
      <c r="R317" s="93">
        <f t="shared" si="16"/>
        <v>163.18</v>
      </c>
      <c r="S317" s="95">
        <v>7.0000000000000007E-2</v>
      </c>
      <c r="T317" s="96">
        <f t="shared" si="17"/>
        <v>11.422600000000001</v>
      </c>
      <c r="U317" s="96">
        <f t="shared" si="18"/>
        <v>163.11000000000001</v>
      </c>
      <c r="V317" s="93">
        <v>0.83</v>
      </c>
      <c r="W317" s="97">
        <f t="shared" si="19"/>
        <v>163.94000000000003</v>
      </c>
    </row>
    <row r="318" spans="1:23" x14ac:dyDescent="0.25">
      <c r="A318" s="61" t="s">
        <v>411</v>
      </c>
      <c r="B318" s="91">
        <v>41654</v>
      </c>
      <c r="C318" s="92" t="s">
        <v>1545</v>
      </c>
      <c r="D318" s="92" t="s">
        <v>1299</v>
      </c>
      <c r="E318" s="92" t="s">
        <v>1198</v>
      </c>
      <c r="F318" s="92" t="s">
        <v>1235</v>
      </c>
      <c r="G318" s="92" t="s">
        <v>1200</v>
      </c>
      <c r="H318" s="92" t="s">
        <v>1236</v>
      </c>
      <c r="I318" s="92" t="s">
        <v>1237</v>
      </c>
      <c r="J318" s="92" t="s">
        <v>1331</v>
      </c>
      <c r="K318" s="92" t="s">
        <v>1243</v>
      </c>
      <c r="L318" s="92" t="s">
        <v>1240</v>
      </c>
      <c r="M318" s="92" t="s">
        <v>1250</v>
      </c>
      <c r="N318" s="91">
        <v>41656</v>
      </c>
      <c r="O318" s="93">
        <v>5.19</v>
      </c>
      <c r="P318" s="93">
        <v>12.98</v>
      </c>
      <c r="Q318" s="94">
        <v>34</v>
      </c>
      <c r="R318" s="93">
        <f t="shared" si="16"/>
        <v>441.32</v>
      </c>
      <c r="S318" s="95">
        <v>0.04</v>
      </c>
      <c r="T318" s="96">
        <f t="shared" si="17"/>
        <v>17.652799999999999</v>
      </c>
      <c r="U318" s="96">
        <f t="shared" si="18"/>
        <v>441.28</v>
      </c>
      <c r="V318" s="93">
        <v>3.14</v>
      </c>
      <c r="W318" s="97">
        <f t="shared" si="19"/>
        <v>444.41999999999996</v>
      </c>
    </row>
    <row r="319" spans="1:23" x14ac:dyDescent="0.25">
      <c r="A319" s="61" t="s">
        <v>412</v>
      </c>
      <c r="B319" s="91">
        <v>41654</v>
      </c>
      <c r="C319" s="92" t="s">
        <v>1688</v>
      </c>
      <c r="D319" s="92" t="s">
        <v>1403</v>
      </c>
      <c r="E319" s="92" t="s">
        <v>1198</v>
      </c>
      <c r="F319" s="92" t="s">
        <v>1235</v>
      </c>
      <c r="G319" s="92" t="s">
        <v>1203</v>
      </c>
      <c r="H319" s="92" t="s">
        <v>1404</v>
      </c>
      <c r="I319" s="92" t="s">
        <v>1237</v>
      </c>
      <c r="J319" s="92" t="s">
        <v>1689</v>
      </c>
      <c r="K319" s="92" t="s">
        <v>1239</v>
      </c>
      <c r="L319" s="92" t="s">
        <v>1319</v>
      </c>
      <c r="M319" s="92" t="s">
        <v>1320</v>
      </c>
      <c r="N319" s="91">
        <v>41656</v>
      </c>
      <c r="O319" s="93">
        <v>219.61</v>
      </c>
      <c r="P319" s="93">
        <v>535.64</v>
      </c>
      <c r="Q319" s="94">
        <v>1</v>
      </c>
      <c r="R319" s="93">
        <f t="shared" si="16"/>
        <v>535.64</v>
      </c>
      <c r="S319" s="95">
        <v>0.05</v>
      </c>
      <c r="T319" s="96">
        <f t="shared" si="17"/>
        <v>26.782</v>
      </c>
      <c r="U319" s="96">
        <f t="shared" si="18"/>
        <v>535.59</v>
      </c>
      <c r="V319" s="93">
        <v>14.7</v>
      </c>
      <c r="W319" s="97">
        <f t="shared" si="19"/>
        <v>550.29000000000008</v>
      </c>
    </row>
    <row r="320" spans="1:23" x14ac:dyDescent="0.25">
      <c r="A320" s="61" t="s">
        <v>413</v>
      </c>
      <c r="B320" s="91">
        <v>41656</v>
      </c>
      <c r="C320" s="92" t="s">
        <v>1369</v>
      </c>
      <c r="D320" s="92" t="s">
        <v>1370</v>
      </c>
      <c r="E320" s="92" t="s">
        <v>1198</v>
      </c>
      <c r="F320" s="92" t="s">
        <v>1235</v>
      </c>
      <c r="G320" s="92" t="s">
        <v>1203</v>
      </c>
      <c r="H320" s="92" t="s">
        <v>1236</v>
      </c>
      <c r="I320" s="92" t="s">
        <v>1264</v>
      </c>
      <c r="J320" s="92" t="s">
        <v>1509</v>
      </c>
      <c r="K320" s="92" t="s">
        <v>1243</v>
      </c>
      <c r="L320" s="92" t="s">
        <v>1260</v>
      </c>
      <c r="M320" s="92" t="s">
        <v>1241</v>
      </c>
      <c r="N320" s="91">
        <v>41658</v>
      </c>
      <c r="O320" s="93">
        <v>3.84</v>
      </c>
      <c r="P320" s="93">
        <v>6.3</v>
      </c>
      <c r="Q320" s="94">
        <v>32</v>
      </c>
      <c r="R320" s="93">
        <f t="shared" si="16"/>
        <v>201.6</v>
      </c>
      <c r="S320" s="95">
        <v>0.04</v>
      </c>
      <c r="T320" s="96">
        <f t="shared" si="17"/>
        <v>8.0640000000000001</v>
      </c>
      <c r="U320" s="96">
        <f t="shared" si="18"/>
        <v>201.56</v>
      </c>
      <c r="V320" s="93">
        <v>0.5</v>
      </c>
      <c r="W320" s="97">
        <f t="shared" si="19"/>
        <v>202.06</v>
      </c>
    </row>
    <row r="321" spans="1:23" x14ac:dyDescent="0.25">
      <c r="A321" s="61" t="s">
        <v>414</v>
      </c>
      <c r="B321" s="91">
        <v>41662</v>
      </c>
      <c r="C321" s="92" t="s">
        <v>1690</v>
      </c>
      <c r="D321" s="92" t="s">
        <v>1691</v>
      </c>
      <c r="E321" s="92" t="s">
        <v>1198</v>
      </c>
      <c r="F321" s="92" t="s">
        <v>1235</v>
      </c>
      <c r="G321" s="92" t="s">
        <v>1203</v>
      </c>
      <c r="H321" s="92" t="s">
        <v>1471</v>
      </c>
      <c r="I321" s="92" t="s">
        <v>1256</v>
      </c>
      <c r="J321" s="92" t="s">
        <v>1328</v>
      </c>
      <c r="K321" s="92" t="s">
        <v>1243</v>
      </c>
      <c r="L321" s="92" t="s">
        <v>1244</v>
      </c>
      <c r="M321" s="92" t="s">
        <v>1241</v>
      </c>
      <c r="N321" s="91">
        <v>41664</v>
      </c>
      <c r="O321" s="93">
        <v>0.93</v>
      </c>
      <c r="P321" s="93">
        <v>1.48</v>
      </c>
      <c r="Q321" s="94">
        <v>27</v>
      </c>
      <c r="R321" s="93">
        <f t="shared" si="16"/>
        <v>39.96</v>
      </c>
      <c r="S321" s="95">
        <v>0</v>
      </c>
      <c r="T321" s="96">
        <f t="shared" si="17"/>
        <v>0</v>
      </c>
      <c r="U321" s="96">
        <f t="shared" si="18"/>
        <v>39.96</v>
      </c>
      <c r="V321" s="93">
        <v>0.7</v>
      </c>
      <c r="W321" s="97">
        <f t="shared" si="19"/>
        <v>40.660000000000004</v>
      </c>
    </row>
    <row r="322" spans="1:23" x14ac:dyDescent="0.25">
      <c r="A322" s="61" t="s">
        <v>415</v>
      </c>
      <c r="B322" s="91">
        <v>41663</v>
      </c>
      <c r="C322" s="92" t="s">
        <v>1692</v>
      </c>
      <c r="D322" s="92" t="s">
        <v>1494</v>
      </c>
      <c r="E322" s="92" t="s">
        <v>1198</v>
      </c>
      <c r="F322" s="92" t="s">
        <v>1235</v>
      </c>
      <c r="G322" s="92" t="s">
        <v>1200</v>
      </c>
      <c r="H322" s="92" t="s">
        <v>1236</v>
      </c>
      <c r="I322" s="92" t="s">
        <v>1317</v>
      </c>
      <c r="J322" s="92" t="s">
        <v>1578</v>
      </c>
      <c r="K322" s="92" t="s">
        <v>1239</v>
      </c>
      <c r="L322" s="92" t="s">
        <v>1319</v>
      </c>
      <c r="M322" s="92" t="s">
        <v>1320</v>
      </c>
      <c r="N322" s="91">
        <v>41665</v>
      </c>
      <c r="O322" s="93">
        <v>76.790000000000006</v>
      </c>
      <c r="P322" s="93">
        <v>119.99</v>
      </c>
      <c r="Q322" s="94">
        <v>13</v>
      </c>
      <c r="R322" s="93">
        <f t="shared" si="16"/>
        <v>1559.87</v>
      </c>
      <c r="S322" s="95">
        <v>0.04</v>
      </c>
      <c r="T322" s="96">
        <f t="shared" si="17"/>
        <v>62.394799999999996</v>
      </c>
      <c r="U322" s="96">
        <f t="shared" si="18"/>
        <v>1559.83</v>
      </c>
      <c r="V322" s="93">
        <v>14</v>
      </c>
      <c r="W322" s="97">
        <f t="shared" si="19"/>
        <v>1573.83</v>
      </c>
    </row>
    <row r="323" spans="1:23" x14ac:dyDescent="0.25">
      <c r="A323" s="61" t="s">
        <v>416</v>
      </c>
      <c r="B323" s="91">
        <v>41664</v>
      </c>
      <c r="C323" s="92" t="s">
        <v>1693</v>
      </c>
      <c r="D323" s="92" t="s">
        <v>1395</v>
      </c>
      <c r="E323" s="92" t="s">
        <v>1198</v>
      </c>
      <c r="F323" s="92" t="s">
        <v>1235</v>
      </c>
      <c r="G323" s="92" t="s">
        <v>1203</v>
      </c>
      <c r="H323" s="92" t="s">
        <v>1236</v>
      </c>
      <c r="I323" s="92" t="s">
        <v>1237</v>
      </c>
      <c r="J323" s="92" t="s">
        <v>1352</v>
      </c>
      <c r="K323" s="92" t="s">
        <v>1243</v>
      </c>
      <c r="L323" s="92" t="s">
        <v>1244</v>
      </c>
      <c r="M323" s="92" t="s">
        <v>1241</v>
      </c>
      <c r="N323" s="91">
        <v>41666</v>
      </c>
      <c r="O323" s="93">
        <v>1.0900000000000001</v>
      </c>
      <c r="P323" s="93">
        <v>2.6</v>
      </c>
      <c r="Q323" s="94">
        <v>27</v>
      </c>
      <c r="R323" s="93">
        <f t="shared" si="16"/>
        <v>70.2</v>
      </c>
      <c r="S323" s="95">
        <v>0.09</v>
      </c>
      <c r="T323" s="96">
        <f t="shared" si="17"/>
        <v>6.3179999999999996</v>
      </c>
      <c r="U323" s="96">
        <f t="shared" si="18"/>
        <v>70.11</v>
      </c>
      <c r="V323" s="93">
        <v>2.4</v>
      </c>
      <c r="W323" s="97">
        <f t="shared" si="19"/>
        <v>72.510000000000005</v>
      </c>
    </row>
    <row r="324" spans="1:23" x14ac:dyDescent="0.25">
      <c r="A324" s="61" t="s">
        <v>417</v>
      </c>
      <c r="B324" s="91">
        <v>41665</v>
      </c>
      <c r="C324" s="92" t="s">
        <v>1694</v>
      </c>
      <c r="D324" s="92" t="s">
        <v>1253</v>
      </c>
      <c r="E324" s="92" t="s">
        <v>1199</v>
      </c>
      <c r="F324" s="92" t="s">
        <v>1254</v>
      </c>
      <c r="G324" s="92" t="s">
        <v>1202</v>
      </c>
      <c r="H324" s="92" t="s">
        <v>1255</v>
      </c>
      <c r="I324" s="92" t="s">
        <v>1248</v>
      </c>
      <c r="J324" s="92" t="s">
        <v>1386</v>
      </c>
      <c r="K324" s="92" t="s">
        <v>1382</v>
      </c>
      <c r="L324" s="92" t="s">
        <v>1240</v>
      </c>
      <c r="M324" s="92" t="s">
        <v>1241</v>
      </c>
      <c r="N324" s="91">
        <v>41672</v>
      </c>
      <c r="O324" s="93">
        <v>5.5</v>
      </c>
      <c r="P324" s="93">
        <v>12.22</v>
      </c>
      <c r="Q324" s="94">
        <v>19</v>
      </c>
      <c r="R324" s="93">
        <f t="shared" si="16"/>
        <v>232.18</v>
      </c>
      <c r="S324" s="95">
        <v>0.09</v>
      </c>
      <c r="T324" s="96">
        <f t="shared" si="17"/>
        <v>20.8962</v>
      </c>
      <c r="U324" s="96">
        <f t="shared" si="18"/>
        <v>232.09</v>
      </c>
      <c r="V324" s="93">
        <v>2.85</v>
      </c>
      <c r="W324" s="97">
        <f t="shared" si="19"/>
        <v>234.94</v>
      </c>
    </row>
    <row r="325" spans="1:23" x14ac:dyDescent="0.25">
      <c r="A325" s="61" t="s">
        <v>418</v>
      </c>
      <c r="B325" s="91">
        <v>41665</v>
      </c>
      <c r="C325" s="92" t="s">
        <v>1695</v>
      </c>
      <c r="D325" s="92" t="s">
        <v>1347</v>
      </c>
      <c r="E325" s="92" t="s">
        <v>1198</v>
      </c>
      <c r="F325" s="92" t="s">
        <v>1235</v>
      </c>
      <c r="G325" s="92" t="s">
        <v>1200</v>
      </c>
      <c r="H325" s="92" t="s">
        <v>1236</v>
      </c>
      <c r="I325" s="92" t="s">
        <v>1264</v>
      </c>
      <c r="J325" s="92" t="s">
        <v>1475</v>
      </c>
      <c r="K325" s="92" t="s">
        <v>1239</v>
      </c>
      <c r="L325" s="92" t="s">
        <v>1260</v>
      </c>
      <c r="M325" s="92" t="s">
        <v>1241</v>
      </c>
      <c r="N325" s="91">
        <v>41666</v>
      </c>
      <c r="O325" s="93">
        <v>10.07</v>
      </c>
      <c r="P325" s="93">
        <v>15.98</v>
      </c>
      <c r="Q325" s="94">
        <v>8</v>
      </c>
      <c r="R325" s="93">
        <f t="shared" ref="R325:R388" si="20">P325*Q325</f>
        <v>127.84</v>
      </c>
      <c r="S325" s="95">
        <v>0.04</v>
      </c>
      <c r="T325" s="96">
        <f t="shared" ref="T325:T388" si="21">R325*S325</f>
        <v>5.1135999999999999</v>
      </c>
      <c r="U325" s="96">
        <f t="shared" ref="U325:U388" si="22">R325-S325</f>
        <v>127.8</v>
      </c>
      <c r="V325" s="93">
        <v>4</v>
      </c>
      <c r="W325" s="97">
        <f t="shared" ref="W325:W388" si="23">U325+V325</f>
        <v>131.80000000000001</v>
      </c>
    </row>
    <row r="326" spans="1:23" x14ac:dyDescent="0.25">
      <c r="A326" s="61" t="s">
        <v>419</v>
      </c>
      <c r="B326" s="91">
        <v>41666</v>
      </c>
      <c r="C326" s="92" t="s">
        <v>1696</v>
      </c>
      <c r="D326" s="92" t="s">
        <v>1388</v>
      </c>
      <c r="E326" s="92" t="s">
        <v>1199</v>
      </c>
      <c r="F326" s="92" t="s">
        <v>1254</v>
      </c>
      <c r="G326" s="92" t="s">
        <v>1202</v>
      </c>
      <c r="H326" s="92" t="s">
        <v>1255</v>
      </c>
      <c r="I326" s="92" t="s">
        <v>1317</v>
      </c>
      <c r="J326" s="92" t="s">
        <v>1282</v>
      </c>
      <c r="K326" s="92" t="s">
        <v>1243</v>
      </c>
      <c r="L326" s="92" t="s">
        <v>1260</v>
      </c>
      <c r="M326" s="92" t="s">
        <v>1241</v>
      </c>
      <c r="N326" s="91">
        <v>41666</v>
      </c>
      <c r="O326" s="93">
        <v>5.33</v>
      </c>
      <c r="P326" s="93">
        <v>8.6</v>
      </c>
      <c r="Q326" s="94">
        <v>4</v>
      </c>
      <c r="R326" s="93">
        <f t="shared" si="20"/>
        <v>34.4</v>
      </c>
      <c r="S326" s="95">
        <v>0.04</v>
      </c>
      <c r="T326" s="96">
        <f t="shared" si="21"/>
        <v>1.3759999999999999</v>
      </c>
      <c r="U326" s="96">
        <f t="shared" si="22"/>
        <v>34.36</v>
      </c>
      <c r="V326" s="93">
        <v>6.19</v>
      </c>
      <c r="W326" s="97">
        <f t="shared" si="23"/>
        <v>40.549999999999997</v>
      </c>
    </row>
    <row r="327" spans="1:23" x14ac:dyDescent="0.25">
      <c r="A327" s="61" t="s">
        <v>420</v>
      </c>
      <c r="B327" s="91">
        <v>41668</v>
      </c>
      <c r="C327" s="92" t="s">
        <v>1697</v>
      </c>
      <c r="D327" s="92" t="s">
        <v>1428</v>
      </c>
      <c r="E327" s="92" t="s">
        <v>1198</v>
      </c>
      <c r="F327" s="92" t="s">
        <v>1235</v>
      </c>
      <c r="G327" s="92" t="s">
        <v>1201</v>
      </c>
      <c r="H327" s="92" t="s">
        <v>1313</v>
      </c>
      <c r="I327" s="92" t="s">
        <v>1317</v>
      </c>
      <c r="J327" s="92" t="s">
        <v>1426</v>
      </c>
      <c r="K327" s="92" t="s">
        <v>1243</v>
      </c>
      <c r="L327" s="92" t="s">
        <v>1260</v>
      </c>
      <c r="M327" s="92" t="s">
        <v>1241</v>
      </c>
      <c r="N327" s="91">
        <v>41671</v>
      </c>
      <c r="O327" s="93">
        <v>54.29</v>
      </c>
      <c r="P327" s="93">
        <v>90.48</v>
      </c>
      <c r="Q327" s="94">
        <v>27</v>
      </c>
      <c r="R327" s="93">
        <f t="shared" si="20"/>
        <v>2442.96</v>
      </c>
      <c r="S327" s="95">
        <v>0</v>
      </c>
      <c r="T327" s="96">
        <f t="shared" si="21"/>
        <v>0</v>
      </c>
      <c r="U327" s="96">
        <f t="shared" si="22"/>
        <v>2442.96</v>
      </c>
      <c r="V327" s="93">
        <v>19.989999999999998</v>
      </c>
      <c r="W327" s="97">
        <f t="shared" si="23"/>
        <v>2462.9499999999998</v>
      </c>
    </row>
    <row r="328" spans="1:23" x14ac:dyDescent="0.25">
      <c r="A328" s="61" t="s">
        <v>421</v>
      </c>
      <c r="B328" s="91">
        <v>41669</v>
      </c>
      <c r="C328" s="92" t="s">
        <v>1698</v>
      </c>
      <c r="D328" s="92" t="s">
        <v>1390</v>
      </c>
      <c r="E328" s="92" t="s">
        <v>1198</v>
      </c>
      <c r="F328" s="92" t="s">
        <v>1235</v>
      </c>
      <c r="G328" s="92" t="s">
        <v>1200</v>
      </c>
      <c r="H328" s="92" t="s">
        <v>1247</v>
      </c>
      <c r="I328" s="92" t="s">
        <v>1264</v>
      </c>
      <c r="J328" s="92" t="s">
        <v>1502</v>
      </c>
      <c r="K328" s="92" t="s">
        <v>1243</v>
      </c>
      <c r="L328" s="92" t="s">
        <v>1260</v>
      </c>
      <c r="M328" s="92" t="s">
        <v>1241</v>
      </c>
      <c r="N328" s="91">
        <v>41671</v>
      </c>
      <c r="O328" s="93">
        <v>13.64</v>
      </c>
      <c r="P328" s="93">
        <v>20.98</v>
      </c>
      <c r="Q328" s="94">
        <v>31</v>
      </c>
      <c r="R328" s="93">
        <f t="shared" si="20"/>
        <v>650.38</v>
      </c>
      <c r="S328" s="95">
        <v>0.09</v>
      </c>
      <c r="T328" s="96">
        <f t="shared" si="21"/>
        <v>58.534199999999998</v>
      </c>
      <c r="U328" s="96">
        <f t="shared" si="22"/>
        <v>650.29</v>
      </c>
      <c r="V328" s="93">
        <v>1.49</v>
      </c>
      <c r="W328" s="97">
        <f t="shared" si="23"/>
        <v>651.78</v>
      </c>
    </row>
    <row r="329" spans="1:23" x14ac:dyDescent="0.25">
      <c r="A329" s="61" t="s">
        <v>422</v>
      </c>
      <c r="B329" s="91">
        <v>41669</v>
      </c>
      <c r="C329" s="92" t="s">
        <v>1699</v>
      </c>
      <c r="D329" s="92" t="s">
        <v>1585</v>
      </c>
      <c r="E329" s="92" t="s">
        <v>1198</v>
      </c>
      <c r="F329" s="92" t="s">
        <v>1235</v>
      </c>
      <c r="G329" s="92" t="s">
        <v>1201</v>
      </c>
      <c r="H329" s="92" t="s">
        <v>1291</v>
      </c>
      <c r="I329" s="92" t="s">
        <v>1237</v>
      </c>
      <c r="J329" s="92" t="s">
        <v>1366</v>
      </c>
      <c r="K329" s="92" t="s">
        <v>1243</v>
      </c>
      <c r="L329" s="92" t="s">
        <v>1244</v>
      </c>
      <c r="M329" s="92" t="s">
        <v>1241</v>
      </c>
      <c r="N329" s="91">
        <v>41671</v>
      </c>
      <c r="O329" s="93">
        <v>3.48</v>
      </c>
      <c r="P329" s="93">
        <v>5.43</v>
      </c>
      <c r="Q329" s="94">
        <v>2</v>
      </c>
      <c r="R329" s="93">
        <f t="shared" si="20"/>
        <v>10.86</v>
      </c>
      <c r="S329" s="95">
        <v>0.1</v>
      </c>
      <c r="T329" s="96">
        <f t="shared" si="21"/>
        <v>1.0860000000000001</v>
      </c>
      <c r="U329" s="96">
        <f t="shared" si="22"/>
        <v>10.76</v>
      </c>
      <c r="V329" s="93">
        <v>0.95</v>
      </c>
      <c r="W329" s="97">
        <f t="shared" si="23"/>
        <v>11.709999999999999</v>
      </c>
    </row>
    <row r="330" spans="1:23" x14ac:dyDescent="0.25">
      <c r="A330" s="61" t="s">
        <v>423</v>
      </c>
      <c r="B330" s="91">
        <v>41672</v>
      </c>
      <c r="C330" s="92" t="s">
        <v>1700</v>
      </c>
      <c r="D330" s="92" t="s">
        <v>1316</v>
      </c>
      <c r="E330" s="92" t="s">
        <v>1199</v>
      </c>
      <c r="F330" s="92" t="s">
        <v>1254</v>
      </c>
      <c r="G330" s="92" t="s">
        <v>1201</v>
      </c>
      <c r="H330" s="92" t="s">
        <v>1255</v>
      </c>
      <c r="I330" s="92" t="s">
        <v>1248</v>
      </c>
      <c r="J330" s="92" t="s">
        <v>1515</v>
      </c>
      <c r="K330" s="92" t="s">
        <v>1243</v>
      </c>
      <c r="L330" s="92" t="s">
        <v>1260</v>
      </c>
      <c r="M330" s="92" t="s">
        <v>1241</v>
      </c>
      <c r="N330" s="91">
        <v>41677</v>
      </c>
      <c r="O330" s="93">
        <v>2.25</v>
      </c>
      <c r="P330" s="93">
        <v>3.69</v>
      </c>
      <c r="Q330" s="94">
        <v>20</v>
      </c>
      <c r="R330" s="93">
        <f t="shared" si="20"/>
        <v>73.8</v>
      </c>
      <c r="S330" s="95">
        <v>0.08</v>
      </c>
      <c r="T330" s="96">
        <f t="shared" si="21"/>
        <v>5.9039999999999999</v>
      </c>
      <c r="U330" s="96">
        <f t="shared" si="22"/>
        <v>73.72</v>
      </c>
      <c r="V330" s="93">
        <v>2.5</v>
      </c>
      <c r="W330" s="97">
        <f t="shared" si="23"/>
        <v>76.22</v>
      </c>
    </row>
    <row r="331" spans="1:23" x14ac:dyDescent="0.25">
      <c r="A331" s="61" t="s">
        <v>424</v>
      </c>
      <c r="B331" s="91">
        <v>41673</v>
      </c>
      <c r="C331" s="92" t="s">
        <v>1701</v>
      </c>
      <c r="D331" s="92" t="s">
        <v>1577</v>
      </c>
      <c r="E331" s="92" t="s">
        <v>1198</v>
      </c>
      <c r="F331" s="92" t="s">
        <v>1235</v>
      </c>
      <c r="G331" s="92" t="s">
        <v>1201</v>
      </c>
      <c r="H331" s="92" t="s">
        <v>1404</v>
      </c>
      <c r="I331" s="92" t="s">
        <v>1264</v>
      </c>
      <c r="J331" s="92" t="s">
        <v>1401</v>
      </c>
      <c r="K331" s="92" t="s">
        <v>1239</v>
      </c>
      <c r="L331" s="92" t="s">
        <v>1260</v>
      </c>
      <c r="M331" s="92" t="s">
        <v>1241</v>
      </c>
      <c r="N331" s="91">
        <v>41674</v>
      </c>
      <c r="O331" s="93">
        <v>54.52</v>
      </c>
      <c r="P331" s="93">
        <v>100.97</v>
      </c>
      <c r="Q331" s="94">
        <v>15</v>
      </c>
      <c r="R331" s="93">
        <f t="shared" si="20"/>
        <v>1514.55</v>
      </c>
      <c r="S331" s="95">
        <v>0.08</v>
      </c>
      <c r="T331" s="96">
        <f t="shared" si="21"/>
        <v>121.164</v>
      </c>
      <c r="U331" s="96">
        <f t="shared" si="22"/>
        <v>1514.47</v>
      </c>
      <c r="V331" s="93">
        <v>7.18</v>
      </c>
      <c r="W331" s="97">
        <f t="shared" si="23"/>
        <v>1521.65</v>
      </c>
    </row>
    <row r="332" spans="1:23" x14ac:dyDescent="0.25">
      <c r="A332" s="61" t="s">
        <v>425</v>
      </c>
      <c r="B332" s="91">
        <v>41675</v>
      </c>
      <c r="C332" s="92" t="s">
        <v>1652</v>
      </c>
      <c r="D332" s="92" t="s">
        <v>1653</v>
      </c>
      <c r="E332" s="92" t="s">
        <v>1198</v>
      </c>
      <c r="F332" s="92" t="s">
        <v>1235</v>
      </c>
      <c r="G332" s="92" t="s">
        <v>1201</v>
      </c>
      <c r="H332" s="92" t="s">
        <v>1313</v>
      </c>
      <c r="I332" s="92" t="s">
        <v>1237</v>
      </c>
      <c r="J332" s="92" t="s">
        <v>1318</v>
      </c>
      <c r="K332" s="92" t="s">
        <v>1239</v>
      </c>
      <c r="L332" s="92" t="s">
        <v>1319</v>
      </c>
      <c r="M332" s="92" t="s">
        <v>1320</v>
      </c>
      <c r="N332" s="91">
        <v>41676</v>
      </c>
      <c r="O332" s="93">
        <v>278.99</v>
      </c>
      <c r="P332" s="93">
        <v>449.99</v>
      </c>
      <c r="Q332" s="94">
        <v>39</v>
      </c>
      <c r="R332" s="93">
        <f t="shared" si="20"/>
        <v>17549.61</v>
      </c>
      <c r="S332" s="95">
        <v>0.08</v>
      </c>
      <c r="T332" s="96">
        <f t="shared" si="21"/>
        <v>1403.9688000000001</v>
      </c>
      <c r="U332" s="96">
        <f t="shared" si="22"/>
        <v>17549.53</v>
      </c>
      <c r="V332" s="93">
        <v>49</v>
      </c>
      <c r="W332" s="97">
        <f t="shared" si="23"/>
        <v>17598.53</v>
      </c>
    </row>
    <row r="333" spans="1:23" x14ac:dyDescent="0.25">
      <c r="A333" s="61" t="s">
        <v>426</v>
      </c>
      <c r="B333" s="91">
        <v>41679</v>
      </c>
      <c r="C333" s="92" t="s">
        <v>1702</v>
      </c>
      <c r="D333" s="92" t="s">
        <v>1370</v>
      </c>
      <c r="E333" s="92" t="s">
        <v>1198</v>
      </c>
      <c r="F333" s="92" t="s">
        <v>1235</v>
      </c>
      <c r="G333" s="92" t="s">
        <v>1200</v>
      </c>
      <c r="H333" s="92" t="s">
        <v>1236</v>
      </c>
      <c r="I333" s="92" t="s">
        <v>1248</v>
      </c>
      <c r="J333" s="92" t="s">
        <v>1300</v>
      </c>
      <c r="K333" s="92" t="s">
        <v>1243</v>
      </c>
      <c r="L333" s="92" t="s">
        <v>1260</v>
      </c>
      <c r="M333" s="92" t="s">
        <v>1241</v>
      </c>
      <c r="N333" s="91">
        <v>41683</v>
      </c>
      <c r="O333" s="93">
        <v>2.2599999999999998</v>
      </c>
      <c r="P333" s="93">
        <v>3.58</v>
      </c>
      <c r="Q333" s="94">
        <v>42</v>
      </c>
      <c r="R333" s="93">
        <f t="shared" si="20"/>
        <v>150.36000000000001</v>
      </c>
      <c r="S333" s="95">
        <v>0.01</v>
      </c>
      <c r="T333" s="96">
        <f t="shared" si="21"/>
        <v>1.5036000000000003</v>
      </c>
      <c r="U333" s="96">
        <f t="shared" si="22"/>
        <v>150.35000000000002</v>
      </c>
      <c r="V333" s="93">
        <v>5.47</v>
      </c>
      <c r="W333" s="97">
        <f t="shared" si="23"/>
        <v>155.82000000000002</v>
      </c>
    </row>
    <row r="334" spans="1:23" x14ac:dyDescent="0.25">
      <c r="A334" s="61" t="s">
        <v>427</v>
      </c>
      <c r="B334" s="91">
        <v>41680</v>
      </c>
      <c r="C334" s="92" t="s">
        <v>1703</v>
      </c>
      <c r="D334" s="92" t="s">
        <v>1376</v>
      </c>
      <c r="E334" s="92" t="s">
        <v>1199</v>
      </c>
      <c r="F334" s="92" t="s">
        <v>1254</v>
      </c>
      <c r="G334" s="92" t="s">
        <v>1201</v>
      </c>
      <c r="H334" s="92" t="s">
        <v>1255</v>
      </c>
      <c r="I334" s="92" t="s">
        <v>1264</v>
      </c>
      <c r="J334" s="92" t="s">
        <v>1257</v>
      </c>
      <c r="K334" s="92" t="s">
        <v>1239</v>
      </c>
      <c r="L334" s="92" t="s">
        <v>1258</v>
      </c>
      <c r="M334" s="92" t="s">
        <v>1241</v>
      </c>
      <c r="N334" s="91">
        <v>41681</v>
      </c>
      <c r="O334" s="93">
        <v>8.82</v>
      </c>
      <c r="P334" s="93">
        <v>20.99</v>
      </c>
      <c r="Q334" s="94">
        <v>42</v>
      </c>
      <c r="R334" s="93">
        <f t="shared" si="20"/>
        <v>881.57999999999993</v>
      </c>
      <c r="S334" s="95">
        <v>7.0000000000000007E-2</v>
      </c>
      <c r="T334" s="96">
        <f t="shared" si="21"/>
        <v>61.710599999999999</v>
      </c>
      <c r="U334" s="96">
        <f t="shared" si="22"/>
        <v>881.50999999999988</v>
      </c>
      <c r="V334" s="93">
        <v>4.8099999999999996</v>
      </c>
      <c r="W334" s="97">
        <f t="shared" si="23"/>
        <v>886.31999999999982</v>
      </c>
    </row>
    <row r="335" spans="1:23" x14ac:dyDescent="0.25">
      <c r="A335" s="61" t="s">
        <v>428</v>
      </c>
      <c r="B335" s="91">
        <v>41680</v>
      </c>
      <c r="C335" s="92" t="s">
        <v>1704</v>
      </c>
      <c r="D335" s="92" t="s">
        <v>1649</v>
      </c>
      <c r="E335" s="92" t="s">
        <v>1198</v>
      </c>
      <c r="F335" s="92" t="s">
        <v>1235</v>
      </c>
      <c r="G335" s="92" t="s">
        <v>1202</v>
      </c>
      <c r="H335" s="92" t="s">
        <v>1471</v>
      </c>
      <c r="I335" s="92" t="s">
        <v>1248</v>
      </c>
      <c r="J335" s="92" t="s">
        <v>1705</v>
      </c>
      <c r="K335" s="92" t="s">
        <v>1243</v>
      </c>
      <c r="L335" s="92" t="s">
        <v>1260</v>
      </c>
      <c r="M335" s="92" t="s">
        <v>1250</v>
      </c>
      <c r="N335" s="91">
        <v>41682</v>
      </c>
      <c r="O335" s="93">
        <v>52.07</v>
      </c>
      <c r="P335" s="93">
        <v>83.98</v>
      </c>
      <c r="Q335" s="94">
        <v>9</v>
      </c>
      <c r="R335" s="93">
        <f t="shared" si="20"/>
        <v>755.82</v>
      </c>
      <c r="S335" s="95">
        <v>0.05</v>
      </c>
      <c r="T335" s="96">
        <f t="shared" si="21"/>
        <v>37.791000000000004</v>
      </c>
      <c r="U335" s="96">
        <f t="shared" si="22"/>
        <v>755.7700000000001</v>
      </c>
      <c r="V335" s="93">
        <v>5.01</v>
      </c>
      <c r="W335" s="97">
        <f t="shared" si="23"/>
        <v>760.78000000000009</v>
      </c>
    </row>
    <row r="336" spans="1:23" x14ac:dyDescent="0.25">
      <c r="A336" s="61" t="s">
        <v>429</v>
      </c>
      <c r="B336" s="91">
        <v>41682</v>
      </c>
      <c r="C336" s="92" t="s">
        <v>1706</v>
      </c>
      <c r="D336" s="92" t="s">
        <v>1491</v>
      </c>
      <c r="E336" s="92" t="s">
        <v>1198</v>
      </c>
      <c r="F336" s="92" t="s">
        <v>1235</v>
      </c>
      <c r="G336" s="92" t="s">
        <v>1203</v>
      </c>
      <c r="H336" s="92" t="s">
        <v>1313</v>
      </c>
      <c r="I336" s="92" t="s">
        <v>1317</v>
      </c>
      <c r="J336" s="92" t="s">
        <v>1318</v>
      </c>
      <c r="K336" s="92" t="s">
        <v>1239</v>
      </c>
      <c r="L336" s="92" t="s">
        <v>1296</v>
      </c>
      <c r="M336" s="92" t="s">
        <v>1241</v>
      </c>
      <c r="N336" s="91">
        <v>41683</v>
      </c>
      <c r="O336" s="93">
        <v>216</v>
      </c>
      <c r="P336" s="93">
        <v>449.99</v>
      </c>
      <c r="Q336" s="94">
        <v>5</v>
      </c>
      <c r="R336" s="93">
        <f t="shared" si="20"/>
        <v>2249.9499999999998</v>
      </c>
      <c r="S336" s="95">
        <v>0.02</v>
      </c>
      <c r="T336" s="96">
        <f t="shared" si="21"/>
        <v>44.998999999999995</v>
      </c>
      <c r="U336" s="96">
        <f t="shared" si="22"/>
        <v>2249.9299999999998</v>
      </c>
      <c r="V336" s="93">
        <v>24.49</v>
      </c>
      <c r="W336" s="97">
        <f t="shared" si="23"/>
        <v>2274.4199999999996</v>
      </c>
    </row>
    <row r="337" spans="1:23" x14ac:dyDescent="0.25">
      <c r="A337" s="61" t="s">
        <v>430</v>
      </c>
      <c r="B337" s="91">
        <v>41683</v>
      </c>
      <c r="C337" s="92" t="s">
        <v>1537</v>
      </c>
      <c r="D337" s="92" t="s">
        <v>1408</v>
      </c>
      <c r="E337" s="92" t="s">
        <v>1198</v>
      </c>
      <c r="F337" s="92" t="s">
        <v>1235</v>
      </c>
      <c r="G337" s="92" t="s">
        <v>1202</v>
      </c>
      <c r="H337" s="92" t="s">
        <v>1409</v>
      </c>
      <c r="I337" s="92" t="s">
        <v>1317</v>
      </c>
      <c r="J337" s="92" t="s">
        <v>1342</v>
      </c>
      <c r="K337" s="92" t="s">
        <v>1243</v>
      </c>
      <c r="L337" s="92" t="s">
        <v>1244</v>
      </c>
      <c r="M337" s="92" t="s">
        <v>1241</v>
      </c>
      <c r="N337" s="91">
        <v>41683</v>
      </c>
      <c r="O337" s="93">
        <v>2.16</v>
      </c>
      <c r="P337" s="93">
        <v>3.85</v>
      </c>
      <c r="Q337" s="94">
        <v>31</v>
      </c>
      <c r="R337" s="93">
        <f t="shared" si="20"/>
        <v>119.35000000000001</v>
      </c>
      <c r="S337" s="95">
        <v>0.09</v>
      </c>
      <c r="T337" s="96">
        <f t="shared" si="21"/>
        <v>10.7415</v>
      </c>
      <c r="U337" s="96">
        <f t="shared" si="22"/>
        <v>119.26</v>
      </c>
      <c r="V337" s="93">
        <v>0.7</v>
      </c>
      <c r="W337" s="97">
        <f t="shared" si="23"/>
        <v>119.96000000000001</v>
      </c>
    </row>
    <row r="338" spans="1:23" x14ac:dyDescent="0.25">
      <c r="A338" s="61" t="s">
        <v>431</v>
      </c>
      <c r="B338" s="91">
        <v>41685</v>
      </c>
      <c r="C338" s="92" t="s">
        <v>1339</v>
      </c>
      <c r="D338" s="92" t="s">
        <v>1340</v>
      </c>
      <c r="E338" s="92" t="s">
        <v>1199</v>
      </c>
      <c r="F338" s="92" t="s">
        <v>1254</v>
      </c>
      <c r="G338" s="92" t="s">
        <v>1203</v>
      </c>
      <c r="H338" s="92" t="s">
        <v>1255</v>
      </c>
      <c r="I338" s="92" t="s">
        <v>1237</v>
      </c>
      <c r="J338" s="92" t="s">
        <v>1707</v>
      </c>
      <c r="K338" s="92" t="s">
        <v>1243</v>
      </c>
      <c r="L338" s="92" t="s">
        <v>1244</v>
      </c>
      <c r="M338" s="92" t="s">
        <v>1241</v>
      </c>
      <c r="N338" s="91">
        <v>41686</v>
      </c>
      <c r="O338" s="93">
        <v>1.1499999999999999</v>
      </c>
      <c r="P338" s="93">
        <v>2.67</v>
      </c>
      <c r="Q338" s="94">
        <v>19</v>
      </c>
      <c r="R338" s="93">
        <f t="shared" si="20"/>
        <v>50.73</v>
      </c>
      <c r="S338" s="95">
        <v>0.03</v>
      </c>
      <c r="T338" s="96">
        <f t="shared" si="21"/>
        <v>1.5218999999999998</v>
      </c>
      <c r="U338" s="96">
        <f t="shared" si="22"/>
        <v>50.699999999999996</v>
      </c>
      <c r="V338" s="93">
        <v>0.86</v>
      </c>
      <c r="W338" s="97">
        <f t="shared" si="23"/>
        <v>51.559999999999995</v>
      </c>
    </row>
    <row r="339" spans="1:23" x14ac:dyDescent="0.25">
      <c r="A339" s="61" t="s">
        <v>432</v>
      </c>
      <c r="B339" s="91">
        <v>41685</v>
      </c>
      <c r="C339" s="92" t="s">
        <v>1708</v>
      </c>
      <c r="D339" s="92" t="s">
        <v>1395</v>
      </c>
      <c r="E339" s="92" t="s">
        <v>1198</v>
      </c>
      <c r="F339" s="92" t="s">
        <v>1235</v>
      </c>
      <c r="G339" s="92" t="s">
        <v>1200</v>
      </c>
      <c r="H339" s="92" t="s">
        <v>1236</v>
      </c>
      <c r="I339" s="92" t="s">
        <v>1248</v>
      </c>
      <c r="J339" s="92" t="s">
        <v>1709</v>
      </c>
      <c r="K339" s="92" t="s">
        <v>1243</v>
      </c>
      <c r="L339" s="92" t="s">
        <v>1244</v>
      </c>
      <c r="M339" s="92" t="s">
        <v>1250</v>
      </c>
      <c r="N339" s="91">
        <v>41690</v>
      </c>
      <c r="O339" s="93">
        <v>1.57</v>
      </c>
      <c r="P339" s="93">
        <v>3.28</v>
      </c>
      <c r="Q339" s="94">
        <v>44</v>
      </c>
      <c r="R339" s="93">
        <f t="shared" si="20"/>
        <v>144.32</v>
      </c>
      <c r="S339" s="95">
        <v>0</v>
      </c>
      <c r="T339" s="96">
        <f t="shared" si="21"/>
        <v>0</v>
      </c>
      <c r="U339" s="96">
        <f t="shared" si="22"/>
        <v>144.32</v>
      </c>
      <c r="V339" s="93">
        <v>0.98</v>
      </c>
      <c r="W339" s="97">
        <f t="shared" si="23"/>
        <v>145.29999999999998</v>
      </c>
    </row>
    <row r="340" spans="1:23" x14ac:dyDescent="0.25">
      <c r="A340" s="61" t="s">
        <v>433</v>
      </c>
      <c r="B340" s="91">
        <v>41686</v>
      </c>
      <c r="C340" s="92" t="s">
        <v>1710</v>
      </c>
      <c r="D340" s="92" t="s">
        <v>1430</v>
      </c>
      <c r="E340" s="92" t="s">
        <v>1199</v>
      </c>
      <c r="F340" s="92" t="s">
        <v>1254</v>
      </c>
      <c r="G340" s="92" t="s">
        <v>1200</v>
      </c>
      <c r="H340" s="92" t="s">
        <v>1274</v>
      </c>
      <c r="I340" s="92" t="s">
        <v>1317</v>
      </c>
      <c r="J340" s="92" t="s">
        <v>1257</v>
      </c>
      <c r="K340" s="92" t="s">
        <v>1239</v>
      </c>
      <c r="L340" s="92" t="s">
        <v>1258</v>
      </c>
      <c r="M340" s="92" t="s">
        <v>1241</v>
      </c>
      <c r="N340" s="91">
        <v>41688</v>
      </c>
      <c r="O340" s="93">
        <v>8.82</v>
      </c>
      <c r="P340" s="93">
        <v>20.99</v>
      </c>
      <c r="Q340" s="94">
        <v>24</v>
      </c>
      <c r="R340" s="93">
        <f t="shared" si="20"/>
        <v>503.76</v>
      </c>
      <c r="S340" s="95">
        <v>0.01</v>
      </c>
      <c r="T340" s="96">
        <f t="shared" si="21"/>
        <v>5.0376000000000003</v>
      </c>
      <c r="U340" s="96">
        <f t="shared" si="22"/>
        <v>503.75</v>
      </c>
      <c r="V340" s="93">
        <v>4.8099999999999996</v>
      </c>
      <c r="W340" s="97">
        <f t="shared" si="23"/>
        <v>508.56</v>
      </c>
    </row>
    <row r="341" spans="1:23" x14ac:dyDescent="0.25">
      <c r="A341" s="61" t="s">
        <v>434</v>
      </c>
      <c r="B341" s="91">
        <v>41692</v>
      </c>
      <c r="C341" s="92" t="s">
        <v>1633</v>
      </c>
      <c r="D341" s="92" t="s">
        <v>1451</v>
      </c>
      <c r="E341" s="92" t="s">
        <v>1198</v>
      </c>
      <c r="F341" s="92" t="s">
        <v>1235</v>
      </c>
      <c r="G341" s="92" t="s">
        <v>1200</v>
      </c>
      <c r="H341" s="92" t="s">
        <v>1291</v>
      </c>
      <c r="I341" s="92" t="s">
        <v>1264</v>
      </c>
      <c r="J341" s="92" t="s">
        <v>1348</v>
      </c>
      <c r="K341" s="92" t="s">
        <v>1243</v>
      </c>
      <c r="L341" s="92" t="s">
        <v>1240</v>
      </c>
      <c r="M341" s="92" t="s">
        <v>1241</v>
      </c>
      <c r="N341" s="91">
        <v>41693</v>
      </c>
      <c r="O341" s="93">
        <v>4.1900000000000004</v>
      </c>
      <c r="P341" s="93">
        <v>10.23</v>
      </c>
      <c r="Q341" s="94">
        <v>9</v>
      </c>
      <c r="R341" s="93">
        <f t="shared" si="20"/>
        <v>92.070000000000007</v>
      </c>
      <c r="S341" s="95">
        <v>7.0000000000000007E-2</v>
      </c>
      <c r="T341" s="96">
        <f t="shared" si="21"/>
        <v>6.4449000000000014</v>
      </c>
      <c r="U341" s="96">
        <f t="shared" si="22"/>
        <v>92.000000000000014</v>
      </c>
      <c r="V341" s="93">
        <v>4.68</v>
      </c>
      <c r="W341" s="97">
        <f t="shared" si="23"/>
        <v>96.68</v>
      </c>
    </row>
    <row r="342" spans="1:23" x14ac:dyDescent="0.25">
      <c r="A342" s="61" t="s">
        <v>435</v>
      </c>
      <c r="B342" s="91">
        <v>41692</v>
      </c>
      <c r="C342" s="92" t="s">
        <v>1711</v>
      </c>
      <c r="D342" s="92" t="s">
        <v>1581</v>
      </c>
      <c r="E342" s="92" t="s">
        <v>1199</v>
      </c>
      <c r="F342" s="92" t="s">
        <v>1254</v>
      </c>
      <c r="G342" s="92" t="s">
        <v>1202</v>
      </c>
      <c r="H342" s="92" t="s">
        <v>1274</v>
      </c>
      <c r="I342" s="92" t="s">
        <v>1317</v>
      </c>
      <c r="J342" s="92" t="s">
        <v>1328</v>
      </c>
      <c r="K342" s="92" t="s">
        <v>1243</v>
      </c>
      <c r="L342" s="92" t="s">
        <v>1244</v>
      </c>
      <c r="M342" s="92" t="s">
        <v>1241</v>
      </c>
      <c r="N342" s="91">
        <v>41693</v>
      </c>
      <c r="O342" s="93">
        <v>0.93</v>
      </c>
      <c r="P342" s="93">
        <v>1.48</v>
      </c>
      <c r="Q342" s="94">
        <v>46</v>
      </c>
      <c r="R342" s="93">
        <f t="shared" si="20"/>
        <v>68.08</v>
      </c>
      <c r="S342" s="95">
        <v>0</v>
      </c>
      <c r="T342" s="96">
        <f t="shared" si="21"/>
        <v>0</v>
      </c>
      <c r="U342" s="96">
        <f t="shared" si="22"/>
        <v>68.08</v>
      </c>
      <c r="V342" s="93">
        <v>0.7</v>
      </c>
      <c r="W342" s="97">
        <f t="shared" si="23"/>
        <v>68.78</v>
      </c>
    </row>
    <row r="343" spans="1:23" x14ac:dyDescent="0.25">
      <c r="A343" s="61" t="s">
        <v>436</v>
      </c>
      <c r="B343" s="91">
        <v>41692</v>
      </c>
      <c r="C343" s="92" t="s">
        <v>1612</v>
      </c>
      <c r="D343" s="92" t="s">
        <v>1613</v>
      </c>
      <c r="E343" s="92" t="s">
        <v>1198</v>
      </c>
      <c r="F343" s="92" t="s">
        <v>1235</v>
      </c>
      <c r="G343" s="92" t="s">
        <v>1200</v>
      </c>
      <c r="H343" s="92" t="s">
        <v>1313</v>
      </c>
      <c r="I343" s="92" t="s">
        <v>1317</v>
      </c>
      <c r="J343" s="92" t="s">
        <v>1558</v>
      </c>
      <c r="K343" s="92" t="s">
        <v>1243</v>
      </c>
      <c r="L343" s="92" t="s">
        <v>1260</v>
      </c>
      <c r="M343" s="92" t="s">
        <v>1241</v>
      </c>
      <c r="N343" s="91">
        <v>41693</v>
      </c>
      <c r="O343" s="93">
        <v>21.56</v>
      </c>
      <c r="P343" s="93">
        <v>35.94</v>
      </c>
      <c r="Q343" s="94">
        <v>13</v>
      </c>
      <c r="R343" s="93">
        <f t="shared" si="20"/>
        <v>467.21999999999997</v>
      </c>
      <c r="S343" s="95">
        <v>0.03</v>
      </c>
      <c r="T343" s="96">
        <f t="shared" si="21"/>
        <v>14.016599999999999</v>
      </c>
      <c r="U343" s="96">
        <f t="shared" si="22"/>
        <v>467.19</v>
      </c>
      <c r="V343" s="93">
        <v>6.66</v>
      </c>
      <c r="W343" s="97">
        <f t="shared" si="23"/>
        <v>473.85</v>
      </c>
    </row>
    <row r="344" spans="1:23" x14ac:dyDescent="0.25">
      <c r="A344" s="61" t="s">
        <v>437</v>
      </c>
      <c r="B344" s="91">
        <v>41693</v>
      </c>
      <c r="C344" s="92" t="s">
        <v>1712</v>
      </c>
      <c r="D344" s="92" t="s">
        <v>1281</v>
      </c>
      <c r="E344" s="92" t="s">
        <v>1199</v>
      </c>
      <c r="F344" s="92" t="s">
        <v>1254</v>
      </c>
      <c r="G344" s="92" t="s">
        <v>1201</v>
      </c>
      <c r="H344" s="92" t="s">
        <v>1274</v>
      </c>
      <c r="I344" s="92" t="s">
        <v>1237</v>
      </c>
      <c r="J344" s="92" t="s">
        <v>1353</v>
      </c>
      <c r="K344" s="92" t="s">
        <v>1239</v>
      </c>
      <c r="L344" s="92" t="s">
        <v>1260</v>
      </c>
      <c r="M344" s="92" t="s">
        <v>1241</v>
      </c>
      <c r="N344" s="91">
        <v>41696</v>
      </c>
      <c r="O344" s="93">
        <v>42.11</v>
      </c>
      <c r="P344" s="93">
        <v>80.98</v>
      </c>
      <c r="Q344" s="94">
        <v>45</v>
      </c>
      <c r="R344" s="93">
        <f t="shared" si="20"/>
        <v>3644.1000000000004</v>
      </c>
      <c r="S344" s="95">
        <v>0</v>
      </c>
      <c r="T344" s="96">
        <f t="shared" si="21"/>
        <v>0</v>
      </c>
      <c r="U344" s="96">
        <f t="shared" si="22"/>
        <v>3644.1000000000004</v>
      </c>
      <c r="V344" s="93">
        <v>7.18</v>
      </c>
      <c r="W344" s="97">
        <f t="shared" si="23"/>
        <v>3651.28</v>
      </c>
    </row>
    <row r="345" spans="1:23" x14ac:dyDescent="0.25">
      <c r="A345" s="61" t="s">
        <v>438</v>
      </c>
      <c r="B345" s="91">
        <v>41694</v>
      </c>
      <c r="C345" s="92" t="s">
        <v>1713</v>
      </c>
      <c r="D345" s="92" t="s">
        <v>1714</v>
      </c>
      <c r="E345" s="92" t="s">
        <v>1198</v>
      </c>
      <c r="F345" s="92" t="s">
        <v>1235</v>
      </c>
      <c r="G345" s="92" t="s">
        <v>1201</v>
      </c>
      <c r="H345" s="92" t="s">
        <v>1313</v>
      </c>
      <c r="I345" s="92" t="s">
        <v>1264</v>
      </c>
      <c r="J345" s="92" t="s">
        <v>1560</v>
      </c>
      <c r="K345" s="92" t="s">
        <v>1243</v>
      </c>
      <c r="L345" s="92" t="s">
        <v>1260</v>
      </c>
      <c r="M345" s="92" t="s">
        <v>1241</v>
      </c>
      <c r="N345" s="91">
        <v>41695</v>
      </c>
      <c r="O345" s="93">
        <v>2.74</v>
      </c>
      <c r="P345" s="93">
        <v>4.49</v>
      </c>
      <c r="Q345" s="94">
        <v>6</v>
      </c>
      <c r="R345" s="93">
        <f t="shared" si="20"/>
        <v>26.94</v>
      </c>
      <c r="S345" s="95">
        <v>0.03</v>
      </c>
      <c r="T345" s="96">
        <f t="shared" si="21"/>
        <v>0.80820000000000003</v>
      </c>
      <c r="U345" s="96">
        <f t="shared" si="22"/>
        <v>26.91</v>
      </c>
      <c r="V345" s="93">
        <v>1.49</v>
      </c>
      <c r="W345" s="97">
        <f t="shared" si="23"/>
        <v>28.4</v>
      </c>
    </row>
    <row r="346" spans="1:23" x14ac:dyDescent="0.25">
      <c r="A346" s="61" t="s">
        <v>439</v>
      </c>
      <c r="B346" s="91">
        <v>41694</v>
      </c>
      <c r="C346" s="92" t="s">
        <v>1715</v>
      </c>
      <c r="D346" s="92" t="s">
        <v>1454</v>
      </c>
      <c r="E346" s="92" t="s">
        <v>1198</v>
      </c>
      <c r="F346" s="92" t="s">
        <v>1235</v>
      </c>
      <c r="G346" s="92" t="s">
        <v>1201</v>
      </c>
      <c r="H346" s="92" t="s">
        <v>1304</v>
      </c>
      <c r="I346" s="92" t="s">
        <v>1256</v>
      </c>
      <c r="J346" s="92" t="s">
        <v>1321</v>
      </c>
      <c r="K346" s="92" t="s">
        <v>1243</v>
      </c>
      <c r="L346" s="92" t="s">
        <v>1244</v>
      </c>
      <c r="M346" s="92" t="s">
        <v>1241</v>
      </c>
      <c r="N346" s="91">
        <v>41696</v>
      </c>
      <c r="O346" s="93">
        <v>2.52</v>
      </c>
      <c r="P346" s="93">
        <v>4</v>
      </c>
      <c r="Q346" s="94">
        <v>33</v>
      </c>
      <c r="R346" s="93">
        <f t="shared" si="20"/>
        <v>132</v>
      </c>
      <c r="S346" s="95">
        <v>0.08</v>
      </c>
      <c r="T346" s="96">
        <f t="shared" si="21"/>
        <v>10.56</v>
      </c>
      <c r="U346" s="96">
        <f t="shared" si="22"/>
        <v>131.91999999999999</v>
      </c>
      <c r="V346" s="93">
        <v>1.3</v>
      </c>
      <c r="W346" s="97">
        <f t="shared" si="23"/>
        <v>133.22</v>
      </c>
    </row>
    <row r="347" spans="1:23" x14ac:dyDescent="0.25">
      <c r="A347" s="61" t="s">
        <v>440</v>
      </c>
      <c r="B347" s="91">
        <v>41695</v>
      </c>
      <c r="C347" s="92" t="s">
        <v>1716</v>
      </c>
      <c r="D347" s="92" t="s">
        <v>1326</v>
      </c>
      <c r="E347" s="92" t="s">
        <v>1199</v>
      </c>
      <c r="F347" s="92" t="s">
        <v>1254</v>
      </c>
      <c r="G347" s="92" t="s">
        <v>1201</v>
      </c>
      <c r="H347" s="92" t="s">
        <v>1255</v>
      </c>
      <c r="I347" s="92" t="s">
        <v>1256</v>
      </c>
      <c r="J347" s="92" t="s">
        <v>1709</v>
      </c>
      <c r="K347" s="92" t="s">
        <v>1243</v>
      </c>
      <c r="L347" s="92" t="s">
        <v>1244</v>
      </c>
      <c r="M347" s="92" t="s">
        <v>1241</v>
      </c>
      <c r="N347" s="91">
        <v>41696</v>
      </c>
      <c r="O347" s="93">
        <v>1.57</v>
      </c>
      <c r="P347" s="93">
        <v>3.28</v>
      </c>
      <c r="Q347" s="94">
        <v>26</v>
      </c>
      <c r="R347" s="93">
        <f t="shared" si="20"/>
        <v>85.28</v>
      </c>
      <c r="S347" s="95">
        <v>0.08</v>
      </c>
      <c r="T347" s="96">
        <f t="shared" si="21"/>
        <v>6.8224</v>
      </c>
      <c r="U347" s="96">
        <f t="shared" si="22"/>
        <v>85.2</v>
      </c>
      <c r="V347" s="93">
        <v>0.98</v>
      </c>
      <c r="W347" s="97">
        <f t="shared" si="23"/>
        <v>86.18</v>
      </c>
    </row>
    <row r="348" spans="1:23" x14ac:dyDescent="0.25">
      <c r="A348" s="61" t="s">
        <v>441</v>
      </c>
      <c r="B348" s="91">
        <v>41695</v>
      </c>
      <c r="C348" s="92" t="s">
        <v>1668</v>
      </c>
      <c r="D348" s="92" t="s">
        <v>1482</v>
      </c>
      <c r="E348" s="92" t="s">
        <v>1198</v>
      </c>
      <c r="F348" s="92" t="s">
        <v>1235</v>
      </c>
      <c r="G348" s="92" t="s">
        <v>1203</v>
      </c>
      <c r="H348" s="92" t="s">
        <v>1471</v>
      </c>
      <c r="I348" s="92" t="s">
        <v>1264</v>
      </c>
      <c r="J348" s="92" t="s">
        <v>1242</v>
      </c>
      <c r="K348" s="92" t="s">
        <v>1243</v>
      </c>
      <c r="L348" s="92" t="s">
        <v>1244</v>
      </c>
      <c r="M348" s="92" t="s">
        <v>1241</v>
      </c>
      <c r="N348" s="91">
        <v>41697</v>
      </c>
      <c r="O348" s="93">
        <v>3.47</v>
      </c>
      <c r="P348" s="93">
        <v>6.68</v>
      </c>
      <c r="Q348" s="94">
        <v>33</v>
      </c>
      <c r="R348" s="93">
        <f t="shared" si="20"/>
        <v>220.44</v>
      </c>
      <c r="S348" s="95">
        <v>0.03</v>
      </c>
      <c r="T348" s="96">
        <f t="shared" si="21"/>
        <v>6.6132</v>
      </c>
      <c r="U348" s="96">
        <f t="shared" si="22"/>
        <v>220.41</v>
      </c>
      <c r="V348" s="93">
        <v>1.5</v>
      </c>
      <c r="W348" s="97">
        <f t="shared" si="23"/>
        <v>221.91</v>
      </c>
    </row>
    <row r="349" spans="1:23" x14ac:dyDescent="0.25">
      <c r="A349" s="61" t="s">
        <v>442</v>
      </c>
      <c r="B349" s="91">
        <v>41698</v>
      </c>
      <c r="C349" s="92" t="s">
        <v>1717</v>
      </c>
      <c r="D349" s="92" t="s">
        <v>1234</v>
      </c>
      <c r="E349" s="92" t="s">
        <v>1198</v>
      </c>
      <c r="F349" s="92" t="s">
        <v>1235</v>
      </c>
      <c r="G349" s="92" t="s">
        <v>1201</v>
      </c>
      <c r="H349" s="92" t="s">
        <v>1236</v>
      </c>
      <c r="I349" s="92" t="s">
        <v>1237</v>
      </c>
      <c r="J349" s="92" t="s">
        <v>1416</v>
      </c>
      <c r="K349" s="92" t="s">
        <v>1243</v>
      </c>
      <c r="L349" s="92" t="s">
        <v>1244</v>
      </c>
      <c r="M349" s="92" t="s">
        <v>1241</v>
      </c>
      <c r="N349" s="91">
        <v>41699</v>
      </c>
      <c r="O349" s="93">
        <v>0.9</v>
      </c>
      <c r="P349" s="93">
        <v>2.1</v>
      </c>
      <c r="Q349" s="94">
        <v>21</v>
      </c>
      <c r="R349" s="93">
        <f t="shared" si="20"/>
        <v>44.1</v>
      </c>
      <c r="S349" s="95">
        <v>0.04</v>
      </c>
      <c r="T349" s="96">
        <f t="shared" si="21"/>
        <v>1.764</v>
      </c>
      <c r="U349" s="96">
        <f t="shared" si="22"/>
        <v>44.06</v>
      </c>
      <c r="V349" s="93">
        <v>0.7</v>
      </c>
      <c r="W349" s="97">
        <f t="shared" si="23"/>
        <v>44.760000000000005</v>
      </c>
    </row>
    <row r="350" spans="1:23" x14ac:dyDescent="0.25">
      <c r="A350" s="61" t="s">
        <v>443</v>
      </c>
      <c r="B350" s="91">
        <v>41700</v>
      </c>
      <c r="C350" s="92" t="s">
        <v>1389</v>
      </c>
      <c r="D350" s="92" t="s">
        <v>1390</v>
      </c>
      <c r="E350" s="92" t="s">
        <v>1198</v>
      </c>
      <c r="F350" s="92" t="s">
        <v>1235</v>
      </c>
      <c r="G350" s="92" t="s">
        <v>1203</v>
      </c>
      <c r="H350" s="92" t="s">
        <v>1247</v>
      </c>
      <c r="I350" s="92" t="s">
        <v>1237</v>
      </c>
      <c r="J350" s="92" t="s">
        <v>1586</v>
      </c>
      <c r="K350" s="92" t="s">
        <v>1243</v>
      </c>
      <c r="L350" s="92" t="s">
        <v>1260</v>
      </c>
      <c r="M350" s="92" t="s">
        <v>1241</v>
      </c>
      <c r="N350" s="91">
        <v>41701</v>
      </c>
      <c r="O350" s="93">
        <v>18.38</v>
      </c>
      <c r="P350" s="93">
        <v>29.17</v>
      </c>
      <c r="Q350" s="94">
        <v>1</v>
      </c>
      <c r="R350" s="93">
        <f t="shared" si="20"/>
        <v>29.17</v>
      </c>
      <c r="S350" s="95">
        <v>0.02</v>
      </c>
      <c r="T350" s="96">
        <f t="shared" si="21"/>
        <v>0.58340000000000003</v>
      </c>
      <c r="U350" s="96">
        <f t="shared" si="22"/>
        <v>29.150000000000002</v>
      </c>
      <c r="V350" s="93">
        <v>6.27</v>
      </c>
      <c r="W350" s="97">
        <f t="shared" si="23"/>
        <v>35.42</v>
      </c>
    </row>
    <row r="351" spans="1:23" x14ac:dyDescent="0.25">
      <c r="A351" s="61" t="s">
        <v>444</v>
      </c>
      <c r="B351" s="91">
        <v>41704</v>
      </c>
      <c r="C351" s="92" t="s">
        <v>1718</v>
      </c>
      <c r="D351" s="92" t="s">
        <v>1330</v>
      </c>
      <c r="E351" s="92" t="s">
        <v>1199</v>
      </c>
      <c r="F351" s="92" t="s">
        <v>1254</v>
      </c>
      <c r="G351" s="92" t="s">
        <v>1201</v>
      </c>
      <c r="H351" s="92" t="s">
        <v>1255</v>
      </c>
      <c r="I351" s="92" t="s">
        <v>1264</v>
      </c>
      <c r="J351" s="92" t="s">
        <v>1384</v>
      </c>
      <c r="K351" s="92" t="s">
        <v>1243</v>
      </c>
      <c r="L351" s="92" t="s">
        <v>1260</v>
      </c>
      <c r="M351" s="92" t="s">
        <v>1241</v>
      </c>
      <c r="N351" s="91">
        <v>41705</v>
      </c>
      <c r="O351" s="93">
        <v>4.46</v>
      </c>
      <c r="P351" s="93">
        <v>10.89</v>
      </c>
      <c r="Q351" s="94">
        <v>32</v>
      </c>
      <c r="R351" s="93">
        <f t="shared" si="20"/>
        <v>348.48</v>
      </c>
      <c r="S351" s="95">
        <v>0.1</v>
      </c>
      <c r="T351" s="96">
        <f t="shared" si="21"/>
        <v>34.848000000000006</v>
      </c>
      <c r="U351" s="96">
        <f t="shared" si="22"/>
        <v>348.38</v>
      </c>
      <c r="V351" s="93">
        <v>4.5</v>
      </c>
      <c r="W351" s="97">
        <f t="shared" si="23"/>
        <v>352.88</v>
      </c>
    </row>
    <row r="352" spans="1:23" x14ac:dyDescent="0.25">
      <c r="A352" s="61" t="s">
        <v>445</v>
      </c>
      <c r="B352" s="91">
        <v>41708</v>
      </c>
      <c r="C352" s="92" t="s">
        <v>1719</v>
      </c>
      <c r="D352" s="92" t="s">
        <v>1390</v>
      </c>
      <c r="E352" s="92" t="s">
        <v>1198</v>
      </c>
      <c r="F352" s="92" t="s">
        <v>1235</v>
      </c>
      <c r="G352" s="92" t="s">
        <v>1200</v>
      </c>
      <c r="H352" s="92" t="s">
        <v>1247</v>
      </c>
      <c r="I352" s="92" t="s">
        <v>1256</v>
      </c>
      <c r="J352" s="92" t="s">
        <v>1575</v>
      </c>
      <c r="K352" s="92" t="s">
        <v>1243</v>
      </c>
      <c r="L352" s="92" t="s">
        <v>1260</v>
      </c>
      <c r="M352" s="92" t="s">
        <v>1241</v>
      </c>
      <c r="N352" s="91">
        <v>41709</v>
      </c>
      <c r="O352" s="93">
        <v>1.94</v>
      </c>
      <c r="P352" s="93">
        <v>3.08</v>
      </c>
      <c r="Q352" s="94">
        <v>1</v>
      </c>
      <c r="R352" s="93">
        <f t="shared" si="20"/>
        <v>3.08</v>
      </c>
      <c r="S352" s="95">
        <v>0.08</v>
      </c>
      <c r="T352" s="96">
        <f t="shared" si="21"/>
        <v>0.24640000000000001</v>
      </c>
      <c r="U352" s="96">
        <f t="shared" si="22"/>
        <v>3</v>
      </c>
      <c r="V352" s="93">
        <v>0.99</v>
      </c>
      <c r="W352" s="97">
        <f t="shared" si="23"/>
        <v>3.99</v>
      </c>
    </row>
    <row r="353" spans="1:23" x14ac:dyDescent="0.25">
      <c r="A353" s="61" t="s">
        <v>446</v>
      </c>
      <c r="B353" s="91">
        <v>41709</v>
      </c>
      <c r="C353" s="92" t="s">
        <v>1518</v>
      </c>
      <c r="D353" s="92" t="s">
        <v>1519</v>
      </c>
      <c r="E353" s="92" t="s">
        <v>1198</v>
      </c>
      <c r="F353" s="92" t="s">
        <v>1235</v>
      </c>
      <c r="G353" s="92" t="s">
        <v>1200</v>
      </c>
      <c r="H353" s="92" t="s">
        <v>1404</v>
      </c>
      <c r="I353" s="92" t="s">
        <v>1237</v>
      </c>
      <c r="J353" s="92" t="s">
        <v>1720</v>
      </c>
      <c r="K353" s="92" t="s">
        <v>1243</v>
      </c>
      <c r="L353" s="92" t="s">
        <v>1260</v>
      </c>
      <c r="M353" s="92" t="s">
        <v>1241</v>
      </c>
      <c r="N353" s="91">
        <v>41710</v>
      </c>
      <c r="O353" s="93">
        <v>52.04</v>
      </c>
      <c r="P353" s="93">
        <v>83.93</v>
      </c>
      <c r="Q353" s="94">
        <v>50</v>
      </c>
      <c r="R353" s="93">
        <f t="shared" si="20"/>
        <v>4196.5</v>
      </c>
      <c r="S353" s="95">
        <v>0.1</v>
      </c>
      <c r="T353" s="96">
        <f t="shared" si="21"/>
        <v>419.65000000000003</v>
      </c>
      <c r="U353" s="96">
        <f t="shared" si="22"/>
        <v>4196.3999999999996</v>
      </c>
      <c r="V353" s="93">
        <v>19.989999999999998</v>
      </c>
      <c r="W353" s="97">
        <f t="shared" si="23"/>
        <v>4216.3899999999994</v>
      </c>
    </row>
    <row r="354" spans="1:23" x14ac:dyDescent="0.25">
      <c r="A354" s="61" t="s">
        <v>447</v>
      </c>
      <c r="B354" s="91">
        <v>41710</v>
      </c>
      <c r="C354" s="92" t="s">
        <v>1371</v>
      </c>
      <c r="D354" s="92" t="s">
        <v>1372</v>
      </c>
      <c r="E354" s="92" t="s">
        <v>1198</v>
      </c>
      <c r="F354" s="92" t="s">
        <v>1235</v>
      </c>
      <c r="G354" s="92" t="s">
        <v>1203</v>
      </c>
      <c r="H354" s="92" t="s">
        <v>1313</v>
      </c>
      <c r="I354" s="92" t="s">
        <v>1317</v>
      </c>
      <c r="J354" s="92" t="s">
        <v>1522</v>
      </c>
      <c r="K354" s="92" t="s">
        <v>1239</v>
      </c>
      <c r="L354" s="92" t="s">
        <v>1260</v>
      </c>
      <c r="M354" s="92" t="s">
        <v>1250</v>
      </c>
      <c r="N354" s="91">
        <v>41711</v>
      </c>
      <c r="O354" s="93">
        <v>60.59</v>
      </c>
      <c r="P354" s="93">
        <v>100.98</v>
      </c>
      <c r="Q354" s="94">
        <v>5</v>
      </c>
      <c r="R354" s="93">
        <f t="shared" si="20"/>
        <v>504.90000000000003</v>
      </c>
      <c r="S354" s="95">
        <v>0.02</v>
      </c>
      <c r="T354" s="96">
        <f t="shared" si="21"/>
        <v>10.098000000000001</v>
      </c>
      <c r="U354" s="96">
        <f t="shared" si="22"/>
        <v>504.88000000000005</v>
      </c>
      <c r="V354" s="93">
        <v>7.18</v>
      </c>
      <c r="W354" s="97">
        <f t="shared" si="23"/>
        <v>512.06000000000006</v>
      </c>
    </row>
    <row r="355" spans="1:23" x14ac:dyDescent="0.25">
      <c r="A355" s="61" t="s">
        <v>448</v>
      </c>
      <c r="B355" s="91">
        <v>41711</v>
      </c>
      <c r="C355" s="92" t="s">
        <v>1703</v>
      </c>
      <c r="D355" s="92" t="s">
        <v>1376</v>
      </c>
      <c r="E355" s="92" t="s">
        <v>1199</v>
      </c>
      <c r="F355" s="92" t="s">
        <v>1254</v>
      </c>
      <c r="G355" s="92" t="s">
        <v>1200</v>
      </c>
      <c r="H355" s="92" t="s">
        <v>1255</v>
      </c>
      <c r="I355" s="92" t="s">
        <v>1248</v>
      </c>
      <c r="J355" s="92" t="s">
        <v>1499</v>
      </c>
      <c r="K355" s="92" t="s">
        <v>1243</v>
      </c>
      <c r="L355" s="92" t="s">
        <v>1244</v>
      </c>
      <c r="M355" s="92" t="s">
        <v>1241</v>
      </c>
      <c r="N355" s="91">
        <v>41711</v>
      </c>
      <c r="O355" s="93">
        <v>3.75</v>
      </c>
      <c r="P355" s="93">
        <v>7.08</v>
      </c>
      <c r="Q355" s="94">
        <v>34</v>
      </c>
      <c r="R355" s="93">
        <f t="shared" si="20"/>
        <v>240.72</v>
      </c>
      <c r="S355" s="95">
        <v>0.03</v>
      </c>
      <c r="T355" s="96">
        <f t="shared" si="21"/>
        <v>7.2215999999999996</v>
      </c>
      <c r="U355" s="96">
        <f t="shared" si="22"/>
        <v>240.69</v>
      </c>
      <c r="V355" s="93">
        <v>2.35</v>
      </c>
      <c r="W355" s="97">
        <f t="shared" si="23"/>
        <v>243.04</v>
      </c>
    </row>
    <row r="356" spans="1:23" x14ac:dyDescent="0.25">
      <c r="A356" s="61" t="s">
        <v>449</v>
      </c>
      <c r="B356" s="91">
        <v>41713</v>
      </c>
      <c r="C356" s="92" t="s">
        <v>1424</v>
      </c>
      <c r="D356" s="92" t="s">
        <v>1425</v>
      </c>
      <c r="E356" s="92" t="s">
        <v>1198</v>
      </c>
      <c r="F356" s="92" t="s">
        <v>1235</v>
      </c>
      <c r="G356" s="92" t="s">
        <v>1201</v>
      </c>
      <c r="H356" s="92" t="s">
        <v>1409</v>
      </c>
      <c r="I356" s="92" t="s">
        <v>1264</v>
      </c>
      <c r="J356" s="92" t="s">
        <v>1590</v>
      </c>
      <c r="K356" s="92" t="s">
        <v>1243</v>
      </c>
      <c r="L356" s="92" t="s">
        <v>1260</v>
      </c>
      <c r="M356" s="92" t="s">
        <v>1241</v>
      </c>
      <c r="N356" s="91">
        <v>41713</v>
      </c>
      <c r="O356" s="93">
        <v>3.5</v>
      </c>
      <c r="P356" s="93">
        <v>5.74</v>
      </c>
      <c r="Q356" s="94">
        <v>45</v>
      </c>
      <c r="R356" s="93">
        <f t="shared" si="20"/>
        <v>258.3</v>
      </c>
      <c r="S356" s="95">
        <v>0</v>
      </c>
      <c r="T356" s="96">
        <f t="shared" si="21"/>
        <v>0</v>
      </c>
      <c r="U356" s="96">
        <f t="shared" si="22"/>
        <v>258.3</v>
      </c>
      <c r="V356" s="93">
        <v>5.01</v>
      </c>
      <c r="W356" s="97">
        <f t="shared" si="23"/>
        <v>263.31</v>
      </c>
    </row>
    <row r="357" spans="1:23" x14ac:dyDescent="0.25">
      <c r="A357" s="61" t="s">
        <v>450</v>
      </c>
      <c r="B357" s="91">
        <v>41715</v>
      </c>
      <c r="C357" s="92" t="s">
        <v>1721</v>
      </c>
      <c r="D357" s="92" t="s">
        <v>1463</v>
      </c>
      <c r="E357" s="92" t="s">
        <v>1198</v>
      </c>
      <c r="F357" s="92" t="s">
        <v>1235</v>
      </c>
      <c r="G357" s="92" t="s">
        <v>1203</v>
      </c>
      <c r="H357" s="92" t="s">
        <v>1263</v>
      </c>
      <c r="I357" s="92" t="s">
        <v>1264</v>
      </c>
      <c r="J357" s="92" t="s">
        <v>1352</v>
      </c>
      <c r="K357" s="92" t="s">
        <v>1243</v>
      </c>
      <c r="L357" s="92" t="s">
        <v>1244</v>
      </c>
      <c r="M357" s="92" t="s">
        <v>1241</v>
      </c>
      <c r="N357" s="91">
        <v>41716</v>
      </c>
      <c r="O357" s="93">
        <v>1.0900000000000001</v>
      </c>
      <c r="P357" s="93">
        <v>2.6</v>
      </c>
      <c r="Q357" s="94">
        <v>43</v>
      </c>
      <c r="R357" s="93">
        <f t="shared" si="20"/>
        <v>111.8</v>
      </c>
      <c r="S357" s="95">
        <v>0.01</v>
      </c>
      <c r="T357" s="96">
        <f t="shared" si="21"/>
        <v>1.1180000000000001</v>
      </c>
      <c r="U357" s="96">
        <f t="shared" si="22"/>
        <v>111.78999999999999</v>
      </c>
      <c r="V357" s="93">
        <v>2.4</v>
      </c>
      <c r="W357" s="97">
        <f t="shared" si="23"/>
        <v>114.19</v>
      </c>
    </row>
    <row r="358" spans="1:23" x14ac:dyDescent="0.25">
      <c r="A358" s="61" t="s">
        <v>451</v>
      </c>
      <c r="B358" s="91">
        <v>41715</v>
      </c>
      <c r="C358" s="92" t="s">
        <v>1722</v>
      </c>
      <c r="D358" s="92" t="s">
        <v>1636</v>
      </c>
      <c r="E358" s="92" t="s">
        <v>1198</v>
      </c>
      <c r="F358" s="92" t="s">
        <v>1235</v>
      </c>
      <c r="G358" s="92" t="s">
        <v>1200</v>
      </c>
      <c r="H358" s="92" t="s">
        <v>1409</v>
      </c>
      <c r="I358" s="92" t="s">
        <v>1256</v>
      </c>
      <c r="J358" s="92" t="s">
        <v>1520</v>
      </c>
      <c r="K358" s="92" t="s">
        <v>1243</v>
      </c>
      <c r="L358" s="92" t="s">
        <v>1260</v>
      </c>
      <c r="M358" s="92" t="s">
        <v>1241</v>
      </c>
      <c r="N358" s="91">
        <v>41716</v>
      </c>
      <c r="O358" s="93">
        <v>8.92</v>
      </c>
      <c r="P358" s="93">
        <v>29.74</v>
      </c>
      <c r="Q358" s="94">
        <v>25</v>
      </c>
      <c r="R358" s="93">
        <f t="shared" si="20"/>
        <v>743.5</v>
      </c>
      <c r="S358" s="95">
        <v>0</v>
      </c>
      <c r="T358" s="96">
        <f t="shared" si="21"/>
        <v>0</v>
      </c>
      <c r="U358" s="96">
        <f t="shared" si="22"/>
        <v>743.5</v>
      </c>
      <c r="V358" s="93">
        <v>6.64</v>
      </c>
      <c r="W358" s="97">
        <f t="shared" si="23"/>
        <v>750.14</v>
      </c>
    </row>
    <row r="359" spans="1:23" x14ac:dyDescent="0.25">
      <c r="A359" s="61" t="s">
        <v>452</v>
      </c>
      <c r="B359" s="91">
        <v>41715</v>
      </c>
      <c r="C359" s="92" t="s">
        <v>1723</v>
      </c>
      <c r="D359" s="92" t="s">
        <v>1355</v>
      </c>
      <c r="E359" s="92" t="s">
        <v>1199</v>
      </c>
      <c r="F359" s="92" t="s">
        <v>1254</v>
      </c>
      <c r="G359" s="92" t="s">
        <v>1201</v>
      </c>
      <c r="H359" s="92" t="s">
        <v>1274</v>
      </c>
      <c r="I359" s="92" t="s">
        <v>1256</v>
      </c>
      <c r="J359" s="92" t="s">
        <v>1724</v>
      </c>
      <c r="K359" s="92" t="s">
        <v>1243</v>
      </c>
      <c r="L359" s="92" t="s">
        <v>1260</v>
      </c>
      <c r="M359" s="92" t="s">
        <v>1241</v>
      </c>
      <c r="N359" s="91">
        <v>41716</v>
      </c>
      <c r="O359" s="93">
        <v>21.97</v>
      </c>
      <c r="P359" s="93">
        <v>35.44</v>
      </c>
      <c r="Q359" s="94">
        <v>21</v>
      </c>
      <c r="R359" s="93">
        <f t="shared" si="20"/>
        <v>744.24</v>
      </c>
      <c r="S359" s="95">
        <v>0</v>
      </c>
      <c r="T359" s="96">
        <f t="shared" si="21"/>
        <v>0</v>
      </c>
      <c r="U359" s="96">
        <f t="shared" si="22"/>
        <v>744.24</v>
      </c>
      <c r="V359" s="93">
        <v>4.92</v>
      </c>
      <c r="W359" s="97">
        <f t="shared" si="23"/>
        <v>749.16</v>
      </c>
    </row>
    <row r="360" spans="1:23" x14ac:dyDescent="0.25">
      <c r="A360" s="61" t="s">
        <v>453</v>
      </c>
      <c r="B360" s="91">
        <v>41717</v>
      </c>
      <c r="C360" s="92" t="s">
        <v>1725</v>
      </c>
      <c r="D360" s="92" t="s">
        <v>1326</v>
      </c>
      <c r="E360" s="92" t="s">
        <v>1199</v>
      </c>
      <c r="F360" s="92" t="s">
        <v>1254</v>
      </c>
      <c r="G360" s="92" t="s">
        <v>1201</v>
      </c>
      <c r="H360" s="92" t="s">
        <v>1255</v>
      </c>
      <c r="I360" s="92" t="s">
        <v>1264</v>
      </c>
      <c r="J360" s="92" t="s">
        <v>1300</v>
      </c>
      <c r="K360" s="92" t="s">
        <v>1243</v>
      </c>
      <c r="L360" s="92" t="s">
        <v>1260</v>
      </c>
      <c r="M360" s="92" t="s">
        <v>1241</v>
      </c>
      <c r="N360" s="91">
        <v>41719</v>
      </c>
      <c r="O360" s="93">
        <v>2.2599999999999998</v>
      </c>
      <c r="P360" s="93">
        <v>3.58</v>
      </c>
      <c r="Q360" s="94">
        <v>39</v>
      </c>
      <c r="R360" s="93">
        <f t="shared" si="20"/>
        <v>139.62</v>
      </c>
      <c r="S360" s="95">
        <v>0</v>
      </c>
      <c r="T360" s="96">
        <f t="shared" si="21"/>
        <v>0</v>
      </c>
      <c r="U360" s="96">
        <f t="shared" si="22"/>
        <v>139.62</v>
      </c>
      <c r="V360" s="93">
        <v>5.47</v>
      </c>
      <c r="W360" s="97">
        <f t="shared" si="23"/>
        <v>145.09</v>
      </c>
    </row>
    <row r="361" spans="1:23" x14ac:dyDescent="0.25">
      <c r="A361" s="61" t="s">
        <v>454</v>
      </c>
      <c r="B361" s="91">
        <v>41719</v>
      </c>
      <c r="C361" s="92" t="s">
        <v>1726</v>
      </c>
      <c r="D361" s="92" t="s">
        <v>1649</v>
      </c>
      <c r="E361" s="92" t="s">
        <v>1198</v>
      </c>
      <c r="F361" s="92" t="s">
        <v>1235</v>
      </c>
      <c r="G361" s="92" t="s">
        <v>1203</v>
      </c>
      <c r="H361" s="92" t="s">
        <v>1471</v>
      </c>
      <c r="I361" s="92" t="s">
        <v>1248</v>
      </c>
      <c r="J361" s="92" t="s">
        <v>1575</v>
      </c>
      <c r="K361" s="92" t="s">
        <v>1243</v>
      </c>
      <c r="L361" s="92" t="s">
        <v>1260</v>
      </c>
      <c r="M361" s="92" t="s">
        <v>1241</v>
      </c>
      <c r="N361" s="91">
        <v>41724</v>
      </c>
      <c r="O361" s="93">
        <v>1.94</v>
      </c>
      <c r="P361" s="93">
        <v>3.08</v>
      </c>
      <c r="Q361" s="94">
        <v>5</v>
      </c>
      <c r="R361" s="93">
        <f t="shared" si="20"/>
        <v>15.4</v>
      </c>
      <c r="S361" s="95">
        <v>0.06</v>
      </c>
      <c r="T361" s="96">
        <f t="shared" si="21"/>
        <v>0.92399999999999993</v>
      </c>
      <c r="U361" s="96">
        <f t="shared" si="22"/>
        <v>15.34</v>
      </c>
      <c r="V361" s="93">
        <v>0.99</v>
      </c>
      <c r="W361" s="97">
        <f t="shared" si="23"/>
        <v>16.329999999999998</v>
      </c>
    </row>
    <row r="362" spans="1:23" x14ac:dyDescent="0.25">
      <c r="A362" s="61" t="s">
        <v>455</v>
      </c>
      <c r="B362" s="91">
        <v>41726</v>
      </c>
      <c r="C362" s="92" t="s">
        <v>1684</v>
      </c>
      <c r="D362" s="92" t="s">
        <v>1323</v>
      </c>
      <c r="E362" s="92" t="s">
        <v>1198</v>
      </c>
      <c r="F362" s="92" t="s">
        <v>1235</v>
      </c>
      <c r="G362" s="92" t="s">
        <v>1201</v>
      </c>
      <c r="H362" s="92" t="s">
        <v>1263</v>
      </c>
      <c r="I362" s="92" t="s">
        <v>1317</v>
      </c>
      <c r="J362" s="92" t="s">
        <v>1642</v>
      </c>
      <c r="K362" s="92" t="s">
        <v>1243</v>
      </c>
      <c r="L362" s="92" t="s">
        <v>1260</v>
      </c>
      <c r="M362" s="92" t="s">
        <v>1241</v>
      </c>
      <c r="N362" s="91">
        <v>41726</v>
      </c>
      <c r="O362" s="93">
        <v>11.04</v>
      </c>
      <c r="P362" s="93">
        <v>16.98</v>
      </c>
      <c r="Q362" s="94">
        <v>31</v>
      </c>
      <c r="R362" s="93">
        <f t="shared" si="20"/>
        <v>526.38</v>
      </c>
      <c r="S362" s="95">
        <v>0.03</v>
      </c>
      <c r="T362" s="96">
        <f t="shared" si="21"/>
        <v>15.791399999999999</v>
      </c>
      <c r="U362" s="96">
        <f t="shared" si="22"/>
        <v>526.35</v>
      </c>
      <c r="V362" s="93">
        <v>12.39</v>
      </c>
      <c r="W362" s="97">
        <f t="shared" si="23"/>
        <v>538.74</v>
      </c>
    </row>
    <row r="363" spans="1:23" x14ac:dyDescent="0.25">
      <c r="A363" s="61" t="s">
        <v>456</v>
      </c>
      <c r="B363" s="91">
        <v>41727</v>
      </c>
      <c r="C363" s="92" t="s">
        <v>1727</v>
      </c>
      <c r="D363" s="92" t="s">
        <v>1629</v>
      </c>
      <c r="E363" s="92" t="s">
        <v>1198</v>
      </c>
      <c r="F363" s="92" t="s">
        <v>1235</v>
      </c>
      <c r="G363" s="92" t="s">
        <v>1202</v>
      </c>
      <c r="H363" s="92" t="s">
        <v>1471</v>
      </c>
      <c r="I363" s="92" t="s">
        <v>1256</v>
      </c>
      <c r="J363" s="92" t="s">
        <v>1305</v>
      </c>
      <c r="K363" s="92" t="s">
        <v>1243</v>
      </c>
      <c r="L363" s="92" t="s">
        <v>1260</v>
      </c>
      <c r="M363" s="92" t="s">
        <v>1241</v>
      </c>
      <c r="N363" s="91">
        <v>41728</v>
      </c>
      <c r="O363" s="93">
        <v>4.53</v>
      </c>
      <c r="P363" s="93">
        <v>7.3</v>
      </c>
      <c r="Q363" s="94">
        <v>18</v>
      </c>
      <c r="R363" s="93">
        <f t="shared" si="20"/>
        <v>131.4</v>
      </c>
      <c r="S363" s="95">
        <v>0.05</v>
      </c>
      <c r="T363" s="96">
        <f t="shared" si="21"/>
        <v>6.57</v>
      </c>
      <c r="U363" s="96">
        <f t="shared" si="22"/>
        <v>131.35</v>
      </c>
      <c r="V363" s="93">
        <v>7.72</v>
      </c>
      <c r="W363" s="97">
        <f t="shared" si="23"/>
        <v>139.07</v>
      </c>
    </row>
    <row r="364" spans="1:23" x14ac:dyDescent="0.25">
      <c r="A364" s="61" t="s">
        <v>457</v>
      </c>
      <c r="B364" s="91">
        <v>41729</v>
      </c>
      <c r="C364" s="92" t="s">
        <v>1728</v>
      </c>
      <c r="D364" s="92" t="s">
        <v>1615</v>
      </c>
      <c r="E364" s="92" t="s">
        <v>1198</v>
      </c>
      <c r="F364" s="92" t="s">
        <v>1235</v>
      </c>
      <c r="G364" s="92" t="s">
        <v>1203</v>
      </c>
      <c r="H364" s="92" t="s">
        <v>1404</v>
      </c>
      <c r="I364" s="92" t="s">
        <v>1256</v>
      </c>
      <c r="J364" s="92" t="s">
        <v>1374</v>
      </c>
      <c r="K364" s="92" t="s">
        <v>1243</v>
      </c>
      <c r="L364" s="92" t="s">
        <v>1244</v>
      </c>
      <c r="M364" s="92" t="s">
        <v>1241</v>
      </c>
      <c r="N364" s="91">
        <v>41729</v>
      </c>
      <c r="O364" s="93">
        <v>4.37</v>
      </c>
      <c r="P364" s="93">
        <v>9.11</v>
      </c>
      <c r="Q364" s="94">
        <v>1</v>
      </c>
      <c r="R364" s="93">
        <f t="shared" si="20"/>
        <v>9.11</v>
      </c>
      <c r="S364" s="95">
        <v>0.1</v>
      </c>
      <c r="T364" s="96">
        <f t="shared" si="21"/>
        <v>0.91100000000000003</v>
      </c>
      <c r="U364" s="96">
        <f t="shared" si="22"/>
        <v>9.01</v>
      </c>
      <c r="V364" s="93">
        <v>2.25</v>
      </c>
      <c r="W364" s="97">
        <f t="shared" si="23"/>
        <v>11.26</v>
      </c>
    </row>
    <row r="365" spans="1:23" x14ac:dyDescent="0.25">
      <c r="A365" s="61" t="s">
        <v>458</v>
      </c>
      <c r="B365" s="91">
        <v>41730</v>
      </c>
      <c r="C365" s="92" t="s">
        <v>1289</v>
      </c>
      <c r="D365" s="92" t="s">
        <v>1290</v>
      </c>
      <c r="E365" s="92" t="s">
        <v>1198</v>
      </c>
      <c r="F365" s="92" t="s">
        <v>1235</v>
      </c>
      <c r="G365" s="92" t="s">
        <v>1202</v>
      </c>
      <c r="H365" s="92" t="s">
        <v>1291</v>
      </c>
      <c r="I365" s="92" t="s">
        <v>1264</v>
      </c>
      <c r="J365" s="92" t="s">
        <v>1645</v>
      </c>
      <c r="K365" s="92" t="s">
        <v>1243</v>
      </c>
      <c r="L365" s="92" t="s">
        <v>1240</v>
      </c>
      <c r="M365" s="92" t="s">
        <v>1241</v>
      </c>
      <c r="N365" s="91">
        <v>41731</v>
      </c>
      <c r="O365" s="93">
        <v>16.8</v>
      </c>
      <c r="P365" s="93">
        <v>40.97</v>
      </c>
      <c r="Q365" s="94">
        <v>44</v>
      </c>
      <c r="R365" s="93">
        <f t="shared" si="20"/>
        <v>1802.6799999999998</v>
      </c>
      <c r="S365" s="95">
        <v>0.08</v>
      </c>
      <c r="T365" s="96">
        <f t="shared" si="21"/>
        <v>144.21439999999998</v>
      </c>
      <c r="U365" s="96">
        <f t="shared" si="22"/>
        <v>1802.6</v>
      </c>
      <c r="V365" s="93">
        <v>8.99</v>
      </c>
      <c r="W365" s="97">
        <f t="shared" si="23"/>
        <v>1811.59</v>
      </c>
    </row>
    <row r="366" spans="1:23" x14ac:dyDescent="0.25">
      <c r="A366" s="61" t="s">
        <v>459</v>
      </c>
      <c r="B366" s="91">
        <v>41731</v>
      </c>
      <c r="C366" s="92" t="s">
        <v>1467</v>
      </c>
      <c r="D366" s="92" t="s">
        <v>1330</v>
      </c>
      <c r="E366" s="92" t="s">
        <v>1199</v>
      </c>
      <c r="F366" s="92" t="s">
        <v>1254</v>
      </c>
      <c r="G366" s="92" t="s">
        <v>1200</v>
      </c>
      <c r="H366" s="92" t="s">
        <v>1255</v>
      </c>
      <c r="I366" s="92" t="s">
        <v>1237</v>
      </c>
      <c r="J366" s="92" t="s">
        <v>1729</v>
      </c>
      <c r="K366" s="92" t="s">
        <v>1243</v>
      </c>
      <c r="L366" s="92" t="s">
        <v>1260</v>
      </c>
      <c r="M366" s="92" t="s">
        <v>1241</v>
      </c>
      <c r="N366" s="91">
        <v>41733</v>
      </c>
      <c r="O366" s="93">
        <v>7.13</v>
      </c>
      <c r="P366" s="93">
        <v>20.98</v>
      </c>
      <c r="Q366" s="94">
        <v>39</v>
      </c>
      <c r="R366" s="93">
        <f t="shared" si="20"/>
        <v>818.22</v>
      </c>
      <c r="S366" s="95">
        <v>0.04</v>
      </c>
      <c r="T366" s="96">
        <f t="shared" si="21"/>
        <v>32.7288</v>
      </c>
      <c r="U366" s="96">
        <f t="shared" si="22"/>
        <v>818.18000000000006</v>
      </c>
      <c r="V366" s="93">
        <v>5.42</v>
      </c>
      <c r="W366" s="97">
        <f t="shared" si="23"/>
        <v>823.6</v>
      </c>
    </row>
    <row r="367" spans="1:23" x14ac:dyDescent="0.25">
      <c r="A367" s="61" t="s">
        <v>460</v>
      </c>
      <c r="B367" s="91">
        <v>41731</v>
      </c>
      <c r="C367" s="92" t="s">
        <v>1730</v>
      </c>
      <c r="D367" s="92" t="s">
        <v>1731</v>
      </c>
      <c r="E367" s="92" t="s">
        <v>1198</v>
      </c>
      <c r="F367" s="92" t="s">
        <v>1235</v>
      </c>
      <c r="G367" s="92" t="s">
        <v>1202</v>
      </c>
      <c r="H367" s="92" t="s">
        <v>1286</v>
      </c>
      <c r="I367" s="92" t="s">
        <v>1264</v>
      </c>
      <c r="J367" s="92" t="s">
        <v>1357</v>
      </c>
      <c r="K367" s="92" t="s">
        <v>1243</v>
      </c>
      <c r="L367" s="92" t="s">
        <v>1240</v>
      </c>
      <c r="M367" s="92" t="s">
        <v>1241</v>
      </c>
      <c r="N367" s="91">
        <v>41733</v>
      </c>
      <c r="O367" s="93">
        <v>1.46</v>
      </c>
      <c r="P367" s="93">
        <v>3.57</v>
      </c>
      <c r="Q367" s="94">
        <v>41</v>
      </c>
      <c r="R367" s="93">
        <f t="shared" si="20"/>
        <v>146.37</v>
      </c>
      <c r="S367" s="95">
        <v>0.03</v>
      </c>
      <c r="T367" s="96">
        <f t="shared" si="21"/>
        <v>4.3910999999999998</v>
      </c>
      <c r="U367" s="96">
        <f t="shared" si="22"/>
        <v>146.34</v>
      </c>
      <c r="V367" s="93">
        <v>4.17</v>
      </c>
      <c r="W367" s="97">
        <f t="shared" si="23"/>
        <v>150.51</v>
      </c>
    </row>
    <row r="368" spans="1:23" x14ac:dyDescent="0.25">
      <c r="A368" s="61" t="s">
        <v>461</v>
      </c>
      <c r="B368" s="91">
        <v>41732</v>
      </c>
      <c r="C368" s="92" t="s">
        <v>1267</v>
      </c>
      <c r="D368" s="92" t="s">
        <v>1268</v>
      </c>
      <c r="E368" s="92" t="s">
        <v>1198</v>
      </c>
      <c r="F368" s="92" t="s">
        <v>1235</v>
      </c>
      <c r="G368" s="92" t="s">
        <v>1202</v>
      </c>
      <c r="H368" s="92" t="s">
        <v>1269</v>
      </c>
      <c r="I368" s="92" t="s">
        <v>1237</v>
      </c>
      <c r="J368" s="92" t="s">
        <v>1732</v>
      </c>
      <c r="K368" s="92" t="s">
        <v>1243</v>
      </c>
      <c r="L368" s="92" t="s">
        <v>1244</v>
      </c>
      <c r="M368" s="92" t="s">
        <v>1241</v>
      </c>
      <c r="N368" s="91">
        <v>41734</v>
      </c>
      <c r="O368" s="93">
        <v>2.13</v>
      </c>
      <c r="P368" s="93">
        <v>3.49</v>
      </c>
      <c r="Q368" s="94">
        <v>46</v>
      </c>
      <c r="R368" s="93">
        <f t="shared" si="20"/>
        <v>160.54000000000002</v>
      </c>
      <c r="S368" s="95">
        <v>0.01</v>
      </c>
      <c r="T368" s="96">
        <f t="shared" si="21"/>
        <v>1.6054000000000002</v>
      </c>
      <c r="U368" s="96">
        <f t="shared" si="22"/>
        <v>160.53000000000003</v>
      </c>
      <c r="V368" s="93">
        <v>0.76</v>
      </c>
      <c r="W368" s="97">
        <f t="shared" si="23"/>
        <v>161.29000000000002</v>
      </c>
    </row>
    <row r="369" spans="1:23" x14ac:dyDescent="0.25">
      <c r="A369" s="61" t="s">
        <v>462</v>
      </c>
      <c r="B369" s="91">
        <v>41733</v>
      </c>
      <c r="C369" s="92" t="s">
        <v>1571</v>
      </c>
      <c r="D369" s="92" t="s">
        <v>1572</v>
      </c>
      <c r="E369" s="92" t="s">
        <v>1199</v>
      </c>
      <c r="F369" s="92" t="s">
        <v>1254</v>
      </c>
      <c r="G369" s="92" t="s">
        <v>1201</v>
      </c>
      <c r="H369" s="92" t="s">
        <v>1274</v>
      </c>
      <c r="I369" s="92" t="s">
        <v>1256</v>
      </c>
      <c r="J369" s="92" t="s">
        <v>1509</v>
      </c>
      <c r="K369" s="92" t="s">
        <v>1243</v>
      </c>
      <c r="L369" s="92" t="s">
        <v>1260</v>
      </c>
      <c r="M369" s="92" t="s">
        <v>1241</v>
      </c>
      <c r="N369" s="91">
        <v>41734</v>
      </c>
      <c r="O369" s="93">
        <v>3.84</v>
      </c>
      <c r="P369" s="93">
        <v>6.3</v>
      </c>
      <c r="Q369" s="94">
        <v>18</v>
      </c>
      <c r="R369" s="93">
        <f t="shared" si="20"/>
        <v>113.39999999999999</v>
      </c>
      <c r="S369" s="95">
        <v>0.1</v>
      </c>
      <c r="T369" s="96">
        <f t="shared" si="21"/>
        <v>11.34</v>
      </c>
      <c r="U369" s="96">
        <f t="shared" si="22"/>
        <v>113.3</v>
      </c>
      <c r="V369" s="93">
        <v>0.5</v>
      </c>
      <c r="W369" s="97">
        <f t="shared" si="23"/>
        <v>113.8</v>
      </c>
    </row>
    <row r="370" spans="1:23" x14ac:dyDescent="0.25">
      <c r="A370" s="61" t="s">
        <v>463</v>
      </c>
      <c r="B370" s="91">
        <v>41735</v>
      </c>
      <c r="C370" s="92" t="s">
        <v>1733</v>
      </c>
      <c r="D370" s="92" t="s">
        <v>1731</v>
      </c>
      <c r="E370" s="92" t="s">
        <v>1198</v>
      </c>
      <c r="F370" s="92" t="s">
        <v>1235</v>
      </c>
      <c r="G370" s="92" t="s">
        <v>1200</v>
      </c>
      <c r="H370" s="92" t="s">
        <v>1286</v>
      </c>
      <c r="I370" s="92" t="s">
        <v>1248</v>
      </c>
      <c r="J370" s="92" t="s">
        <v>1734</v>
      </c>
      <c r="K370" s="92" t="s">
        <v>1243</v>
      </c>
      <c r="L370" s="92" t="s">
        <v>1244</v>
      </c>
      <c r="M370" s="92" t="s">
        <v>1241</v>
      </c>
      <c r="N370" s="91">
        <v>41740</v>
      </c>
      <c r="O370" s="93">
        <v>1.05</v>
      </c>
      <c r="P370" s="93">
        <v>1.95</v>
      </c>
      <c r="Q370" s="94">
        <v>31</v>
      </c>
      <c r="R370" s="93">
        <f t="shared" si="20"/>
        <v>60.449999999999996</v>
      </c>
      <c r="S370" s="95">
        <v>0.02</v>
      </c>
      <c r="T370" s="96">
        <f t="shared" si="21"/>
        <v>1.2089999999999999</v>
      </c>
      <c r="U370" s="96">
        <f t="shared" si="22"/>
        <v>60.429999999999993</v>
      </c>
      <c r="V370" s="93">
        <v>1.63</v>
      </c>
      <c r="W370" s="97">
        <f t="shared" si="23"/>
        <v>62.059999999999995</v>
      </c>
    </row>
    <row r="371" spans="1:23" x14ac:dyDescent="0.25">
      <c r="A371" s="61" t="s">
        <v>464</v>
      </c>
      <c r="B371" s="91">
        <v>41736</v>
      </c>
      <c r="C371" s="92" t="s">
        <v>1735</v>
      </c>
      <c r="D371" s="92" t="s">
        <v>1388</v>
      </c>
      <c r="E371" s="92" t="s">
        <v>1199</v>
      </c>
      <c r="F371" s="92" t="s">
        <v>1254</v>
      </c>
      <c r="G371" s="92" t="s">
        <v>1200</v>
      </c>
      <c r="H371" s="92" t="s">
        <v>1255</v>
      </c>
      <c r="I371" s="92" t="s">
        <v>1264</v>
      </c>
      <c r="J371" s="92" t="s">
        <v>1344</v>
      </c>
      <c r="K371" s="92" t="s">
        <v>1243</v>
      </c>
      <c r="L371" s="92" t="s">
        <v>1244</v>
      </c>
      <c r="M371" s="92" t="s">
        <v>1241</v>
      </c>
      <c r="N371" s="91">
        <v>41736</v>
      </c>
      <c r="O371" s="93">
        <v>0.24</v>
      </c>
      <c r="P371" s="93">
        <v>1.26</v>
      </c>
      <c r="Q371" s="94">
        <v>35</v>
      </c>
      <c r="R371" s="93">
        <f t="shared" si="20"/>
        <v>44.1</v>
      </c>
      <c r="S371" s="95">
        <v>0.09</v>
      </c>
      <c r="T371" s="96">
        <f t="shared" si="21"/>
        <v>3.9689999999999999</v>
      </c>
      <c r="U371" s="96">
        <f t="shared" si="22"/>
        <v>44.01</v>
      </c>
      <c r="V371" s="93">
        <v>0.7</v>
      </c>
      <c r="W371" s="97">
        <f t="shared" si="23"/>
        <v>44.71</v>
      </c>
    </row>
    <row r="372" spans="1:23" x14ac:dyDescent="0.25">
      <c r="A372" s="61" t="s">
        <v>465</v>
      </c>
      <c r="B372" s="91">
        <v>41736</v>
      </c>
      <c r="C372" s="92" t="s">
        <v>1628</v>
      </c>
      <c r="D372" s="92" t="s">
        <v>1629</v>
      </c>
      <c r="E372" s="92" t="s">
        <v>1198</v>
      </c>
      <c r="F372" s="92" t="s">
        <v>1235</v>
      </c>
      <c r="G372" s="92" t="s">
        <v>1203</v>
      </c>
      <c r="H372" s="92" t="s">
        <v>1471</v>
      </c>
      <c r="I372" s="92" t="s">
        <v>1256</v>
      </c>
      <c r="J372" s="92" t="s">
        <v>1736</v>
      </c>
      <c r="K372" s="92" t="s">
        <v>1239</v>
      </c>
      <c r="L372" s="92" t="s">
        <v>1319</v>
      </c>
      <c r="M372" s="92" t="s">
        <v>1320</v>
      </c>
      <c r="N372" s="91">
        <v>41736</v>
      </c>
      <c r="O372" s="93">
        <v>315.61</v>
      </c>
      <c r="P372" s="93">
        <v>500.97</v>
      </c>
      <c r="Q372" s="94">
        <v>31</v>
      </c>
      <c r="R372" s="93">
        <f t="shared" si="20"/>
        <v>15530.070000000002</v>
      </c>
      <c r="S372" s="95">
        <v>0.06</v>
      </c>
      <c r="T372" s="96">
        <f t="shared" si="21"/>
        <v>931.80420000000004</v>
      </c>
      <c r="U372" s="96">
        <f t="shared" si="22"/>
        <v>15530.010000000002</v>
      </c>
      <c r="V372" s="93">
        <v>69.3</v>
      </c>
      <c r="W372" s="97">
        <f t="shared" si="23"/>
        <v>15599.310000000001</v>
      </c>
    </row>
    <row r="373" spans="1:23" x14ac:dyDescent="0.25">
      <c r="A373" s="61" t="s">
        <v>466</v>
      </c>
      <c r="B373" s="91">
        <v>41736</v>
      </c>
      <c r="C373" s="92" t="s">
        <v>1394</v>
      </c>
      <c r="D373" s="92" t="s">
        <v>1395</v>
      </c>
      <c r="E373" s="92" t="s">
        <v>1198</v>
      </c>
      <c r="F373" s="92" t="s">
        <v>1235</v>
      </c>
      <c r="G373" s="92" t="s">
        <v>1200</v>
      </c>
      <c r="H373" s="92" t="s">
        <v>1236</v>
      </c>
      <c r="I373" s="92" t="s">
        <v>1237</v>
      </c>
      <c r="J373" s="92" t="s">
        <v>1295</v>
      </c>
      <c r="K373" s="92" t="s">
        <v>1239</v>
      </c>
      <c r="L373" s="92" t="s">
        <v>1296</v>
      </c>
      <c r="M373" s="92" t="s">
        <v>1241</v>
      </c>
      <c r="N373" s="91">
        <v>41738</v>
      </c>
      <c r="O373" s="93">
        <v>377.99</v>
      </c>
      <c r="P373" s="93">
        <v>599.99</v>
      </c>
      <c r="Q373" s="94">
        <v>30</v>
      </c>
      <c r="R373" s="93">
        <f t="shared" si="20"/>
        <v>17999.7</v>
      </c>
      <c r="S373" s="95">
        <v>0.09</v>
      </c>
      <c r="T373" s="96">
        <f t="shared" si="21"/>
        <v>1619.973</v>
      </c>
      <c r="U373" s="96">
        <f t="shared" si="22"/>
        <v>17999.61</v>
      </c>
      <c r="V373" s="93">
        <v>24.49</v>
      </c>
      <c r="W373" s="97">
        <f t="shared" si="23"/>
        <v>18024.100000000002</v>
      </c>
    </row>
    <row r="374" spans="1:23" x14ac:dyDescent="0.25">
      <c r="A374" s="61" t="s">
        <v>467</v>
      </c>
      <c r="B374" s="91">
        <v>41740</v>
      </c>
      <c r="C374" s="92" t="s">
        <v>1737</v>
      </c>
      <c r="D374" s="92" t="s">
        <v>1511</v>
      </c>
      <c r="E374" s="92" t="s">
        <v>1198</v>
      </c>
      <c r="F374" s="92" t="s">
        <v>1235</v>
      </c>
      <c r="G374" s="92" t="s">
        <v>1201</v>
      </c>
      <c r="H374" s="92" t="s">
        <v>1236</v>
      </c>
      <c r="I374" s="92" t="s">
        <v>1237</v>
      </c>
      <c r="J374" s="92" t="s">
        <v>1352</v>
      </c>
      <c r="K374" s="92" t="s">
        <v>1243</v>
      </c>
      <c r="L374" s="92" t="s">
        <v>1244</v>
      </c>
      <c r="M374" s="92" t="s">
        <v>1241</v>
      </c>
      <c r="N374" s="91">
        <v>41741</v>
      </c>
      <c r="O374" s="93">
        <v>1.0900000000000001</v>
      </c>
      <c r="P374" s="93">
        <v>2.6</v>
      </c>
      <c r="Q374" s="94">
        <v>2</v>
      </c>
      <c r="R374" s="93">
        <f t="shared" si="20"/>
        <v>5.2</v>
      </c>
      <c r="S374" s="95">
        <v>0.03</v>
      </c>
      <c r="T374" s="96">
        <f t="shared" si="21"/>
        <v>0.156</v>
      </c>
      <c r="U374" s="96">
        <f t="shared" si="22"/>
        <v>5.17</v>
      </c>
      <c r="V374" s="93">
        <v>2.4</v>
      </c>
      <c r="W374" s="97">
        <f t="shared" si="23"/>
        <v>7.57</v>
      </c>
    </row>
    <row r="375" spans="1:23" x14ac:dyDescent="0.25">
      <c r="A375" s="61" t="s">
        <v>468</v>
      </c>
      <c r="B375" s="91">
        <v>41744</v>
      </c>
      <c r="C375" s="92" t="s">
        <v>1738</v>
      </c>
      <c r="D375" s="92" t="s">
        <v>1435</v>
      </c>
      <c r="E375" s="92" t="s">
        <v>1198</v>
      </c>
      <c r="F375" s="92" t="s">
        <v>1235</v>
      </c>
      <c r="G375" s="92" t="s">
        <v>1200</v>
      </c>
      <c r="H375" s="92" t="s">
        <v>1247</v>
      </c>
      <c r="I375" s="92" t="s">
        <v>1317</v>
      </c>
      <c r="J375" s="92" t="s">
        <v>1567</v>
      </c>
      <c r="K375" s="92" t="s">
        <v>1239</v>
      </c>
      <c r="L375" s="92" t="s">
        <v>1260</v>
      </c>
      <c r="M375" s="92" t="s">
        <v>1241</v>
      </c>
      <c r="N375" s="91">
        <v>41745</v>
      </c>
      <c r="O375" s="93">
        <v>6.51</v>
      </c>
      <c r="P375" s="93">
        <v>30.98</v>
      </c>
      <c r="Q375" s="94">
        <v>36</v>
      </c>
      <c r="R375" s="93">
        <f t="shared" si="20"/>
        <v>1115.28</v>
      </c>
      <c r="S375" s="95">
        <v>0</v>
      </c>
      <c r="T375" s="96">
        <f t="shared" si="21"/>
        <v>0</v>
      </c>
      <c r="U375" s="96">
        <f t="shared" si="22"/>
        <v>1115.28</v>
      </c>
      <c r="V375" s="93">
        <v>6.5</v>
      </c>
      <c r="W375" s="97">
        <f t="shared" si="23"/>
        <v>1121.78</v>
      </c>
    </row>
    <row r="376" spans="1:23" x14ac:dyDescent="0.25">
      <c r="A376" s="61" t="s">
        <v>469</v>
      </c>
      <c r="B376" s="91">
        <v>41746</v>
      </c>
      <c r="C376" s="92" t="s">
        <v>1739</v>
      </c>
      <c r="D376" s="92" t="s">
        <v>1355</v>
      </c>
      <c r="E376" s="92" t="s">
        <v>1199</v>
      </c>
      <c r="F376" s="92" t="s">
        <v>1254</v>
      </c>
      <c r="G376" s="92" t="s">
        <v>1202</v>
      </c>
      <c r="H376" s="92" t="s">
        <v>1274</v>
      </c>
      <c r="I376" s="92" t="s">
        <v>1317</v>
      </c>
      <c r="J376" s="92" t="s">
        <v>1405</v>
      </c>
      <c r="K376" s="92" t="s">
        <v>1243</v>
      </c>
      <c r="L376" s="92" t="s">
        <v>1260</v>
      </c>
      <c r="M376" s="92" t="s">
        <v>1241</v>
      </c>
      <c r="N376" s="91">
        <v>41748</v>
      </c>
      <c r="O376" s="93">
        <v>4.59</v>
      </c>
      <c r="P376" s="93">
        <v>7.28</v>
      </c>
      <c r="Q376" s="94">
        <v>11</v>
      </c>
      <c r="R376" s="93">
        <f t="shared" si="20"/>
        <v>80.08</v>
      </c>
      <c r="S376" s="95">
        <v>7.0000000000000007E-2</v>
      </c>
      <c r="T376" s="96">
        <f t="shared" si="21"/>
        <v>5.6056000000000008</v>
      </c>
      <c r="U376" s="96">
        <f t="shared" si="22"/>
        <v>80.010000000000005</v>
      </c>
      <c r="V376" s="93">
        <v>11.15</v>
      </c>
      <c r="W376" s="97">
        <f t="shared" si="23"/>
        <v>91.160000000000011</v>
      </c>
    </row>
    <row r="377" spans="1:23" x14ac:dyDescent="0.25">
      <c r="A377" s="61" t="s">
        <v>470</v>
      </c>
      <c r="B377" s="91">
        <v>41746</v>
      </c>
      <c r="C377" s="92" t="s">
        <v>1740</v>
      </c>
      <c r="D377" s="92" t="s">
        <v>1294</v>
      </c>
      <c r="E377" s="92" t="s">
        <v>1199</v>
      </c>
      <c r="F377" s="92" t="s">
        <v>1254</v>
      </c>
      <c r="G377" s="92" t="s">
        <v>1203</v>
      </c>
      <c r="H377" s="92" t="s">
        <v>1274</v>
      </c>
      <c r="I377" s="92" t="s">
        <v>1237</v>
      </c>
      <c r="J377" s="92" t="s">
        <v>1348</v>
      </c>
      <c r="K377" s="92" t="s">
        <v>1243</v>
      </c>
      <c r="L377" s="92" t="s">
        <v>1240</v>
      </c>
      <c r="M377" s="92" t="s">
        <v>1241</v>
      </c>
      <c r="N377" s="91">
        <v>41747</v>
      </c>
      <c r="O377" s="93">
        <v>4.1900000000000004</v>
      </c>
      <c r="P377" s="93">
        <v>10.23</v>
      </c>
      <c r="Q377" s="94">
        <v>22</v>
      </c>
      <c r="R377" s="93">
        <f t="shared" si="20"/>
        <v>225.06</v>
      </c>
      <c r="S377" s="95">
        <v>7.0000000000000007E-2</v>
      </c>
      <c r="T377" s="96">
        <f t="shared" si="21"/>
        <v>15.754200000000001</v>
      </c>
      <c r="U377" s="96">
        <f t="shared" si="22"/>
        <v>224.99</v>
      </c>
      <c r="V377" s="93">
        <v>4.68</v>
      </c>
      <c r="W377" s="97">
        <f t="shared" si="23"/>
        <v>229.67000000000002</v>
      </c>
    </row>
    <row r="378" spans="1:23" x14ac:dyDescent="0.25">
      <c r="A378" s="61" t="s">
        <v>471</v>
      </c>
      <c r="B378" s="91">
        <v>41746</v>
      </c>
      <c r="C378" s="92" t="s">
        <v>1741</v>
      </c>
      <c r="D378" s="92" t="s">
        <v>1742</v>
      </c>
      <c r="E378" s="92" t="s">
        <v>1198</v>
      </c>
      <c r="F378" s="92" t="s">
        <v>1235</v>
      </c>
      <c r="G378" s="92" t="s">
        <v>1201</v>
      </c>
      <c r="H378" s="92" t="s">
        <v>1440</v>
      </c>
      <c r="I378" s="92" t="s">
        <v>1264</v>
      </c>
      <c r="J378" s="92" t="s">
        <v>1441</v>
      </c>
      <c r="K378" s="92" t="s">
        <v>1243</v>
      </c>
      <c r="L378" s="92" t="s">
        <v>1240</v>
      </c>
      <c r="M378" s="92" t="s">
        <v>1250</v>
      </c>
      <c r="N378" s="91">
        <v>41747</v>
      </c>
      <c r="O378" s="93">
        <v>3.42</v>
      </c>
      <c r="P378" s="93">
        <v>8.34</v>
      </c>
      <c r="Q378" s="94">
        <v>16</v>
      </c>
      <c r="R378" s="93">
        <f t="shared" si="20"/>
        <v>133.44</v>
      </c>
      <c r="S378" s="95">
        <v>0.04</v>
      </c>
      <c r="T378" s="96">
        <f t="shared" si="21"/>
        <v>5.3376000000000001</v>
      </c>
      <c r="U378" s="96">
        <f t="shared" si="22"/>
        <v>133.4</v>
      </c>
      <c r="V378" s="93">
        <v>2.64</v>
      </c>
      <c r="W378" s="97">
        <f t="shared" si="23"/>
        <v>136.04</v>
      </c>
    </row>
    <row r="379" spans="1:23" x14ac:dyDescent="0.25">
      <c r="A379" s="61" t="s">
        <v>472</v>
      </c>
      <c r="B379" s="91">
        <v>41761</v>
      </c>
      <c r="C379" s="92" t="s">
        <v>1743</v>
      </c>
      <c r="D379" s="92" t="s">
        <v>1744</v>
      </c>
      <c r="E379" s="92" t="s">
        <v>1198</v>
      </c>
      <c r="F379" s="92" t="s">
        <v>1235</v>
      </c>
      <c r="G379" s="92" t="s">
        <v>1202</v>
      </c>
      <c r="H379" s="92" t="s">
        <v>1471</v>
      </c>
      <c r="I379" s="92" t="s">
        <v>1248</v>
      </c>
      <c r="J379" s="92" t="s">
        <v>1745</v>
      </c>
      <c r="K379" s="92" t="s">
        <v>1243</v>
      </c>
      <c r="L379" s="92" t="s">
        <v>1260</v>
      </c>
      <c r="M379" s="92" t="s">
        <v>1241</v>
      </c>
      <c r="N379" s="91">
        <v>41763</v>
      </c>
      <c r="O379" s="93">
        <v>84.22</v>
      </c>
      <c r="P379" s="93">
        <v>210.55</v>
      </c>
      <c r="Q379" s="94">
        <v>32</v>
      </c>
      <c r="R379" s="93">
        <f t="shared" si="20"/>
        <v>6737.6</v>
      </c>
      <c r="S379" s="95">
        <v>0.1</v>
      </c>
      <c r="T379" s="96">
        <f t="shared" si="21"/>
        <v>673.7600000000001</v>
      </c>
      <c r="U379" s="96">
        <f t="shared" si="22"/>
        <v>6737.5</v>
      </c>
      <c r="V379" s="93">
        <v>9.99</v>
      </c>
      <c r="W379" s="97">
        <f t="shared" si="23"/>
        <v>6747.49</v>
      </c>
    </row>
    <row r="380" spans="1:23" x14ac:dyDescent="0.25">
      <c r="A380" s="61" t="s">
        <v>473</v>
      </c>
      <c r="B380" s="91">
        <v>41761</v>
      </c>
      <c r="C380" s="92" t="s">
        <v>1746</v>
      </c>
      <c r="D380" s="92" t="s">
        <v>1532</v>
      </c>
      <c r="E380" s="92" t="s">
        <v>1198</v>
      </c>
      <c r="F380" s="92" t="s">
        <v>1235</v>
      </c>
      <c r="G380" s="92" t="s">
        <v>1200</v>
      </c>
      <c r="H380" s="92" t="s">
        <v>1263</v>
      </c>
      <c r="I380" s="92" t="s">
        <v>1256</v>
      </c>
      <c r="J380" s="92" t="s">
        <v>1729</v>
      </c>
      <c r="K380" s="92" t="s">
        <v>1243</v>
      </c>
      <c r="L380" s="92" t="s">
        <v>1260</v>
      </c>
      <c r="M380" s="92" t="s">
        <v>1250</v>
      </c>
      <c r="N380" s="91">
        <v>41762</v>
      </c>
      <c r="O380" s="93">
        <v>7.13</v>
      </c>
      <c r="P380" s="93">
        <v>20.98</v>
      </c>
      <c r="Q380" s="94">
        <v>14</v>
      </c>
      <c r="R380" s="93">
        <f t="shared" si="20"/>
        <v>293.72000000000003</v>
      </c>
      <c r="S380" s="95">
        <v>0.1</v>
      </c>
      <c r="T380" s="96">
        <f t="shared" si="21"/>
        <v>29.372000000000003</v>
      </c>
      <c r="U380" s="96">
        <f t="shared" si="22"/>
        <v>293.62</v>
      </c>
      <c r="V380" s="93">
        <v>5.42</v>
      </c>
      <c r="W380" s="97">
        <f t="shared" si="23"/>
        <v>299.04000000000002</v>
      </c>
    </row>
    <row r="381" spans="1:23" x14ac:dyDescent="0.25">
      <c r="A381" s="61" t="s">
        <v>474</v>
      </c>
      <c r="B381" s="91">
        <v>41761</v>
      </c>
      <c r="C381" s="92" t="s">
        <v>1747</v>
      </c>
      <c r="D381" s="92" t="s">
        <v>1278</v>
      </c>
      <c r="E381" s="92" t="s">
        <v>1198</v>
      </c>
      <c r="F381" s="92" t="s">
        <v>1235</v>
      </c>
      <c r="G381" s="92" t="s">
        <v>1203</v>
      </c>
      <c r="H381" s="92" t="s">
        <v>1236</v>
      </c>
      <c r="I381" s="92" t="s">
        <v>1264</v>
      </c>
      <c r="J381" s="92" t="s">
        <v>1283</v>
      </c>
      <c r="K381" s="92" t="s">
        <v>1243</v>
      </c>
      <c r="L381" s="92" t="s">
        <v>1244</v>
      </c>
      <c r="M381" s="92" t="s">
        <v>1241</v>
      </c>
      <c r="N381" s="91">
        <v>41762</v>
      </c>
      <c r="O381" s="93">
        <v>2.29</v>
      </c>
      <c r="P381" s="93">
        <v>3.58</v>
      </c>
      <c r="Q381" s="94">
        <v>15</v>
      </c>
      <c r="R381" s="93">
        <f t="shared" si="20"/>
        <v>53.7</v>
      </c>
      <c r="S381" s="95">
        <v>0.05</v>
      </c>
      <c r="T381" s="96">
        <f t="shared" si="21"/>
        <v>2.6850000000000005</v>
      </c>
      <c r="U381" s="96">
        <f t="shared" si="22"/>
        <v>53.650000000000006</v>
      </c>
      <c r="V381" s="93">
        <v>1.63</v>
      </c>
      <c r="W381" s="97">
        <f t="shared" si="23"/>
        <v>55.280000000000008</v>
      </c>
    </row>
    <row r="382" spans="1:23" x14ac:dyDescent="0.25">
      <c r="A382" s="61" t="s">
        <v>475</v>
      </c>
      <c r="B382" s="91">
        <v>41762</v>
      </c>
      <c r="C382" s="92" t="s">
        <v>1591</v>
      </c>
      <c r="D382" s="92" t="s">
        <v>1572</v>
      </c>
      <c r="E382" s="92" t="s">
        <v>1199</v>
      </c>
      <c r="F382" s="92" t="s">
        <v>1254</v>
      </c>
      <c r="G382" s="92" t="s">
        <v>1203</v>
      </c>
      <c r="H382" s="92" t="s">
        <v>1274</v>
      </c>
      <c r="I382" s="92" t="s">
        <v>1248</v>
      </c>
      <c r="J382" s="92" t="s">
        <v>1266</v>
      </c>
      <c r="K382" s="92" t="s">
        <v>1243</v>
      </c>
      <c r="L382" s="92" t="s">
        <v>1244</v>
      </c>
      <c r="M382" s="92" t="s">
        <v>1241</v>
      </c>
      <c r="N382" s="91">
        <v>41766</v>
      </c>
      <c r="O382" s="93">
        <v>1.31</v>
      </c>
      <c r="P382" s="93">
        <v>2.84</v>
      </c>
      <c r="Q382" s="94">
        <v>48</v>
      </c>
      <c r="R382" s="93">
        <f t="shared" si="20"/>
        <v>136.32</v>
      </c>
      <c r="S382" s="95">
        <v>0.1</v>
      </c>
      <c r="T382" s="96">
        <f t="shared" si="21"/>
        <v>13.632</v>
      </c>
      <c r="U382" s="96">
        <f t="shared" si="22"/>
        <v>136.22</v>
      </c>
      <c r="V382" s="93">
        <v>0.93</v>
      </c>
      <c r="W382" s="97">
        <f t="shared" si="23"/>
        <v>137.15</v>
      </c>
    </row>
    <row r="383" spans="1:23" x14ac:dyDescent="0.25">
      <c r="A383" s="61" t="s">
        <v>476</v>
      </c>
      <c r="B383" s="91">
        <v>41767</v>
      </c>
      <c r="C383" s="92" t="s">
        <v>1748</v>
      </c>
      <c r="D383" s="92" t="s">
        <v>1312</v>
      </c>
      <c r="E383" s="92" t="s">
        <v>1198</v>
      </c>
      <c r="F383" s="92" t="s">
        <v>1235</v>
      </c>
      <c r="G383" s="92" t="s">
        <v>1200</v>
      </c>
      <c r="H383" s="92" t="s">
        <v>1313</v>
      </c>
      <c r="I383" s="92" t="s">
        <v>1248</v>
      </c>
      <c r="J383" s="92" t="s">
        <v>1328</v>
      </c>
      <c r="K383" s="92" t="s">
        <v>1243</v>
      </c>
      <c r="L383" s="92" t="s">
        <v>1244</v>
      </c>
      <c r="M383" s="92" t="s">
        <v>1241</v>
      </c>
      <c r="N383" s="91">
        <v>41772</v>
      </c>
      <c r="O383" s="93">
        <v>0.93</v>
      </c>
      <c r="P383" s="93">
        <v>1.48</v>
      </c>
      <c r="Q383" s="94">
        <v>33</v>
      </c>
      <c r="R383" s="93">
        <f t="shared" si="20"/>
        <v>48.839999999999996</v>
      </c>
      <c r="S383" s="95">
        <v>7.0000000000000007E-2</v>
      </c>
      <c r="T383" s="96">
        <f t="shared" si="21"/>
        <v>3.4188000000000001</v>
      </c>
      <c r="U383" s="96">
        <f t="shared" si="22"/>
        <v>48.769999999999996</v>
      </c>
      <c r="V383" s="93">
        <v>0.7</v>
      </c>
      <c r="W383" s="97">
        <f t="shared" si="23"/>
        <v>49.47</v>
      </c>
    </row>
    <row r="384" spans="1:23" x14ac:dyDescent="0.25">
      <c r="A384" s="61" t="s">
        <v>477</v>
      </c>
      <c r="B384" s="91">
        <v>41767</v>
      </c>
      <c r="C384" s="92" t="s">
        <v>1749</v>
      </c>
      <c r="D384" s="92" t="s">
        <v>1514</v>
      </c>
      <c r="E384" s="92" t="s">
        <v>1198</v>
      </c>
      <c r="F384" s="92" t="s">
        <v>1235</v>
      </c>
      <c r="G384" s="92" t="s">
        <v>1200</v>
      </c>
      <c r="H384" s="92" t="s">
        <v>1291</v>
      </c>
      <c r="I384" s="92" t="s">
        <v>1248</v>
      </c>
      <c r="J384" s="92" t="s">
        <v>1547</v>
      </c>
      <c r="K384" s="92" t="s">
        <v>1243</v>
      </c>
      <c r="L384" s="92" t="s">
        <v>1260</v>
      </c>
      <c r="M384" s="92" t="s">
        <v>1241</v>
      </c>
      <c r="N384" s="91">
        <v>41771</v>
      </c>
      <c r="O384" s="93">
        <v>1.33</v>
      </c>
      <c r="P384" s="93">
        <v>2.08</v>
      </c>
      <c r="Q384" s="94">
        <v>40</v>
      </c>
      <c r="R384" s="93">
        <f t="shared" si="20"/>
        <v>83.2</v>
      </c>
      <c r="S384" s="95">
        <v>0</v>
      </c>
      <c r="T384" s="96">
        <f t="shared" si="21"/>
        <v>0</v>
      </c>
      <c r="U384" s="96">
        <f t="shared" si="22"/>
        <v>83.2</v>
      </c>
      <c r="V384" s="93">
        <v>1.49</v>
      </c>
      <c r="W384" s="97">
        <f t="shared" si="23"/>
        <v>84.69</v>
      </c>
    </row>
    <row r="385" spans="1:23" x14ac:dyDescent="0.25">
      <c r="A385" s="61" t="s">
        <v>478</v>
      </c>
      <c r="B385" s="91">
        <v>41768</v>
      </c>
      <c r="C385" s="92" t="s">
        <v>1750</v>
      </c>
      <c r="D385" s="92" t="s">
        <v>1294</v>
      </c>
      <c r="E385" s="92" t="s">
        <v>1199</v>
      </c>
      <c r="F385" s="92" t="s">
        <v>1254</v>
      </c>
      <c r="G385" s="92" t="s">
        <v>1200</v>
      </c>
      <c r="H385" s="92" t="s">
        <v>1274</v>
      </c>
      <c r="I385" s="92" t="s">
        <v>1264</v>
      </c>
      <c r="J385" s="92" t="s">
        <v>1381</v>
      </c>
      <c r="K385" s="92" t="s">
        <v>1382</v>
      </c>
      <c r="L385" s="92" t="s">
        <v>1296</v>
      </c>
      <c r="M385" s="92" t="s">
        <v>1241</v>
      </c>
      <c r="N385" s="91">
        <v>41769</v>
      </c>
      <c r="O385" s="93">
        <v>56.16</v>
      </c>
      <c r="P385" s="93">
        <v>136.97999999999999</v>
      </c>
      <c r="Q385" s="94">
        <v>44</v>
      </c>
      <c r="R385" s="93">
        <f t="shared" si="20"/>
        <v>6027.12</v>
      </c>
      <c r="S385" s="95">
        <v>0.08</v>
      </c>
      <c r="T385" s="96">
        <f t="shared" si="21"/>
        <v>482.1696</v>
      </c>
      <c r="U385" s="96">
        <f t="shared" si="22"/>
        <v>6027.04</v>
      </c>
      <c r="V385" s="93">
        <v>24.49</v>
      </c>
      <c r="W385" s="97">
        <f t="shared" si="23"/>
        <v>6051.53</v>
      </c>
    </row>
    <row r="386" spans="1:23" x14ac:dyDescent="0.25">
      <c r="A386" s="61" t="s">
        <v>479</v>
      </c>
      <c r="B386" s="91">
        <v>41770</v>
      </c>
      <c r="C386" s="92" t="s">
        <v>1545</v>
      </c>
      <c r="D386" s="92" t="s">
        <v>1299</v>
      </c>
      <c r="E386" s="92" t="s">
        <v>1198</v>
      </c>
      <c r="F386" s="92" t="s">
        <v>1235</v>
      </c>
      <c r="G386" s="92" t="s">
        <v>1200</v>
      </c>
      <c r="H386" s="92" t="s">
        <v>1236</v>
      </c>
      <c r="I386" s="92" t="s">
        <v>1237</v>
      </c>
      <c r="J386" s="92" t="s">
        <v>1377</v>
      </c>
      <c r="K386" s="92" t="s">
        <v>1243</v>
      </c>
      <c r="L386" s="92" t="s">
        <v>1244</v>
      </c>
      <c r="M386" s="92" t="s">
        <v>1241</v>
      </c>
      <c r="N386" s="91">
        <v>41771</v>
      </c>
      <c r="O386" s="93">
        <v>5.22</v>
      </c>
      <c r="P386" s="93">
        <v>9.85</v>
      </c>
      <c r="Q386" s="94">
        <v>20</v>
      </c>
      <c r="R386" s="93">
        <f t="shared" si="20"/>
        <v>197</v>
      </c>
      <c r="S386" s="95">
        <v>0.06</v>
      </c>
      <c r="T386" s="96">
        <f t="shared" si="21"/>
        <v>11.82</v>
      </c>
      <c r="U386" s="96">
        <f t="shared" si="22"/>
        <v>196.94</v>
      </c>
      <c r="V386" s="93">
        <v>4.82</v>
      </c>
      <c r="W386" s="97">
        <f t="shared" si="23"/>
        <v>201.76</v>
      </c>
    </row>
    <row r="387" spans="1:23" x14ac:dyDescent="0.25">
      <c r="A387" s="61" t="s">
        <v>480</v>
      </c>
      <c r="B387" s="91">
        <v>41772</v>
      </c>
      <c r="C387" s="92" t="s">
        <v>1595</v>
      </c>
      <c r="D387" s="92" t="s">
        <v>1451</v>
      </c>
      <c r="E387" s="92" t="s">
        <v>1198</v>
      </c>
      <c r="F387" s="92" t="s">
        <v>1235</v>
      </c>
      <c r="G387" s="92" t="s">
        <v>1203</v>
      </c>
      <c r="H387" s="92" t="s">
        <v>1291</v>
      </c>
      <c r="I387" s="92" t="s">
        <v>1256</v>
      </c>
      <c r="J387" s="92" t="s">
        <v>1362</v>
      </c>
      <c r="K387" s="92" t="s">
        <v>1243</v>
      </c>
      <c r="L387" s="92" t="s">
        <v>1260</v>
      </c>
      <c r="M387" s="92" t="s">
        <v>1241</v>
      </c>
      <c r="N387" s="91">
        <v>41773</v>
      </c>
      <c r="O387" s="93">
        <v>2.76</v>
      </c>
      <c r="P387" s="93">
        <v>4.38</v>
      </c>
      <c r="Q387" s="94">
        <v>29</v>
      </c>
      <c r="R387" s="93">
        <f t="shared" si="20"/>
        <v>127.02</v>
      </c>
      <c r="S387" s="95">
        <v>0.08</v>
      </c>
      <c r="T387" s="96">
        <f t="shared" si="21"/>
        <v>10.1616</v>
      </c>
      <c r="U387" s="96">
        <f t="shared" si="22"/>
        <v>126.94</v>
      </c>
      <c r="V387" s="93">
        <v>6.21</v>
      </c>
      <c r="W387" s="97">
        <f t="shared" si="23"/>
        <v>133.15</v>
      </c>
    </row>
    <row r="388" spans="1:23" x14ac:dyDescent="0.25">
      <c r="A388" s="61" t="s">
        <v>481</v>
      </c>
      <c r="B388" s="91">
        <v>41774</v>
      </c>
      <c r="C388" s="92" t="s">
        <v>1569</v>
      </c>
      <c r="D388" s="92" t="s">
        <v>1337</v>
      </c>
      <c r="E388" s="92" t="s">
        <v>1198</v>
      </c>
      <c r="F388" s="92" t="s">
        <v>1235</v>
      </c>
      <c r="G388" s="92" t="s">
        <v>1202</v>
      </c>
      <c r="H388" s="92" t="s">
        <v>1247</v>
      </c>
      <c r="I388" s="92" t="s">
        <v>1237</v>
      </c>
      <c r="J388" s="92" t="s">
        <v>1575</v>
      </c>
      <c r="K388" s="92" t="s">
        <v>1243</v>
      </c>
      <c r="L388" s="92" t="s">
        <v>1260</v>
      </c>
      <c r="M388" s="92" t="s">
        <v>1241</v>
      </c>
      <c r="N388" s="91">
        <v>41775</v>
      </c>
      <c r="O388" s="93">
        <v>1.94</v>
      </c>
      <c r="P388" s="93">
        <v>3.08</v>
      </c>
      <c r="Q388" s="94">
        <v>9</v>
      </c>
      <c r="R388" s="93">
        <f t="shared" si="20"/>
        <v>27.72</v>
      </c>
      <c r="S388" s="95">
        <v>0.01</v>
      </c>
      <c r="T388" s="96">
        <f t="shared" si="21"/>
        <v>0.2772</v>
      </c>
      <c r="U388" s="96">
        <f t="shared" si="22"/>
        <v>27.709999999999997</v>
      </c>
      <c r="V388" s="93">
        <v>0.99</v>
      </c>
      <c r="W388" s="97">
        <f t="shared" si="23"/>
        <v>28.699999999999996</v>
      </c>
    </row>
    <row r="389" spans="1:23" x14ac:dyDescent="0.25">
      <c r="A389" s="61" t="s">
        <v>482</v>
      </c>
      <c r="B389" s="91">
        <v>41776</v>
      </c>
      <c r="C389" s="92" t="s">
        <v>1529</v>
      </c>
      <c r="D389" s="92" t="s">
        <v>1454</v>
      </c>
      <c r="E389" s="92" t="s">
        <v>1198</v>
      </c>
      <c r="F389" s="92" t="s">
        <v>1235</v>
      </c>
      <c r="G389" s="92" t="s">
        <v>1201</v>
      </c>
      <c r="H389" s="92" t="s">
        <v>1304</v>
      </c>
      <c r="I389" s="92" t="s">
        <v>1256</v>
      </c>
      <c r="J389" s="92" t="s">
        <v>1331</v>
      </c>
      <c r="K389" s="92" t="s">
        <v>1243</v>
      </c>
      <c r="L389" s="92" t="s">
        <v>1240</v>
      </c>
      <c r="M389" s="92" t="s">
        <v>1241</v>
      </c>
      <c r="N389" s="91">
        <v>41777</v>
      </c>
      <c r="O389" s="93">
        <v>5.19</v>
      </c>
      <c r="P389" s="93">
        <v>12.98</v>
      </c>
      <c r="Q389" s="94">
        <v>20</v>
      </c>
      <c r="R389" s="93">
        <f t="shared" ref="R389:R452" si="24">P389*Q389</f>
        <v>259.60000000000002</v>
      </c>
      <c r="S389" s="95">
        <v>0.04</v>
      </c>
      <c r="T389" s="96">
        <f t="shared" ref="T389:T452" si="25">R389*S389</f>
        <v>10.384</v>
      </c>
      <c r="U389" s="96">
        <f t="shared" ref="U389:U452" si="26">R389-S389</f>
        <v>259.56</v>
      </c>
      <c r="V389" s="93">
        <v>3.14</v>
      </c>
      <c r="W389" s="97">
        <f t="shared" ref="W389:W452" si="27">U389+V389</f>
        <v>262.7</v>
      </c>
    </row>
    <row r="390" spans="1:23" x14ac:dyDescent="0.25">
      <c r="A390" s="61" t="s">
        <v>483</v>
      </c>
      <c r="B390" s="91">
        <v>41778</v>
      </c>
      <c r="C390" s="92" t="s">
        <v>1751</v>
      </c>
      <c r="D390" s="92" t="s">
        <v>1326</v>
      </c>
      <c r="E390" s="92" t="s">
        <v>1199</v>
      </c>
      <c r="F390" s="92" t="s">
        <v>1254</v>
      </c>
      <c r="G390" s="92" t="s">
        <v>1202</v>
      </c>
      <c r="H390" s="92" t="s">
        <v>1255</v>
      </c>
      <c r="I390" s="92" t="s">
        <v>1237</v>
      </c>
      <c r="J390" s="92" t="s">
        <v>1386</v>
      </c>
      <c r="K390" s="92" t="s">
        <v>1382</v>
      </c>
      <c r="L390" s="92" t="s">
        <v>1240</v>
      </c>
      <c r="M390" s="92" t="s">
        <v>1250</v>
      </c>
      <c r="N390" s="91">
        <v>41779</v>
      </c>
      <c r="O390" s="93">
        <v>5.5</v>
      </c>
      <c r="P390" s="93">
        <v>12.22</v>
      </c>
      <c r="Q390" s="94">
        <v>18</v>
      </c>
      <c r="R390" s="93">
        <f t="shared" si="24"/>
        <v>219.96</v>
      </c>
      <c r="S390" s="95">
        <v>0.04</v>
      </c>
      <c r="T390" s="96">
        <f t="shared" si="25"/>
        <v>8.7984000000000009</v>
      </c>
      <c r="U390" s="96">
        <f t="shared" si="26"/>
        <v>219.92000000000002</v>
      </c>
      <c r="V390" s="93">
        <v>2.85</v>
      </c>
      <c r="W390" s="97">
        <f t="shared" si="27"/>
        <v>222.77</v>
      </c>
    </row>
    <row r="391" spans="1:23" x14ac:dyDescent="0.25">
      <c r="A391" s="61" t="s">
        <v>484</v>
      </c>
      <c r="B391" s="91">
        <v>41778</v>
      </c>
      <c r="C391" s="92" t="s">
        <v>1752</v>
      </c>
      <c r="D391" s="92" t="s">
        <v>1351</v>
      </c>
      <c r="E391" s="92" t="s">
        <v>1198</v>
      </c>
      <c r="F391" s="92" t="s">
        <v>1235</v>
      </c>
      <c r="G391" s="92" t="s">
        <v>1200</v>
      </c>
      <c r="H391" s="92" t="s">
        <v>1304</v>
      </c>
      <c r="I391" s="92" t="s">
        <v>1248</v>
      </c>
      <c r="J391" s="92" t="s">
        <v>1334</v>
      </c>
      <c r="K391" s="92" t="s">
        <v>1243</v>
      </c>
      <c r="L391" s="92" t="s">
        <v>1244</v>
      </c>
      <c r="M391" s="92" t="s">
        <v>1250</v>
      </c>
      <c r="N391" s="91">
        <v>41783</v>
      </c>
      <c r="O391" s="93">
        <v>2.31</v>
      </c>
      <c r="P391" s="93">
        <v>3.78</v>
      </c>
      <c r="Q391" s="94">
        <v>15</v>
      </c>
      <c r="R391" s="93">
        <f t="shared" si="24"/>
        <v>56.699999999999996</v>
      </c>
      <c r="S391" s="95">
        <v>0.03</v>
      </c>
      <c r="T391" s="96">
        <f t="shared" si="25"/>
        <v>1.7009999999999998</v>
      </c>
      <c r="U391" s="96">
        <f t="shared" si="26"/>
        <v>56.669999999999995</v>
      </c>
      <c r="V391" s="93">
        <v>0.71</v>
      </c>
      <c r="W391" s="97">
        <f t="shared" si="27"/>
        <v>57.379999999999995</v>
      </c>
    </row>
    <row r="392" spans="1:23" x14ac:dyDescent="0.25">
      <c r="A392" s="61" t="s">
        <v>485</v>
      </c>
      <c r="B392" s="91">
        <v>41784</v>
      </c>
      <c r="C392" s="92" t="s">
        <v>1753</v>
      </c>
      <c r="D392" s="92" t="s">
        <v>1754</v>
      </c>
      <c r="E392" s="92" t="s">
        <v>1198</v>
      </c>
      <c r="F392" s="92" t="s">
        <v>1235</v>
      </c>
      <c r="G392" s="92" t="s">
        <v>1201</v>
      </c>
      <c r="H392" s="92" t="s">
        <v>1269</v>
      </c>
      <c r="I392" s="92" t="s">
        <v>1248</v>
      </c>
      <c r="J392" s="92" t="s">
        <v>1318</v>
      </c>
      <c r="K392" s="92" t="s">
        <v>1239</v>
      </c>
      <c r="L392" s="92" t="s">
        <v>1319</v>
      </c>
      <c r="M392" s="92" t="s">
        <v>1320</v>
      </c>
      <c r="N392" s="91">
        <v>41788</v>
      </c>
      <c r="O392" s="93">
        <v>278.99</v>
      </c>
      <c r="P392" s="93">
        <v>449.99</v>
      </c>
      <c r="Q392" s="94">
        <v>47</v>
      </c>
      <c r="R392" s="93">
        <f t="shared" si="24"/>
        <v>21149.53</v>
      </c>
      <c r="S392" s="95">
        <v>0.1</v>
      </c>
      <c r="T392" s="96">
        <f t="shared" si="25"/>
        <v>2114.953</v>
      </c>
      <c r="U392" s="96">
        <f t="shared" si="26"/>
        <v>21149.43</v>
      </c>
      <c r="V392" s="93">
        <v>49</v>
      </c>
      <c r="W392" s="97">
        <f t="shared" si="27"/>
        <v>21198.43</v>
      </c>
    </row>
    <row r="393" spans="1:23" x14ac:dyDescent="0.25">
      <c r="A393" s="61" t="s">
        <v>486</v>
      </c>
      <c r="B393" s="91">
        <v>41788</v>
      </c>
      <c r="C393" s="92" t="s">
        <v>1755</v>
      </c>
      <c r="D393" s="92" t="s">
        <v>1511</v>
      </c>
      <c r="E393" s="92" t="s">
        <v>1198</v>
      </c>
      <c r="F393" s="92" t="s">
        <v>1235</v>
      </c>
      <c r="G393" s="92" t="s">
        <v>1200</v>
      </c>
      <c r="H393" s="92" t="s">
        <v>1236</v>
      </c>
      <c r="I393" s="92" t="s">
        <v>1248</v>
      </c>
      <c r="J393" s="92" t="s">
        <v>1391</v>
      </c>
      <c r="K393" s="92" t="s">
        <v>1239</v>
      </c>
      <c r="L393" s="92" t="s">
        <v>1260</v>
      </c>
      <c r="M393" s="92" t="s">
        <v>1241</v>
      </c>
      <c r="N393" s="91">
        <v>41792</v>
      </c>
      <c r="O393" s="93">
        <v>32.020000000000003</v>
      </c>
      <c r="P393" s="93">
        <v>152.47999999999999</v>
      </c>
      <c r="Q393" s="94">
        <v>49</v>
      </c>
      <c r="R393" s="93">
        <f t="shared" si="24"/>
        <v>7471.5199999999995</v>
      </c>
      <c r="S393" s="95">
        <v>0.03</v>
      </c>
      <c r="T393" s="96">
        <f t="shared" si="25"/>
        <v>224.14559999999997</v>
      </c>
      <c r="U393" s="96">
        <f t="shared" si="26"/>
        <v>7471.49</v>
      </c>
      <c r="V393" s="93">
        <v>4</v>
      </c>
      <c r="W393" s="97">
        <f t="shared" si="27"/>
        <v>7475.49</v>
      </c>
    </row>
    <row r="394" spans="1:23" x14ac:dyDescent="0.25">
      <c r="A394" s="61" t="s">
        <v>487</v>
      </c>
      <c r="B394" s="91">
        <v>41788</v>
      </c>
      <c r="C394" s="92" t="s">
        <v>1756</v>
      </c>
      <c r="D394" s="92" t="s">
        <v>1653</v>
      </c>
      <c r="E394" s="92" t="s">
        <v>1198</v>
      </c>
      <c r="F394" s="92" t="s">
        <v>1235</v>
      </c>
      <c r="G394" s="92" t="s">
        <v>1200</v>
      </c>
      <c r="H394" s="92" t="s">
        <v>1313</v>
      </c>
      <c r="I394" s="92" t="s">
        <v>1317</v>
      </c>
      <c r="J394" s="92" t="s">
        <v>1338</v>
      </c>
      <c r="K394" s="92" t="s">
        <v>1243</v>
      </c>
      <c r="L394" s="92" t="s">
        <v>1260</v>
      </c>
      <c r="M394" s="92" t="s">
        <v>1241</v>
      </c>
      <c r="N394" s="91">
        <v>41788</v>
      </c>
      <c r="O394" s="93">
        <v>13.88</v>
      </c>
      <c r="P394" s="93">
        <v>22.38</v>
      </c>
      <c r="Q394" s="94">
        <v>26</v>
      </c>
      <c r="R394" s="93">
        <f t="shared" si="24"/>
        <v>581.88</v>
      </c>
      <c r="S394" s="95">
        <v>7.0000000000000007E-2</v>
      </c>
      <c r="T394" s="96">
        <f t="shared" si="25"/>
        <v>40.7316</v>
      </c>
      <c r="U394" s="96">
        <f t="shared" si="26"/>
        <v>581.80999999999995</v>
      </c>
      <c r="V394" s="93">
        <v>15.1</v>
      </c>
      <c r="W394" s="97">
        <f t="shared" si="27"/>
        <v>596.91</v>
      </c>
    </row>
    <row r="395" spans="1:23" x14ac:dyDescent="0.25">
      <c r="A395" s="61" t="s">
        <v>488</v>
      </c>
      <c r="B395" s="91">
        <v>41788</v>
      </c>
      <c r="C395" s="92" t="s">
        <v>1757</v>
      </c>
      <c r="D395" s="92" t="s">
        <v>1581</v>
      </c>
      <c r="E395" s="92" t="s">
        <v>1199</v>
      </c>
      <c r="F395" s="92" t="s">
        <v>1254</v>
      </c>
      <c r="G395" s="92" t="s">
        <v>1200</v>
      </c>
      <c r="H395" s="92" t="s">
        <v>1274</v>
      </c>
      <c r="I395" s="92" t="s">
        <v>1237</v>
      </c>
      <c r="J395" s="92" t="s">
        <v>1477</v>
      </c>
      <c r="K395" s="92" t="s">
        <v>1243</v>
      </c>
      <c r="L395" s="92" t="s">
        <v>1240</v>
      </c>
      <c r="M395" s="92" t="s">
        <v>1241</v>
      </c>
      <c r="N395" s="91">
        <v>41788</v>
      </c>
      <c r="O395" s="93">
        <v>4.79</v>
      </c>
      <c r="P395" s="93">
        <v>11.97</v>
      </c>
      <c r="Q395" s="94">
        <v>46</v>
      </c>
      <c r="R395" s="93">
        <f t="shared" si="24"/>
        <v>550.62</v>
      </c>
      <c r="S395" s="95">
        <v>7.0000000000000007E-2</v>
      </c>
      <c r="T395" s="96">
        <f t="shared" si="25"/>
        <v>38.543400000000005</v>
      </c>
      <c r="U395" s="96">
        <f t="shared" si="26"/>
        <v>550.54999999999995</v>
      </c>
      <c r="V395" s="93">
        <v>5.81</v>
      </c>
      <c r="W395" s="97">
        <f t="shared" si="27"/>
        <v>556.3599999999999</v>
      </c>
    </row>
    <row r="396" spans="1:23" x14ac:dyDescent="0.25">
      <c r="A396" s="61" t="s">
        <v>489</v>
      </c>
      <c r="B396" s="91">
        <v>41792</v>
      </c>
      <c r="C396" s="92" t="s">
        <v>1758</v>
      </c>
      <c r="D396" s="92" t="s">
        <v>1253</v>
      </c>
      <c r="E396" s="92" t="s">
        <v>1199</v>
      </c>
      <c r="F396" s="92" t="s">
        <v>1254</v>
      </c>
      <c r="G396" s="92" t="s">
        <v>1200</v>
      </c>
      <c r="H396" s="92" t="s">
        <v>1255</v>
      </c>
      <c r="I396" s="92" t="s">
        <v>1264</v>
      </c>
      <c r="J396" s="92" t="s">
        <v>1257</v>
      </c>
      <c r="K396" s="92" t="s">
        <v>1239</v>
      </c>
      <c r="L396" s="92" t="s">
        <v>1258</v>
      </c>
      <c r="M396" s="92" t="s">
        <v>1241</v>
      </c>
      <c r="N396" s="91">
        <v>41794</v>
      </c>
      <c r="O396" s="93">
        <v>8.82</v>
      </c>
      <c r="P396" s="93">
        <v>20.99</v>
      </c>
      <c r="Q396" s="94">
        <v>10</v>
      </c>
      <c r="R396" s="93">
        <f t="shared" si="24"/>
        <v>209.89999999999998</v>
      </c>
      <c r="S396" s="95">
        <v>0</v>
      </c>
      <c r="T396" s="96">
        <f t="shared" si="25"/>
        <v>0</v>
      </c>
      <c r="U396" s="96">
        <f t="shared" si="26"/>
        <v>209.89999999999998</v>
      </c>
      <c r="V396" s="93">
        <v>4.8099999999999996</v>
      </c>
      <c r="W396" s="97">
        <f t="shared" si="27"/>
        <v>214.70999999999998</v>
      </c>
    </row>
    <row r="397" spans="1:23" x14ac:dyDescent="0.25">
      <c r="A397" s="61" t="s">
        <v>490</v>
      </c>
      <c r="B397" s="91">
        <v>41793</v>
      </c>
      <c r="C397" s="92" t="s">
        <v>1648</v>
      </c>
      <c r="D397" s="92" t="s">
        <v>1649</v>
      </c>
      <c r="E397" s="92" t="s">
        <v>1198</v>
      </c>
      <c r="F397" s="92" t="s">
        <v>1235</v>
      </c>
      <c r="G397" s="92" t="s">
        <v>1200</v>
      </c>
      <c r="H397" s="92" t="s">
        <v>1471</v>
      </c>
      <c r="I397" s="92" t="s">
        <v>1256</v>
      </c>
      <c r="J397" s="92" t="s">
        <v>1759</v>
      </c>
      <c r="K397" s="92" t="s">
        <v>1243</v>
      </c>
      <c r="L397" s="92" t="s">
        <v>1244</v>
      </c>
      <c r="M397" s="92" t="s">
        <v>1241</v>
      </c>
      <c r="N397" s="91">
        <v>41794</v>
      </c>
      <c r="O397" s="93">
        <v>1.0900000000000001</v>
      </c>
      <c r="P397" s="93">
        <v>1.82</v>
      </c>
      <c r="Q397" s="94">
        <v>40</v>
      </c>
      <c r="R397" s="93">
        <f t="shared" si="24"/>
        <v>72.8</v>
      </c>
      <c r="S397" s="95">
        <v>0.1</v>
      </c>
      <c r="T397" s="96">
        <f t="shared" si="25"/>
        <v>7.28</v>
      </c>
      <c r="U397" s="96">
        <f t="shared" si="26"/>
        <v>72.7</v>
      </c>
      <c r="V397" s="93">
        <v>1</v>
      </c>
      <c r="W397" s="97">
        <f t="shared" si="27"/>
        <v>73.7</v>
      </c>
    </row>
    <row r="398" spans="1:23" x14ac:dyDescent="0.25">
      <c r="A398" s="61" t="s">
        <v>491</v>
      </c>
      <c r="B398" s="91">
        <v>41793</v>
      </c>
      <c r="C398" s="92" t="s">
        <v>1399</v>
      </c>
      <c r="D398" s="92" t="s">
        <v>1347</v>
      </c>
      <c r="E398" s="92" t="s">
        <v>1198</v>
      </c>
      <c r="F398" s="92" t="s">
        <v>1235</v>
      </c>
      <c r="G398" s="92" t="s">
        <v>1201</v>
      </c>
      <c r="H398" s="92" t="s">
        <v>1236</v>
      </c>
      <c r="I398" s="92" t="s">
        <v>1317</v>
      </c>
      <c r="J398" s="92" t="s">
        <v>1499</v>
      </c>
      <c r="K398" s="92" t="s">
        <v>1243</v>
      </c>
      <c r="L398" s="92" t="s">
        <v>1244</v>
      </c>
      <c r="M398" s="92" t="s">
        <v>1241</v>
      </c>
      <c r="N398" s="91">
        <v>41795</v>
      </c>
      <c r="O398" s="93">
        <v>3.75</v>
      </c>
      <c r="P398" s="93">
        <v>7.08</v>
      </c>
      <c r="Q398" s="94">
        <v>45</v>
      </c>
      <c r="R398" s="93">
        <f t="shared" si="24"/>
        <v>318.60000000000002</v>
      </c>
      <c r="S398" s="95">
        <v>0.06</v>
      </c>
      <c r="T398" s="96">
        <f t="shared" si="25"/>
        <v>19.116</v>
      </c>
      <c r="U398" s="96">
        <f t="shared" si="26"/>
        <v>318.54000000000002</v>
      </c>
      <c r="V398" s="93">
        <v>2.35</v>
      </c>
      <c r="W398" s="97">
        <f t="shared" si="27"/>
        <v>320.89000000000004</v>
      </c>
    </row>
    <row r="399" spans="1:23" x14ac:dyDescent="0.25">
      <c r="A399" s="61" t="s">
        <v>492</v>
      </c>
      <c r="B399" s="91">
        <v>41794</v>
      </c>
      <c r="C399" s="92" t="s">
        <v>1632</v>
      </c>
      <c r="D399" s="92" t="s">
        <v>1398</v>
      </c>
      <c r="E399" s="92" t="s">
        <v>1198</v>
      </c>
      <c r="F399" s="92" t="s">
        <v>1235</v>
      </c>
      <c r="G399" s="92" t="s">
        <v>1202</v>
      </c>
      <c r="H399" s="92" t="s">
        <v>1269</v>
      </c>
      <c r="I399" s="92" t="s">
        <v>1317</v>
      </c>
      <c r="J399" s="92" t="s">
        <v>1533</v>
      </c>
      <c r="K399" s="92" t="s">
        <v>1243</v>
      </c>
      <c r="L399" s="92" t="s">
        <v>1260</v>
      </c>
      <c r="M399" s="92" t="s">
        <v>1241</v>
      </c>
      <c r="N399" s="91">
        <v>41795</v>
      </c>
      <c r="O399" s="93">
        <v>178.83</v>
      </c>
      <c r="P399" s="93">
        <v>415.88</v>
      </c>
      <c r="Q399" s="94">
        <v>43</v>
      </c>
      <c r="R399" s="93">
        <f t="shared" si="24"/>
        <v>17882.84</v>
      </c>
      <c r="S399" s="95">
        <v>7.0000000000000007E-2</v>
      </c>
      <c r="T399" s="96">
        <f t="shared" si="25"/>
        <v>1251.7988</v>
      </c>
      <c r="U399" s="96">
        <f t="shared" si="26"/>
        <v>17882.77</v>
      </c>
      <c r="V399" s="93">
        <v>11.37</v>
      </c>
      <c r="W399" s="97">
        <f t="shared" si="27"/>
        <v>17894.14</v>
      </c>
    </row>
    <row r="400" spans="1:23" x14ac:dyDescent="0.25">
      <c r="A400" s="61" t="s">
        <v>493</v>
      </c>
      <c r="B400" s="91">
        <v>41794</v>
      </c>
      <c r="C400" s="92" t="s">
        <v>1760</v>
      </c>
      <c r="D400" s="92" t="s">
        <v>1514</v>
      </c>
      <c r="E400" s="92" t="s">
        <v>1198</v>
      </c>
      <c r="F400" s="92" t="s">
        <v>1235</v>
      </c>
      <c r="G400" s="92" t="s">
        <v>1201</v>
      </c>
      <c r="H400" s="92" t="s">
        <v>1291</v>
      </c>
      <c r="I400" s="92" t="s">
        <v>1256</v>
      </c>
      <c r="J400" s="92" t="s">
        <v>1512</v>
      </c>
      <c r="K400" s="92" t="s">
        <v>1239</v>
      </c>
      <c r="L400" s="92" t="s">
        <v>1260</v>
      </c>
      <c r="M400" s="92" t="s">
        <v>1241</v>
      </c>
      <c r="N400" s="91">
        <v>41795</v>
      </c>
      <c r="O400" s="93">
        <v>156.5</v>
      </c>
      <c r="P400" s="93">
        <v>300.97000000000003</v>
      </c>
      <c r="Q400" s="94">
        <v>6</v>
      </c>
      <c r="R400" s="93">
        <f t="shared" si="24"/>
        <v>1805.8200000000002</v>
      </c>
      <c r="S400" s="95">
        <v>0.04</v>
      </c>
      <c r="T400" s="96">
        <f t="shared" si="25"/>
        <v>72.232800000000012</v>
      </c>
      <c r="U400" s="96">
        <f t="shared" si="26"/>
        <v>1805.7800000000002</v>
      </c>
      <c r="V400" s="93">
        <v>7.18</v>
      </c>
      <c r="W400" s="97">
        <f t="shared" si="27"/>
        <v>1812.9600000000003</v>
      </c>
    </row>
    <row r="401" spans="1:23" x14ac:dyDescent="0.25">
      <c r="A401" s="61" t="s">
        <v>494</v>
      </c>
      <c r="B401" s="91">
        <v>41795</v>
      </c>
      <c r="C401" s="92" t="s">
        <v>1761</v>
      </c>
      <c r="D401" s="92" t="s">
        <v>1308</v>
      </c>
      <c r="E401" s="92" t="s">
        <v>1198</v>
      </c>
      <c r="F401" s="92" t="s">
        <v>1235</v>
      </c>
      <c r="G401" s="92" t="s">
        <v>1200</v>
      </c>
      <c r="H401" s="92" t="s">
        <v>1247</v>
      </c>
      <c r="I401" s="92" t="s">
        <v>1237</v>
      </c>
      <c r="J401" s="92" t="s">
        <v>1517</v>
      </c>
      <c r="K401" s="92" t="s">
        <v>1243</v>
      </c>
      <c r="L401" s="92" t="s">
        <v>1260</v>
      </c>
      <c r="M401" s="92" t="s">
        <v>1241</v>
      </c>
      <c r="N401" s="91">
        <v>41797</v>
      </c>
      <c r="O401" s="93">
        <v>12.39</v>
      </c>
      <c r="P401" s="93">
        <v>19.98</v>
      </c>
      <c r="Q401" s="94">
        <v>10</v>
      </c>
      <c r="R401" s="93">
        <f t="shared" si="24"/>
        <v>199.8</v>
      </c>
      <c r="S401" s="95">
        <v>0.1</v>
      </c>
      <c r="T401" s="96">
        <f t="shared" si="25"/>
        <v>19.980000000000004</v>
      </c>
      <c r="U401" s="96">
        <f t="shared" si="26"/>
        <v>199.70000000000002</v>
      </c>
      <c r="V401" s="93">
        <v>5.77</v>
      </c>
      <c r="W401" s="97">
        <f t="shared" si="27"/>
        <v>205.47000000000003</v>
      </c>
    </row>
    <row r="402" spans="1:23" x14ac:dyDescent="0.25">
      <c r="A402" s="61" t="s">
        <v>495</v>
      </c>
      <c r="B402" s="91">
        <v>41797</v>
      </c>
      <c r="C402" s="92" t="s">
        <v>1762</v>
      </c>
      <c r="D402" s="92" t="s">
        <v>1763</v>
      </c>
      <c r="E402" s="92" t="s">
        <v>1198</v>
      </c>
      <c r="F402" s="92" t="s">
        <v>1235</v>
      </c>
      <c r="G402" s="92" t="s">
        <v>1202</v>
      </c>
      <c r="H402" s="92" t="s">
        <v>1471</v>
      </c>
      <c r="I402" s="92" t="s">
        <v>1237</v>
      </c>
      <c r="J402" s="92" t="s">
        <v>1318</v>
      </c>
      <c r="K402" s="92" t="s">
        <v>1239</v>
      </c>
      <c r="L402" s="92" t="s">
        <v>1319</v>
      </c>
      <c r="M402" s="92" t="s">
        <v>1320</v>
      </c>
      <c r="N402" s="91">
        <v>41798</v>
      </c>
      <c r="O402" s="93">
        <v>278.99</v>
      </c>
      <c r="P402" s="93">
        <v>449.99</v>
      </c>
      <c r="Q402" s="94">
        <v>5</v>
      </c>
      <c r="R402" s="93">
        <f t="shared" si="24"/>
        <v>2249.9499999999998</v>
      </c>
      <c r="S402" s="95">
        <v>0.01</v>
      </c>
      <c r="T402" s="96">
        <f t="shared" si="25"/>
        <v>22.499499999999998</v>
      </c>
      <c r="U402" s="96">
        <f t="shared" si="26"/>
        <v>2249.9399999999996</v>
      </c>
      <c r="V402" s="93">
        <v>49</v>
      </c>
      <c r="W402" s="97">
        <f t="shared" si="27"/>
        <v>2298.9399999999996</v>
      </c>
    </row>
    <row r="403" spans="1:23" x14ac:dyDescent="0.25">
      <c r="A403" s="61" t="s">
        <v>496</v>
      </c>
      <c r="B403" s="91">
        <v>41798</v>
      </c>
      <c r="C403" s="92" t="s">
        <v>1764</v>
      </c>
      <c r="D403" s="92" t="s">
        <v>1253</v>
      </c>
      <c r="E403" s="92" t="s">
        <v>1199</v>
      </c>
      <c r="F403" s="92" t="s">
        <v>1254</v>
      </c>
      <c r="G403" s="92" t="s">
        <v>1200</v>
      </c>
      <c r="H403" s="92" t="s">
        <v>1255</v>
      </c>
      <c r="I403" s="92" t="s">
        <v>1256</v>
      </c>
      <c r="J403" s="92" t="s">
        <v>1300</v>
      </c>
      <c r="K403" s="92" t="s">
        <v>1243</v>
      </c>
      <c r="L403" s="92" t="s">
        <v>1260</v>
      </c>
      <c r="M403" s="92" t="s">
        <v>1250</v>
      </c>
      <c r="N403" s="91">
        <v>41800</v>
      </c>
      <c r="O403" s="93">
        <v>2.2599999999999998</v>
      </c>
      <c r="P403" s="93">
        <v>3.58</v>
      </c>
      <c r="Q403" s="94">
        <v>44</v>
      </c>
      <c r="R403" s="93">
        <f t="shared" si="24"/>
        <v>157.52000000000001</v>
      </c>
      <c r="S403" s="95">
        <v>0.06</v>
      </c>
      <c r="T403" s="96">
        <f t="shared" si="25"/>
        <v>9.4512</v>
      </c>
      <c r="U403" s="96">
        <f t="shared" si="26"/>
        <v>157.46</v>
      </c>
      <c r="V403" s="93">
        <v>5.47</v>
      </c>
      <c r="W403" s="97">
        <f t="shared" si="27"/>
        <v>162.93</v>
      </c>
    </row>
    <row r="404" spans="1:23" x14ac:dyDescent="0.25">
      <c r="A404" s="61" t="s">
        <v>497</v>
      </c>
      <c r="B404" s="91">
        <v>41799</v>
      </c>
      <c r="C404" s="92" t="s">
        <v>1516</v>
      </c>
      <c r="D404" s="92" t="s">
        <v>1262</v>
      </c>
      <c r="E404" s="92" t="s">
        <v>1198</v>
      </c>
      <c r="F404" s="92" t="s">
        <v>1235</v>
      </c>
      <c r="G404" s="92" t="s">
        <v>1201</v>
      </c>
      <c r="H404" s="92" t="s">
        <v>1263</v>
      </c>
      <c r="I404" s="92" t="s">
        <v>1317</v>
      </c>
      <c r="J404" s="92" t="s">
        <v>1663</v>
      </c>
      <c r="K404" s="92" t="s">
        <v>1382</v>
      </c>
      <c r="L404" s="92" t="s">
        <v>1240</v>
      </c>
      <c r="M404" s="92" t="s">
        <v>1241</v>
      </c>
      <c r="N404" s="91">
        <v>41799</v>
      </c>
      <c r="O404" s="93">
        <v>11.38</v>
      </c>
      <c r="P404" s="93">
        <v>18.649999999999999</v>
      </c>
      <c r="Q404" s="94">
        <v>18</v>
      </c>
      <c r="R404" s="93">
        <f t="shared" si="24"/>
        <v>335.7</v>
      </c>
      <c r="S404" s="95">
        <v>0.1</v>
      </c>
      <c r="T404" s="96">
        <f t="shared" si="25"/>
        <v>33.57</v>
      </c>
      <c r="U404" s="96">
        <f t="shared" si="26"/>
        <v>335.59999999999997</v>
      </c>
      <c r="V404" s="93">
        <v>3.77</v>
      </c>
      <c r="W404" s="97">
        <f t="shared" si="27"/>
        <v>339.36999999999995</v>
      </c>
    </row>
    <row r="405" spans="1:23" x14ac:dyDescent="0.25">
      <c r="A405" s="61" t="s">
        <v>498</v>
      </c>
      <c r="B405" s="91">
        <v>41803</v>
      </c>
      <c r="C405" s="92" t="s">
        <v>1765</v>
      </c>
      <c r="D405" s="92" t="s">
        <v>1562</v>
      </c>
      <c r="E405" s="92" t="s">
        <v>1198</v>
      </c>
      <c r="F405" s="92" t="s">
        <v>1235</v>
      </c>
      <c r="G405" s="92" t="s">
        <v>1200</v>
      </c>
      <c r="H405" s="92" t="s">
        <v>1304</v>
      </c>
      <c r="I405" s="92" t="s">
        <v>1248</v>
      </c>
      <c r="J405" s="92" t="s">
        <v>1536</v>
      </c>
      <c r="K405" s="92" t="s">
        <v>1243</v>
      </c>
      <c r="L405" s="92" t="s">
        <v>1260</v>
      </c>
      <c r="M405" s="92" t="s">
        <v>1250</v>
      </c>
      <c r="N405" s="91">
        <v>41812</v>
      </c>
      <c r="O405" s="93">
        <v>19.829999999999998</v>
      </c>
      <c r="P405" s="93">
        <v>30.98</v>
      </c>
      <c r="Q405" s="94">
        <v>46</v>
      </c>
      <c r="R405" s="93">
        <f t="shared" si="24"/>
        <v>1425.08</v>
      </c>
      <c r="S405" s="95">
        <v>0.04</v>
      </c>
      <c r="T405" s="96">
        <f t="shared" si="25"/>
        <v>57.0032</v>
      </c>
      <c r="U405" s="96">
        <f t="shared" si="26"/>
        <v>1425.04</v>
      </c>
      <c r="V405" s="93">
        <v>19.510000000000002</v>
      </c>
      <c r="W405" s="97">
        <f t="shared" si="27"/>
        <v>1444.55</v>
      </c>
    </row>
    <row r="406" spans="1:23" x14ac:dyDescent="0.25">
      <c r="A406" s="61" t="s">
        <v>499</v>
      </c>
      <c r="B406" s="91">
        <v>41806</v>
      </c>
      <c r="C406" s="92" t="s">
        <v>1706</v>
      </c>
      <c r="D406" s="92" t="s">
        <v>1491</v>
      </c>
      <c r="E406" s="92" t="s">
        <v>1198</v>
      </c>
      <c r="F406" s="92" t="s">
        <v>1235</v>
      </c>
      <c r="G406" s="92" t="s">
        <v>1203</v>
      </c>
      <c r="H406" s="92" t="s">
        <v>1313</v>
      </c>
      <c r="I406" s="92" t="s">
        <v>1248</v>
      </c>
      <c r="J406" s="92" t="s">
        <v>1456</v>
      </c>
      <c r="K406" s="92" t="s">
        <v>1243</v>
      </c>
      <c r="L406" s="92" t="s">
        <v>1260</v>
      </c>
      <c r="M406" s="92" t="s">
        <v>1241</v>
      </c>
      <c r="N406" s="91">
        <v>41811</v>
      </c>
      <c r="O406" s="93">
        <v>3.52</v>
      </c>
      <c r="P406" s="93">
        <v>5.68</v>
      </c>
      <c r="Q406" s="94">
        <v>32</v>
      </c>
      <c r="R406" s="93">
        <f t="shared" si="24"/>
        <v>181.76</v>
      </c>
      <c r="S406" s="95">
        <v>0.1</v>
      </c>
      <c r="T406" s="96">
        <f t="shared" si="25"/>
        <v>18.175999999999998</v>
      </c>
      <c r="U406" s="96">
        <f t="shared" si="26"/>
        <v>181.66</v>
      </c>
      <c r="V406" s="93">
        <v>1.39</v>
      </c>
      <c r="W406" s="97">
        <f t="shared" si="27"/>
        <v>183.04999999999998</v>
      </c>
    </row>
    <row r="407" spans="1:23" x14ac:dyDescent="0.25">
      <c r="A407" s="61" t="s">
        <v>500</v>
      </c>
      <c r="B407" s="91">
        <v>41807</v>
      </c>
      <c r="C407" s="92" t="s">
        <v>1453</v>
      </c>
      <c r="D407" s="92" t="s">
        <v>1454</v>
      </c>
      <c r="E407" s="92" t="s">
        <v>1198</v>
      </c>
      <c r="F407" s="92" t="s">
        <v>1235</v>
      </c>
      <c r="G407" s="92" t="s">
        <v>1203</v>
      </c>
      <c r="H407" s="92" t="s">
        <v>1304</v>
      </c>
      <c r="I407" s="92" t="s">
        <v>1237</v>
      </c>
      <c r="J407" s="92" t="s">
        <v>1324</v>
      </c>
      <c r="K407" s="92" t="s">
        <v>1243</v>
      </c>
      <c r="L407" s="92" t="s">
        <v>1260</v>
      </c>
      <c r="M407" s="92" t="s">
        <v>1241</v>
      </c>
      <c r="N407" s="91">
        <v>41808</v>
      </c>
      <c r="O407" s="93">
        <v>1.18</v>
      </c>
      <c r="P407" s="93">
        <v>1.88</v>
      </c>
      <c r="Q407" s="94">
        <v>19</v>
      </c>
      <c r="R407" s="93">
        <f t="shared" si="24"/>
        <v>35.72</v>
      </c>
      <c r="S407" s="95">
        <v>7.0000000000000007E-2</v>
      </c>
      <c r="T407" s="96">
        <f t="shared" si="25"/>
        <v>2.5004</v>
      </c>
      <c r="U407" s="96">
        <f t="shared" si="26"/>
        <v>35.65</v>
      </c>
      <c r="V407" s="93">
        <v>1.49</v>
      </c>
      <c r="W407" s="97">
        <f t="shared" si="27"/>
        <v>37.14</v>
      </c>
    </row>
    <row r="408" spans="1:23" x14ac:dyDescent="0.25">
      <c r="A408" s="61" t="s">
        <v>501</v>
      </c>
      <c r="B408" s="91">
        <v>41808</v>
      </c>
      <c r="C408" s="92" t="s">
        <v>1336</v>
      </c>
      <c r="D408" s="92" t="s">
        <v>1337</v>
      </c>
      <c r="E408" s="92" t="s">
        <v>1198</v>
      </c>
      <c r="F408" s="92" t="s">
        <v>1235</v>
      </c>
      <c r="G408" s="92" t="s">
        <v>1200</v>
      </c>
      <c r="H408" s="92" t="s">
        <v>1247</v>
      </c>
      <c r="I408" s="92" t="s">
        <v>1317</v>
      </c>
      <c r="J408" s="92" t="s">
        <v>1410</v>
      </c>
      <c r="K408" s="92" t="s">
        <v>1243</v>
      </c>
      <c r="L408" s="92" t="s">
        <v>1244</v>
      </c>
      <c r="M408" s="92" t="s">
        <v>1241</v>
      </c>
      <c r="N408" s="91">
        <v>41808</v>
      </c>
      <c r="O408" s="93">
        <v>2.41</v>
      </c>
      <c r="P408" s="93">
        <v>3.71</v>
      </c>
      <c r="Q408" s="94">
        <v>39</v>
      </c>
      <c r="R408" s="93">
        <f t="shared" si="24"/>
        <v>144.69</v>
      </c>
      <c r="S408" s="95">
        <v>0.06</v>
      </c>
      <c r="T408" s="96">
        <f t="shared" si="25"/>
        <v>8.6814</v>
      </c>
      <c r="U408" s="96">
        <f t="shared" si="26"/>
        <v>144.63</v>
      </c>
      <c r="V408" s="93">
        <v>1.93</v>
      </c>
      <c r="W408" s="97">
        <f t="shared" si="27"/>
        <v>146.56</v>
      </c>
    </row>
    <row r="409" spans="1:23" x14ac:dyDescent="0.25">
      <c r="A409" s="61" t="s">
        <v>502</v>
      </c>
      <c r="B409" s="91">
        <v>41808</v>
      </c>
      <c r="C409" s="92" t="s">
        <v>1424</v>
      </c>
      <c r="D409" s="92" t="s">
        <v>1425</v>
      </c>
      <c r="E409" s="92" t="s">
        <v>1198</v>
      </c>
      <c r="F409" s="92" t="s">
        <v>1235</v>
      </c>
      <c r="G409" s="92" t="s">
        <v>1201</v>
      </c>
      <c r="H409" s="92" t="s">
        <v>1409</v>
      </c>
      <c r="I409" s="92" t="s">
        <v>1264</v>
      </c>
      <c r="J409" s="92" t="s">
        <v>1356</v>
      </c>
      <c r="K409" s="92" t="s">
        <v>1243</v>
      </c>
      <c r="L409" s="92" t="s">
        <v>1244</v>
      </c>
      <c r="M409" s="92" t="s">
        <v>1241</v>
      </c>
      <c r="N409" s="91">
        <v>41808</v>
      </c>
      <c r="O409" s="93">
        <v>1.88</v>
      </c>
      <c r="P409" s="93">
        <v>3.14</v>
      </c>
      <c r="Q409" s="94">
        <v>32</v>
      </c>
      <c r="R409" s="93">
        <f t="shared" si="24"/>
        <v>100.48</v>
      </c>
      <c r="S409" s="95">
        <v>0.03</v>
      </c>
      <c r="T409" s="96">
        <f t="shared" si="25"/>
        <v>3.0144000000000002</v>
      </c>
      <c r="U409" s="96">
        <f t="shared" si="26"/>
        <v>100.45</v>
      </c>
      <c r="V409" s="93">
        <v>1.1399999999999999</v>
      </c>
      <c r="W409" s="97">
        <f t="shared" si="27"/>
        <v>101.59</v>
      </c>
    </row>
    <row r="410" spans="1:23" x14ac:dyDescent="0.25">
      <c r="A410" s="61" t="s">
        <v>503</v>
      </c>
      <c r="B410" s="91">
        <v>41809</v>
      </c>
      <c r="C410" s="92" t="s">
        <v>1766</v>
      </c>
      <c r="D410" s="92" t="s">
        <v>1388</v>
      </c>
      <c r="E410" s="92" t="s">
        <v>1199</v>
      </c>
      <c r="F410" s="92" t="s">
        <v>1254</v>
      </c>
      <c r="G410" s="92" t="s">
        <v>1202</v>
      </c>
      <c r="H410" s="92" t="s">
        <v>1255</v>
      </c>
      <c r="I410" s="92" t="s">
        <v>1237</v>
      </c>
      <c r="J410" s="92" t="s">
        <v>1492</v>
      </c>
      <c r="K410" s="92" t="s">
        <v>1243</v>
      </c>
      <c r="L410" s="92" t="s">
        <v>1244</v>
      </c>
      <c r="M410" s="92" t="s">
        <v>1241</v>
      </c>
      <c r="N410" s="91">
        <v>41811</v>
      </c>
      <c r="O410" s="93">
        <v>21.56</v>
      </c>
      <c r="P410" s="93">
        <v>36.549999999999997</v>
      </c>
      <c r="Q410" s="94">
        <v>48</v>
      </c>
      <c r="R410" s="93">
        <f t="shared" si="24"/>
        <v>1754.3999999999999</v>
      </c>
      <c r="S410" s="95">
        <v>7.0000000000000007E-2</v>
      </c>
      <c r="T410" s="96">
        <f t="shared" si="25"/>
        <v>122.80800000000001</v>
      </c>
      <c r="U410" s="96">
        <f t="shared" si="26"/>
        <v>1754.33</v>
      </c>
      <c r="V410" s="93">
        <v>13.89</v>
      </c>
      <c r="W410" s="97">
        <f t="shared" si="27"/>
        <v>1768.22</v>
      </c>
    </row>
    <row r="411" spans="1:23" x14ac:dyDescent="0.25">
      <c r="A411" s="61" t="s">
        <v>504</v>
      </c>
      <c r="B411" s="91">
        <v>41809</v>
      </c>
      <c r="C411" s="92" t="s">
        <v>1767</v>
      </c>
      <c r="D411" s="92" t="s">
        <v>1323</v>
      </c>
      <c r="E411" s="92" t="s">
        <v>1198</v>
      </c>
      <c r="F411" s="92" t="s">
        <v>1235</v>
      </c>
      <c r="G411" s="92" t="s">
        <v>1202</v>
      </c>
      <c r="H411" s="92" t="s">
        <v>1263</v>
      </c>
      <c r="I411" s="92" t="s">
        <v>1256</v>
      </c>
      <c r="J411" s="92" t="s">
        <v>1392</v>
      </c>
      <c r="K411" s="92" t="s">
        <v>1239</v>
      </c>
      <c r="L411" s="92" t="s">
        <v>1240</v>
      </c>
      <c r="M411" s="92" t="s">
        <v>1241</v>
      </c>
      <c r="N411" s="91">
        <v>41811</v>
      </c>
      <c r="O411" s="93">
        <v>20.18</v>
      </c>
      <c r="P411" s="93">
        <v>35.409999999999997</v>
      </c>
      <c r="Q411" s="94">
        <v>21</v>
      </c>
      <c r="R411" s="93">
        <f t="shared" si="24"/>
        <v>743.6099999999999</v>
      </c>
      <c r="S411" s="95">
        <v>0.01</v>
      </c>
      <c r="T411" s="96">
        <f t="shared" si="25"/>
        <v>7.4360999999999988</v>
      </c>
      <c r="U411" s="96">
        <f t="shared" si="26"/>
        <v>743.59999999999991</v>
      </c>
      <c r="V411" s="93">
        <v>1.99</v>
      </c>
      <c r="W411" s="97">
        <f t="shared" si="27"/>
        <v>745.58999999999992</v>
      </c>
    </row>
    <row r="412" spans="1:23" x14ac:dyDescent="0.25">
      <c r="A412" s="61" t="s">
        <v>505</v>
      </c>
      <c r="B412" s="91">
        <v>41809</v>
      </c>
      <c r="C412" s="92" t="s">
        <v>1600</v>
      </c>
      <c r="D412" s="92" t="s">
        <v>1454</v>
      </c>
      <c r="E412" s="92" t="s">
        <v>1198</v>
      </c>
      <c r="F412" s="92" t="s">
        <v>1235</v>
      </c>
      <c r="G412" s="92" t="s">
        <v>1203</v>
      </c>
      <c r="H412" s="92" t="s">
        <v>1304</v>
      </c>
      <c r="I412" s="92" t="s">
        <v>1317</v>
      </c>
      <c r="J412" s="92" t="s">
        <v>1421</v>
      </c>
      <c r="K412" s="92" t="s">
        <v>1243</v>
      </c>
      <c r="L412" s="92" t="s">
        <v>1260</v>
      </c>
      <c r="M412" s="92" t="s">
        <v>1241</v>
      </c>
      <c r="N412" s="91">
        <v>41811</v>
      </c>
      <c r="O412" s="93">
        <v>99.39</v>
      </c>
      <c r="P412" s="93">
        <v>162.93</v>
      </c>
      <c r="Q412" s="94">
        <v>16</v>
      </c>
      <c r="R412" s="93">
        <f t="shared" si="24"/>
        <v>2606.88</v>
      </c>
      <c r="S412" s="95">
        <v>0.1</v>
      </c>
      <c r="T412" s="96">
        <f t="shared" si="25"/>
        <v>260.68800000000005</v>
      </c>
      <c r="U412" s="96">
        <f t="shared" si="26"/>
        <v>2606.7800000000002</v>
      </c>
      <c r="V412" s="93">
        <v>19.989999999999998</v>
      </c>
      <c r="W412" s="97">
        <f t="shared" si="27"/>
        <v>2626.77</v>
      </c>
    </row>
    <row r="413" spans="1:23" x14ac:dyDescent="0.25">
      <c r="A413" s="61" t="s">
        <v>506</v>
      </c>
      <c r="B413" s="91">
        <v>41812</v>
      </c>
      <c r="C413" s="92" t="s">
        <v>1768</v>
      </c>
      <c r="D413" s="92" t="s">
        <v>1744</v>
      </c>
      <c r="E413" s="92" t="s">
        <v>1198</v>
      </c>
      <c r="F413" s="92" t="s">
        <v>1235</v>
      </c>
      <c r="G413" s="92" t="s">
        <v>1200</v>
      </c>
      <c r="H413" s="92" t="s">
        <v>1471</v>
      </c>
      <c r="I413" s="92" t="s">
        <v>1256</v>
      </c>
      <c r="J413" s="92" t="s">
        <v>1381</v>
      </c>
      <c r="K413" s="92" t="s">
        <v>1382</v>
      </c>
      <c r="L413" s="92" t="s">
        <v>1296</v>
      </c>
      <c r="M413" s="92" t="s">
        <v>1250</v>
      </c>
      <c r="N413" s="91">
        <v>41814</v>
      </c>
      <c r="O413" s="93">
        <v>56.16</v>
      </c>
      <c r="P413" s="93">
        <v>136.97999999999999</v>
      </c>
      <c r="Q413" s="94">
        <v>17</v>
      </c>
      <c r="R413" s="93">
        <f t="shared" si="24"/>
        <v>2328.66</v>
      </c>
      <c r="S413" s="95">
        <v>0</v>
      </c>
      <c r="T413" s="96">
        <f t="shared" si="25"/>
        <v>0</v>
      </c>
      <c r="U413" s="96">
        <f t="shared" si="26"/>
        <v>2328.66</v>
      </c>
      <c r="V413" s="93">
        <v>24.49</v>
      </c>
      <c r="W413" s="97">
        <f t="shared" si="27"/>
        <v>2353.1499999999996</v>
      </c>
    </row>
    <row r="414" spans="1:23" x14ac:dyDescent="0.25">
      <c r="A414" s="61" t="s">
        <v>507</v>
      </c>
      <c r="B414" s="91">
        <v>41812</v>
      </c>
      <c r="C414" s="92" t="s">
        <v>1769</v>
      </c>
      <c r="D414" s="92" t="s">
        <v>1770</v>
      </c>
      <c r="E414" s="92" t="s">
        <v>1199</v>
      </c>
      <c r="F414" s="92" t="s">
        <v>1254</v>
      </c>
      <c r="G414" s="92" t="s">
        <v>1202</v>
      </c>
      <c r="H414" s="92" t="s">
        <v>1471</v>
      </c>
      <c r="I414" s="92" t="s">
        <v>1237</v>
      </c>
      <c r="J414" s="92" t="s">
        <v>1680</v>
      </c>
      <c r="K414" s="92" t="s">
        <v>1243</v>
      </c>
      <c r="L414" s="92" t="s">
        <v>1260</v>
      </c>
      <c r="M414" s="92" t="s">
        <v>1250</v>
      </c>
      <c r="N414" s="91">
        <v>41814</v>
      </c>
      <c r="O414" s="93">
        <v>3.14</v>
      </c>
      <c r="P414" s="93">
        <v>4.91</v>
      </c>
      <c r="Q414" s="94">
        <v>24</v>
      </c>
      <c r="R414" s="93">
        <f t="shared" si="24"/>
        <v>117.84</v>
      </c>
      <c r="S414" s="95">
        <v>0.01</v>
      </c>
      <c r="T414" s="96">
        <f t="shared" si="25"/>
        <v>1.1784000000000001</v>
      </c>
      <c r="U414" s="96">
        <f t="shared" si="26"/>
        <v>117.83</v>
      </c>
      <c r="V414" s="93">
        <v>0.5</v>
      </c>
      <c r="W414" s="97">
        <f t="shared" si="27"/>
        <v>118.33</v>
      </c>
    </row>
    <row r="415" spans="1:23" x14ac:dyDescent="0.25">
      <c r="A415" s="61" t="s">
        <v>508</v>
      </c>
      <c r="B415" s="91">
        <v>41813</v>
      </c>
      <c r="C415" s="92" t="s">
        <v>1771</v>
      </c>
      <c r="D415" s="92" t="s">
        <v>1772</v>
      </c>
      <c r="E415" s="92" t="s">
        <v>1198</v>
      </c>
      <c r="F415" s="92" t="s">
        <v>1235</v>
      </c>
      <c r="G415" s="92" t="s">
        <v>1203</v>
      </c>
      <c r="H415" s="92" t="s">
        <v>1247</v>
      </c>
      <c r="I415" s="92" t="s">
        <v>1237</v>
      </c>
      <c r="J415" s="92" t="s">
        <v>1773</v>
      </c>
      <c r="K415" s="92" t="s">
        <v>1243</v>
      </c>
      <c r="L415" s="92" t="s">
        <v>1260</v>
      </c>
      <c r="M415" s="92" t="s">
        <v>1241</v>
      </c>
      <c r="N415" s="91">
        <v>41813</v>
      </c>
      <c r="O415" s="93">
        <v>1.84</v>
      </c>
      <c r="P415" s="93">
        <v>2.88</v>
      </c>
      <c r="Q415" s="94">
        <v>8</v>
      </c>
      <c r="R415" s="93">
        <f t="shared" si="24"/>
        <v>23.04</v>
      </c>
      <c r="S415" s="95">
        <v>7.0000000000000007E-2</v>
      </c>
      <c r="T415" s="96">
        <f t="shared" si="25"/>
        <v>1.6128</v>
      </c>
      <c r="U415" s="96">
        <f t="shared" si="26"/>
        <v>22.97</v>
      </c>
      <c r="V415" s="93">
        <v>0.99</v>
      </c>
      <c r="W415" s="97">
        <f t="shared" si="27"/>
        <v>23.959999999999997</v>
      </c>
    </row>
    <row r="416" spans="1:23" x14ac:dyDescent="0.25">
      <c r="A416" s="61" t="s">
        <v>509</v>
      </c>
      <c r="B416" s="91">
        <v>41815</v>
      </c>
      <c r="C416" s="92" t="s">
        <v>1534</v>
      </c>
      <c r="D416" s="92" t="s">
        <v>1532</v>
      </c>
      <c r="E416" s="92" t="s">
        <v>1198</v>
      </c>
      <c r="F416" s="92" t="s">
        <v>1235</v>
      </c>
      <c r="G416" s="92" t="s">
        <v>1201</v>
      </c>
      <c r="H416" s="92" t="s">
        <v>1263</v>
      </c>
      <c r="I416" s="92" t="s">
        <v>1256</v>
      </c>
      <c r="J416" s="92" t="s">
        <v>1645</v>
      </c>
      <c r="K416" s="92" t="s">
        <v>1243</v>
      </c>
      <c r="L416" s="92" t="s">
        <v>1240</v>
      </c>
      <c r="M416" s="92" t="s">
        <v>1241</v>
      </c>
      <c r="N416" s="91">
        <v>41815</v>
      </c>
      <c r="O416" s="93">
        <v>16.8</v>
      </c>
      <c r="P416" s="93">
        <v>40.97</v>
      </c>
      <c r="Q416" s="94">
        <v>47</v>
      </c>
      <c r="R416" s="93">
        <f t="shared" si="24"/>
        <v>1925.59</v>
      </c>
      <c r="S416" s="95">
        <v>0.06</v>
      </c>
      <c r="T416" s="96">
        <f t="shared" si="25"/>
        <v>115.5354</v>
      </c>
      <c r="U416" s="96">
        <f t="shared" si="26"/>
        <v>1925.53</v>
      </c>
      <c r="V416" s="93">
        <v>8.99</v>
      </c>
      <c r="W416" s="97">
        <f t="shared" si="27"/>
        <v>1934.52</v>
      </c>
    </row>
    <row r="417" spans="1:23" x14ac:dyDescent="0.25">
      <c r="A417" s="61" t="s">
        <v>510</v>
      </c>
      <c r="B417" s="91">
        <v>41817</v>
      </c>
      <c r="C417" s="92" t="s">
        <v>1375</v>
      </c>
      <c r="D417" s="92" t="s">
        <v>1376</v>
      </c>
      <c r="E417" s="92" t="s">
        <v>1199</v>
      </c>
      <c r="F417" s="92" t="s">
        <v>1254</v>
      </c>
      <c r="G417" s="92" t="s">
        <v>1201</v>
      </c>
      <c r="H417" s="92" t="s">
        <v>1255</v>
      </c>
      <c r="I417" s="92" t="s">
        <v>1317</v>
      </c>
      <c r="J417" s="92" t="s">
        <v>1357</v>
      </c>
      <c r="K417" s="92" t="s">
        <v>1243</v>
      </c>
      <c r="L417" s="92" t="s">
        <v>1240</v>
      </c>
      <c r="M417" s="92" t="s">
        <v>1241</v>
      </c>
      <c r="N417" s="91">
        <v>41818</v>
      </c>
      <c r="O417" s="93">
        <v>1.46</v>
      </c>
      <c r="P417" s="93">
        <v>3.57</v>
      </c>
      <c r="Q417" s="94">
        <v>46</v>
      </c>
      <c r="R417" s="93">
        <f t="shared" si="24"/>
        <v>164.22</v>
      </c>
      <c r="S417" s="95">
        <v>0.01</v>
      </c>
      <c r="T417" s="96">
        <f t="shared" si="25"/>
        <v>1.6422000000000001</v>
      </c>
      <c r="U417" s="96">
        <f t="shared" si="26"/>
        <v>164.21</v>
      </c>
      <c r="V417" s="93">
        <v>4.17</v>
      </c>
      <c r="W417" s="97">
        <f t="shared" si="27"/>
        <v>168.38</v>
      </c>
    </row>
    <row r="418" spans="1:23" x14ac:dyDescent="0.25">
      <c r="A418" s="61" t="s">
        <v>511</v>
      </c>
      <c r="B418" s="91">
        <v>41819</v>
      </c>
      <c r="C418" s="92" t="s">
        <v>1774</v>
      </c>
      <c r="D418" s="92" t="s">
        <v>1246</v>
      </c>
      <c r="E418" s="92" t="s">
        <v>1198</v>
      </c>
      <c r="F418" s="92" t="s">
        <v>1235</v>
      </c>
      <c r="G418" s="92" t="s">
        <v>1200</v>
      </c>
      <c r="H418" s="92" t="s">
        <v>1247</v>
      </c>
      <c r="I418" s="92" t="s">
        <v>1237</v>
      </c>
      <c r="J418" s="92" t="s">
        <v>1468</v>
      </c>
      <c r="K418" s="92" t="s">
        <v>1243</v>
      </c>
      <c r="L418" s="92" t="s">
        <v>1260</v>
      </c>
      <c r="M418" s="92" t="s">
        <v>1241</v>
      </c>
      <c r="N418" s="91">
        <v>41819</v>
      </c>
      <c r="O418" s="93">
        <v>1.59</v>
      </c>
      <c r="P418" s="93">
        <v>2.61</v>
      </c>
      <c r="Q418" s="94">
        <v>44</v>
      </c>
      <c r="R418" s="93">
        <f t="shared" si="24"/>
        <v>114.83999999999999</v>
      </c>
      <c r="S418" s="95">
        <v>0.09</v>
      </c>
      <c r="T418" s="96">
        <f t="shared" si="25"/>
        <v>10.335599999999999</v>
      </c>
      <c r="U418" s="96">
        <f t="shared" si="26"/>
        <v>114.74999999999999</v>
      </c>
      <c r="V418" s="93">
        <v>0.5</v>
      </c>
      <c r="W418" s="97">
        <f t="shared" si="27"/>
        <v>115.24999999999999</v>
      </c>
    </row>
    <row r="419" spans="1:23" x14ac:dyDescent="0.25">
      <c r="A419" s="61" t="s">
        <v>512</v>
      </c>
      <c r="B419" s="91">
        <v>41819</v>
      </c>
      <c r="C419" s="92" t="s">
        <v>1476</v>
      </c>
      <c r="D419" s="92" t="s">
        <v>1412</v>
      </c>
      <c r="E419" s="92" t="s">
        <v>1199</v>
      </c>
      <c r="F419" s="92" t="s">
        <v>1254</v>
      </c>
      <c r="G419" s="92" t="s">
        <v>1200</v>
      </c>
      <c r="H419" s="92" t="s">
        <v>1274</v>
      </c>
      <c r="I419" s="92" t="s">
        <v>1256</v>
      </c>
      <c r="J419" s="92" t="s">
        <v>1400</v>
      </c>
      <c r="K419" s="92" t="s">
        <v>1239</v>
      </c>
      <c r="L419" s="92" t="s">
        <v>1260</v>
      </c>
      <c r="M419" s="92" t="s">
        <v>1241</v>
      </c>
      <c r="N419" s="91">
        <v>41820</v>
      </c>
      <c r="O419" s="93">
        <v>14.7</v>
      </c>
      <c r="P419" s="93">
        <v>29.99</v>
      </c>
      <c r="Q419" s="94">
        <v>20</v>
      </c>
      <c r="R419" s="93">
        <f t="shared" si="24"/>
        <v>599.79999999999995</v>
      </c>
      <c r="S419" s="95">
        <v>0</v>
      </c>
      <c r="T419" s="96">
        <f t="shared" si="25"/>
        <v>0</v>
      </c>
      <c r="U419" s="96">
        <f t="shared" si="26"/>
        <v>599.79999999999995</v>
      </c>
      <c r="V419" s="93">
        <v>5.5</v>
      </c>
      <c r="W419" s="97">
        <f t="shared" si="27"/>
        <v>605.29999999999995</v>
      </c>
    </row>
    <row r="420" spans="1:23" x14ac:dyDescent="0.25">
      <c r="A420" s="61" t="s">
        <v>513</v>
      </c>
      <c r="B420" s="91">
        <v>41820</v>
      </c>
      <c r="C420" s="92" t="s">
        <v>1775</v>
      </c>
      <c r="D420" s="92" t="s">
        <v>1776</v>
      </c>
      <c r="E420" s="92" t="s">
        <v>1198</v>
      </c>
      <c r="F420" s="92" t="s">
        <v>1235</v>
      </c>
      <c r="G420" s="92" t="s">
        <v>1200</v>
      </c>
      <c r="H420" s="92" t="s">
        <v>1471</v>
      </c>
      <c r="I420" s="92" t="s">
        <v>1237</v>
      </c>
      <c r="J420" s="92" t="s">
        <v>1520</v>
      </c>
      <c r="K420" s="92" t="s">
        <v>1243</v>
      </c>
      <c r="L420" s="92" t="s">
        <v>1260</v>
      </c>
      <c r="M420" s="92" t="s">
        <v>1241</v>
      </c>
      <c r="N420" s="91">
        <v>41823</v>
      </c>
      <c r="O420" s="93">
        <v>8.92</v>
      </c>
      <c r="P420" s="93">
        <v>29.74</v>
      </c>
      <c r="Q420" s="94">
        <v>4</v>
      </c>
      <c r="R420" s="93">
        <f t="shared" si="24"/>
        <v>118.96</v>
      </c>
      <c r="S420" s="95">
        <v>0.05</v>
      </c>
      <c r="T420" s="96">
        <f t="shared" si="25"/>
        <v>5.9480000000000004</v>
      </c>
      <c r="U420" s="96">
        <f t="shared" si="26"/>
        <v>118.91</v>
      </c>
      <c r="V420" s="93">
        <v>6.64</v>
      </c>
      <c r="W420" s="97">
        <f t="shared" si="27"/>
        <v>125.55</v>
      </c>
    </row>
    <row r="421" spans="1:23" x14ac:dyDescent="0.25">
      <c r="A421" s="61" t="s">
        <v>514</v>
      </c>
      <c r="B421" s="91">
        <v>41824</v>
      </c>
      <c r="C421" s="92" t="s">
        <v>1777</v>
      </c>
      <c r="D421" s="92" t="s">
        <v>1253</v>
      </c>
      <c r="E421" s="92" t="s">
        <v>1199</v>
      </c>
      <c r="F421" s="92" t="s">
        <v>1254</v>
      </c>
      <c r="G421" s="92" t="s">
        <v>1202</v>
      </c>
      <c r="H421" s="92" t="s">
        <v>1255</v>
      </c>
      <c r="I421" s="92" t="s">
        <v>1317</v>
      </c>
      <c r="J421" s="92" t="s">
        <v>1249</v>
      </c>
      <c r="K421" s="92" t="s">
        <v>1243</v>
      </c>
      <c r="L421" s="92" t="s">
        <v>1244</v>
      </c>
      <c r="M421" s="92" t="s">
        <v>1241</v>
      </c>
      <c r="N421" s="91">
        <v>41826</v>
      </c>
      <c r="O421" s="93">
        <v>3.32</v>
      </c>
      <c r="P421" s="93">
        <v>5.18</v>
      </c>
      <c r="Q421" s="94">
        <v>43</v>
      </c>
      <c r="R421" s="93">
        <f t="shared" si="24"/>
        <v>222.73999999999998</v>
      </c>
      <c r="S421" s="95">
        <v>0.03</v>
      </c>
      <c r="T421" s="96">
        <f t="shared" si="25"/>
        <v>6.682199999999999</v>
      </c>
      <c r="U421" s="96">
        <f t="shared" si="26"/>
        <v>222.70999999999998</v>
      </c>
      <c r="V421" s="93">
        <v>2.04</v>
      </c>
      <c r="W421" s="97">
        <f t="shared" si="27"/>
        <v>224.74999999999997</v>
      </c>
    </row>
    <row r="422" spans="1:23" x14ac:dyDescent="0.25">
      <c r="A422" s="61" t="s">
        <v>515</v>
      </c>
      <c r="B422" s="91">
        <v>41825</v>
      </c>
      <c r="C422" s="92" t="s">
        <v>1778</v>
      </c>
      <c r="D422" s="92" t="s">
        <v>1615</v>
      </c>
      <c r="E422" s="92" t="s">
        <v>1198</v>
      </c>
      <c r="F422" s="92" t="s">
        <v>1235</v>
      </c>
      <c r="G422" s="92" t="s">
        <v>1202</v>
      </c>
      <c r="H422" s="92" t="s">
        <v>1404</v>
      </c>
      <c r="I422" s="92" t="s">
        <v>1264</v>
      </c>
      <c r="J422" s="92" t="s">
        <v>1779</v>
      </c>
      <c r="K422" s="92" t="s">
        <v>1243</v>
      </c>
      <c r="L422" s="92" t="s">
        <v>1260</v>
      </c>
      <c r="M422" s="92" t="s">
        <v>1241</v>
      </c>
      <c r="N422" s="91">
        <v>41828</v>
      </c>
      <c r="O422" s="93">
        <v>1.84</v>
      </c>
      <c r="P422" s="93">
        <v>2.88</v>
      </c>
      <c r="Q422" s="94">
        <v>47</v>
      </c>
      <c r="R422" s="93">
        <f t="shared" si="24"/>
        <v>135.35999999999999</v>
      </c>
      <c r="S422" s="95">
        <v>0.03</v>
      </c>
      <c r="T422" s="96">
        <f t="shared" si="25"/>
        <v>4.0607999999999995</v>
      </c>
      <c r="U422" s="96">
        <f t="shared" si="26"/>
        <v>135.32999999999998</v>
      </c>
      <c r="V422" s="93">
        <v>5.33</v>
      </c>
      <c r="W422" s="97">
        <f t="shared" si="27"/>
        <v>140.66</v>
      </c>
    </row>
    <row r="423" spans="1:23" x14ac:dyDescent="0.25">
      <c r="A423" s="61" t="s">
        <v>516</v>
      </c>
      <c r="B423" s="91">
        <v>41831</v>
      </c>
      <c r="C423" s="92" t="s">
        <v>1711</v>
      </c>
      <c r="D423" s="92" t="s">
        <v>1581</v>
      </c>
      <c r="E423" s="92" t="s">
        <v>1199</v>
      </c>
      <c r="F423" s="92" t="s">
        <v>1254</v>
      </c>
      <c r="G423" s="92" t="s">
        <v>1202</v>
      </c>
      <c r="H423" s="92" t="s">
        <v>1274</v>
      </c>
      <c r="I423" s="92" t="s">
        <v>1317</v>
      </c>
      <c r="J423" s="92" t="s">
        <v>1475</v>
      </c>
      <c r="K423" s="92" t="s">
        <v>1239</v>
      </c>
      <c r="L423" s="92" t="s">
        <v>1260</v>
      </c>
      <c r="M423" s="92" t="s">
        <v>1241</v>
      </c>
      <c r="N423" s="91">
        <v>41833</v>
      </c>
      <c r="O423" s="93">
        <v>8.31</v>
      </c>
      <c r="P423" s="93">
        <v>15.98</v>
      </c>
      <c r="Q423" s="94">
        <v>40</v>
      </c>
      <c r="R423" s="93">
        <f t="shared" si="24"/>
        <v>639.20000000000005</v>
      </c>
      <c r="S423" s="95">
        <v>0.03</v>
      </c>
      <c r="T423" s="96">
        <f t="shared" si="25"/>
        <v>19.176000000000002</v>
      </c>
      <c r="U423" s="96">
        <f t="shared" si="26"/>
        <v>639.17000000000007</v>
      </c>
      <c r="V423" s="93">
        <v>6.5</v>
      </c>
      <c r="W423" s="97">
        <f t="shared" si="27"/>
        <v>645.67000000000007</v>
      </c>
    </row>
    <row r="424" spans="1:23" x14ac:dyDescent="0.25">
      <c r="A424" s="61" t="s">
        <v>517</v>
      </c>
      <c r="B424" s="91">
        <v>41832</v>
      </c>
      <c r="C424" s="92" t="s">
        <v>1780</v>
      </c>
      <c r="D424" s="92" t="s">
        <v>1262</v>
      </c>
      <c r="E424" s="92" t="s">
        <v>1198</v>
      </c>
      <c r="F424" s="92" t="s">
        <v>1235</v>
      </c>
      <c r="G424" s="92" t="s">
        <v>1202</v>
      </c>
      <c r="H424" s="92" t="s">
        <v>1263</v>
      </c>
      <c r="I424" s="92" t="s">
        <v>1237</v>
      </c>
      <c r="J424" s="92" t="s">
        <v>1781</v>
      </c>
      <c r="K424" s="92" t="s">
        <v>1243</v>
      </c>
      <c r="L424" s="92" t="s">
        <v>1260</v>
      </c>
      <c r="M424" s="92" t="s">
        <v>1241</v>
      </c>
      <c r="N424" s="91">
        <v>41834</v>
      </c>
      <c r="O424" s="93">
        <v>1.82</v>
      </c>
      <c r="P424" s="93">
        <v>2.84</v>
      </c>
      <c r="Q424" s="94">
        <v>19</v>
      </c>
      <c r="R424" s="93">
        <f t="shared" si="24"/>
        <v>53.959999999999994</v>
      </c>
      <c r="S424" s="95">
        <v>0</v>
      </c>
      <c r="T424" s="96">
        <f t="shared" si="25"/>
        <v>0</v>
      </c>
      <c r="U424" s="96">
        <f t="shared" si="26"/>
        <v>53.959999999999994</v>
      </c>
      <c r="V424" s="93">
        <v>5.44</v>
      </c>
      <c r="W424" s="97">
        <f t="shared" si="27"/>
        <v>59.399999999999991</v>
      </c>
    </row>
    <row r="425" spans="1:23" x14ac:dyDescent="0.25">
      <c r="A425" s="61" t="s">
        <v>518</v>
      </c>
      <c r="B425" s="91">
        <v>41835</v>
      </c>
      <c r="C425" s="92" t="s">
        <v>1782</v>
      </c>
      <c r="D425" s="92" t="s">
        <v>1461</v>
      </c>
      <c r="E425" s="92" t="s">
        <v>1199</v>
      </c>
      <c r="F425" s="92" t="s">
        <v>1254</v>
      </c>
      <c r="G425" s="92" t="s">
        <v>1200</v>
      </c>
      <c r="H425" s="92" t="s">
        <v>1255</v>
      </c>
      <c r="I425" s="92" t="s">
        <v>1256</v>
      </c>
      <c r="J425" s="92" t="s">
        <v>1238</v>
      </c>
      <c r="K425" s="92" t="s">
        <v>1239</v>
      </c>
      <c r="L425" s="92" t="s">
        <v>1240</v>
      </c>
      <c r="M425" s="92" t="s">
        <v>1241</v>
      </c>
      <c r="N425" s="91">
        <v>41837</v>
      </c>
      <c r="O425" s="93">
        <v>1.87</v>
      </c>
      <c r="P425" s="93">
        <v>8.1199999999999992</v>
      </c>
      <c r="Q425" s="94">
        <v>4</v>
      </c>
      <c r="R425" s="93">
        <f t="shared" si="24"/>
        <v>32.479999999999997</v>
      </c>
      <c r="S425" s="95">
        <v>7.0000000000000007E-2</v>
      </c>
      <c r="T425" s="96">
        <f t="shared" si="25"/>
        <v>2.2736000000000001</v>
      </c>
      <c r="U425" s="96">
        <f t="shared" si="26"/>
        <v>32.409999999999997</v>
      </c>
      <c r="V425" s="93">
        <v>2.83</v>
      </c>
      <c r="W425" s="97">
        <f t="shared" si="27"/>
        <v>35.239999999999995</v>
      </c>
    </row>
    <row r="426" spans="1:23" x14ac:dyDescent="0.25">
      <c r="A426" s="61" t="s">
        <v>519</v>
      </c>
      <c r="B426" s="91">
        <v>41837</v>
      </c>
      <c r="C426" s="92" t="s">
        <v>1569</v>
      </c>
      <c r="D426" s="92" t="s">
        <v>1337</v>
      </c>
      <c r="E426" s="92" t="s">
        <v>1198</v>
      </c>
      <c r="F426" s="92" t="s">
        <v>1235</v>
      </c>
      <c r="G426" s="92" t="s">
        <v>1201</v>
      </c>
      <c r="H426" s="92" t="s">
        <v>1247</v>
      </c>
      <c r="I426" s="92" t="s">
        <v>1317</v>
      </c>
      <c r="J426" s="92" t="s">
        <v>1362</v>
      </c>
      <c r="K426" s="92" t="s">
        <v>1243</v>
      </c>
      <c r="L426" s="92" t="s">
        <v>1260</v>
      </c>
      <c r="M426" s="92" t="s">
        <v>1241</v>
      </c>
      <c r="N426" s="91">
        <v>41838</v>
      </c>
      <c r="O426" s="93">
        <v>2.76</v>
      </c>
      <c r="P426" s="93">
        <v>4.38</v>
      </c>
      <c r="Q426" s="94">
        <v>18</v>
      </c>
      <c r="R426" s="93">
        <f t="shared" si="24"/>
        <v>78.84</v>
      </c>
      <c r="S426" s="95">
        <v>0.03</v>
      </c>
      <c r="T426" s="96">
        <f t="shared" si="25"/>
        <v>2.3652000000000002</v>
      </c>
      <c r="U426" s="96">
        <f t="shared" si="26"/>
        <v>78.81</v>
      </c>
      <c r="V426" s="93">
        <v>6.21</v>
      </c>
      <c r="W426" s="97">
        <f t="shared" si="27"/>
        <v>85.02</v>
      </c>
    </row>
    <row r="427" spans="1:23" x14ac:dyDescent="0.25">
      <c r="A427" s="61" t="s">
        <v>520</v>
      </c>
      <c r="B427" s="91">
        <v>41838</v>
      </c>
      <c r="C427" s="92" t="s">
        <v>1783</v>
      </c>
      <c r="D427" s="92" t="s">
        <v>1544</v>
      </c>
      <c r="E427" s="92" t="s">
        <v>1198</v>
      </c>
      <c r="F427" s="92" t="s">
        <v>1235</v>
      </c>
      <c r="G427" s="92" t="s">
        <v>1200</v>
      </c>
      <c r="H427" s="92" t="s">
        <v>1409</v>
      </c>
      <c r="I427" s="92" t="s">
        <v>1237</v>
      </c>
      <c r="J427" s="92" t="s">
        <v>1773</v>
      </c>
      <c r="K427" s="92" t="s">
        <v>1243</v>
      </c>
      <c r="L427" s="92" t="s">
        <v>1260</v>
      </c>
      <c r="M427" s="92" t="s">
        <v>1241</v>
      </c>
      <c r="N427" s="91">
        <v>41839</v>
      </c>
      <c r="O427" s="93">
        <v>1.84</v>
      </c>
      <c r="P427" s="93">
        <v>2.88</v>
      </c>
      <c r="Q427" s="94">
        <v>10</v>
      </c>
      <c r="R427" s="93">
        <f t="shared" si="24"/>
        <v>28.799999999999997</v>
      </c>
      <c r="S427" s="95">
        <v>0.01</v>
      </c>
      <c r="T427" s="96">
        <f t="shared" si="25"/>
        <v>0.28799999999999998</v>
      </c>
      <c r="U427" s="96">
        <f t="shared" si="26"/>
        <v>28.789999999999996</v>
      </c>
      <c r="V427" s="93">
        <v>0.99</v>
      </c>
      <c r="W427" s="97">
        <f t="shared" si="27"/>
        <v>29.779999999999994</v>
      </c>
    </row>
    <row r="428" spans="1:23" x14ac:dyDescent="0.25">
      <c r="A428" s="61" t="s">
        <v>521</v>
      </c>
      <c r="B428" s="91">
        <v>41842</v>
      </c>
      <c r="C428" s="92" t="s">
        <v>1784</v>
      </c>
      <c r="D428" s="92" t="s">
        <v>1636</v>
      </c>
      <c r="E428" s="92" t="s">
        <v>1198</v>
      </c>
      <c r="F428" s="92" t="s">
        <v>1235</v>
      </c>
      <c r="G428" s="92" t="s">
        <v>1202</v>
      </c>
      <c r="H428" s="92" t="s">
        <v>1409</v>
      </c>
      <c r="I428" s="92" t="s">
        <v>1248</v>
      </c>
      <c r="J428" s="92" t="s">
        <v>1547</v>
      </c>
      <c r="K428" s="92" t="s">
        <v>1243</v>
      </c>
      <c r="L428" s="92" t="s">
        <v>1260</v>
      </c>
      <c r="M428" s="92" t="s">
        <v>1241</v>
      </c>
      <c r="N428" s="91">
        <v>41844</v>
      </c>
      <c r="O428" s="93">
        <v>1.33</v>
      </c>
      <c r="P428" s="93">
        <v>2.08</v>
      </c>
      <c r="Q428" s="94">
        <v>20</v>
      </c>
      <c r="R428" s="93">
        <f t="shared" si="24"/>
        <v>41.6</v>
      </c>
      <c r="S428" s="95">
        <v>0.04</v>
      </c>
      <c r="T428" s="96">
        <f t="shared" si="25"/>
        <v>1.6640000000000001</v>
      </c>
      <c r="U428" s="96">
        <f t="shared" si="26"/>
        <v>41.56</v>
      </c>
      <c r="V428" s="93">
        <v>1.49</v>
      </c>
      <c r="W428" s="97">
        <f t="shared" si="27"/>
        <v>43.050000000000004</v>
      </c>
    </row>
    <row r="429" spans="1:23" x14ac:dyDescent="0.25">
      <c r="A429" s="61" t="s">
        <v>522</v>
      </c>
      <c r="B429" s="91">
        <v>41844</v>
      </c>
      <c r="C429" s="92" t="s">
        <v>1785</v>
      </c>
      <c r="D429" s="92" t="s">
        <v>1731</v>
      </c>
      <c r="E429" s="92" t="s">
        <v>1198</v>
      </c>
      <c r="F429" s="92" t="s">
        <v>1235</v>
      </c>
      <c r="G429" s="92" t="s">
        <v>1201</v>
      </c>
      <c r="H429" s="92" t="s">
        <v>1286</v>
      </c>
      <c r="I429" s="92" t="s">
        <v>1264</v>
      </c>
      <c r="J429" s="92" t="s">
        <v>1314</v>
      </c>
      <c r="K429" s="92" t="s">
        <v>1243</v>
      </c>
      <c r="L429" s="92" t="s">
        <v>1244</v>
      </c>
      <c r="M429" s="92" t="s">
        <v>1250</v>
      </c>
      <c r="N429" s="91">
        <v>41846</v>
      </c>
      <c r="O429" s="93">
        <v>1.6</v>
      </c>
      <c r="P429" s="93">
        <v>2.62</v>
      </c>
      <c r="Q429" s="94">
        <v>25</v>
      </c>
      <c r="R429" s="93">
        <f t="shared" si="24"/>
        <v>65.5</v>
      </c>
      <c r="S429" s="95">
        <v>0.09</v>
      </c>
      <c r="T429" s="96">
        <f t="shared" si="25"/>
        <v>5.8949999999999996</v>
      </c>
      <c r="U429" s="96">
        <f t="shared" si="26"/>
        <v>65.41</v>
      </c>
      <c r="V429" s="93">
        <v>0.8</v>
      </c>
      <c r="W429" s="97">
        <f t="shared" si="27"/>
        <v>66.209999999999994</v>
      </c>
    </row>
    <row r="430" spans="1:23" x14ac:dyDescent="0.25">
      <c r="A430" s="61" t="s">
        <v>523</v>
      </c>
      <c r="B430" s="91">
        <v>41845</v>
      </c>
      <c r="C430" s="92" t="s">
        <v>1786</v>
      </c>
      <c r="D430" s="92" t="s">
        <v>1355</v>
      </c>
      <c r="E430" s="92" t="s">
        <v>1199</v>
      </c>
      <c r="F430" s="92" t="s">
        <v>1254</v>
      </c>
      <c r="G430" s="92" t="s">
        <v>1203</v>
      </c>
      <c r="H430" s="92" t="s">
        <v>1274</v>
      </c>
      <c r="I430" s="92" t="s">
        <v>1248</v>
      </c>
      <c r="J430" s="92" t="s">
        <v>1554</v>
      </c>
      <c r="K430" s="92" t="s">
        <v>1243</v>
      </c>
      <c r="L430" s="92" t="s">
        <v>1260</v>
      </c>
      <c r="M430" s="92" t="s">
        <v>1241</v>
      </c>
      <c r="N430" s="91">
        <v>41847</v>
      </c>
      <c r="O430" s="93">
        <v>1.98</v>
      </c>
      <c r="P430" s="93">
        <v>3.15</v>
      </c>
      <c r="Q430" s="94">
        <v>46</v>
      </c>
      <c r="R430" s="93">
        <f t="shared" si="24"/>
        <v>144.9</v>
      </c>
      <c r="S430" s="95">
        <v>0.1</v>
      </c>
      <c r="T430" s="96">
        <f t="shared" si="25"/>
        <v>14.490000000000002</v>
      </c>
      <c r="U430" s="96">
        <f t="shared" si="26"/>
        <v>144.80000000000001</v>
      </c>
      <c r="V430" s="93">
        <v>0.49</v>
      </c>
      <c r="W430" s="97">
        <f t="shared" si="27"/>
        <v>145.29000000000002</v>
      </c>
    </row>
    <row r="431" spans="1:23" x14ac:dyDescent="0.25">
      <c r="A431" s="61" t="s">
        <v>524</v>
      </c>
      <c r="B431" s="91">
        <v>41848</v>
      </c>
      <c r="C431" s="92" t="s">
        <v>1787</v>
      </c>
      <c r="D431" s="92" t="s">
        <v>1788</v>
      </c>
      <c r="E431" s="92" t="s">
        <v>1198</v>
      </c>
      <c r="F431" s="92" t="s">
        <v>1235</v>
      </c>
      <c r="G431" s="92" t="s">
        <v>1200</v>
      </c>
      <c r="H431" s="92" t="s">
        <v>1263</v>
      </c>
      <c r="I431" s="92" t="s">
        <v>1237</v>
      </c>
      <c r="J431" s="92" t="s">
        <v>1257</v>
      </c>
      <c r="K431" s="92" t="s">
        <v>1239</v>
      </c>
      <c r="L431" s="92" t="s">
        <v>1258</v>
      </c>
      <c r="M431" s="92" t="s">
        <v>1241</v>
      </c>
      <c r="N431" s="91">
        <v>41850</v>
      </c>
      <c r="O431" s="93">
        <v>8.82</v>
      </c>
      <c r="P431" s="93">
        <v>20.99</v>
      </c>
      <c r="Q431" s="94">
        <v>9</v>
      </c>
      <c r="R431" s="93">
        <f t="shared" si="24"/>
        <v>188.91</v>
      </c>
      <c r="S431" s="95">
        <v>0.08</v>
      </c>
      <c r="T431" s="96">
        <f t="shared" si="25"/>
        <v>15.1128</v>
      </c>
      <c r="U431" s="96">
        <f t="shared" si="26"/>
        <v>188.82999999999998</v>
      </c>
      <c r="V431" s="93">
        <v>4.8099999999999996</v>
      </c>
      <c r="W431" s="97">
        <f t="shared" si="27"/>
        <v>193.64</v>
      </c>
    </row>
    <row r="432" spans="1:23" x14ac:dyDescent="0.25">
      <c r="A432" s="61" t="s">
        <v>525</v>
      </c>
      <c r="B432" s="91">
        <v>41850</v>
      </c>
      <c r="C432" s="92" t="s">
        <v>1789</v>
      </c>
      <c r="D432" s="92" t="s">
        <v>1430</v>
      </c>
      <c r="E432" s="92" t="s">
        <v>1199</v>
      </c>
      <c r="F432" s="92" t="s">
        <v>1254</v>
      </c>
      <c r="G432" s="92" t="s">
        <v>1201</v>
      </c>
      <c r="H432" s="92" t="s">
        <v>1274</v>
      </c>
      <c r="I432" s="92" t="s">
        <v>1317</v>
      </c>
      <c r="J432" s="92" t="s">
        <v>1779</v>
      </c>
      <c r="K432" s="92" t="s">
        <v>1243</v>
      </c>
      <c r="L432" s="92" t="s">
        <v>1260</v>
      </c>
      <c r="M432" s="92" t="s">
        <v>1241</v>
      </c>
      <c r="N432" s="91">
        <v>41851</v>
      </c>
      <c r="O432" s="93">
        <v>1.84</v>
      </c>
      <c r="P432" s="93">
        <v>2.88</v>
      </c>
      <c r="Q432" s="94">
        <v>11</v>
      </c>
      <c r="R432" s="93">
        <f t="shared" si="24"/>
        <v>31.68</v>
      </c>
      <c r="S432" s="95">
        <v>0.02</v>
      </c>
      <c r="T432" s="96">
        <f t="shared" si="25"/>
        <v>0.63360000000000005</v>
      </c>
      <c r="U432" s="96">
        <f t="shared" si="26"/>
        <v>31.66</v>
      </c>
      <c r="V432" s="93">
        <v>5.33</v>
      </c>
      <c r="W432" s="97">
        <f t="shared" si="27"/>
        <v>36.99</v>
      </c>
    </row>
    <row r="433" spans="1:23" x14ac:dyDescent="0.25">
      <c r="A433" s="61" t="s">
        <v>526</v>
      </c>
      <c r="B433" s="91">
        <v>41850</v>
      </c>
      <c r="C433" s="92" t="s">
        <v>1790</v>
      </c>
      <c r="D433" s="92" t="s">
        <v>1246</v>
      </c>
      <c r="E433" s="92" t="s">
        <v>1198</v>
      </c>
      <c r="F433" s="92" t="s">
        <v>1235</v>
      </c>
      <c r="G433" s="92" t="s">
        <v>1201</v>
      </c>
      <c r="H433" s="92" t="s">
        <v>1247</v>
      </c>
      <c r="I433" s="92" t="s">
        <v>1317</v>
      </c>
      <c r="J433" s="92" t="s">
        <v>1338</v>
      </c>
      <c r="K433" s="92" t="s">
        <v>1243</v>
      </c>
      <c r="L433" s="92" t="s">
        <v>1260</v>
      </c>
      <c r="M433" s="92" t="s">
        <v>1241</v>
      </c>
      <c r="N433" s="91">
        <v>41852</v>
      </c>
      <c r="O433" s="93">
        <v>13.88</v>
      </c>
      <c r="P433" s="93">
        <v>22.38</v>
      </c>
      <c r="Q433" s="94">
        <v>34</v>
      </c>
      <c r="R433" s="93">
        <f t="shared" si="24"/>
        <v>760.92</v>
      </c>
      <c r="S433" s="95">
        <v>0.01</v>
      </c>
      <c r="T433" s="96">
        <f t="shared" si="25"/>
        <v>7.6091999999999995</v>
      </c>
      <c r="U433" s="96">
        <f t="shared" si="26"/>
        <v>760.91</v>
      </c>
      <c r="V433" s="93">
        <v>15.1</v>
      </c>
      <c r="W433" s="97">
        <f t="shared" si="27"/>
        <v>776.01</v>
      </c>
    </row>
    <row r="434" spans="1:23" x14ac:dyDescent="0.25">
      <c r="A434" s="61" t="s">
        <v>527</v>
      </c>
      <c r="B434" s="91">
        <v>41850</v>
      </c>
      <c r="C434" s="92" t="s">
        <v>1791</v>
      </c>
      <c r="D434" s="92" t="s">
        <v>1388</v>
      </c>
      <c r="E434" s="92" t="s">
        <v>1199</v>
      </c>
      <c r="F434" s="92" t="s">
        <v>1254</v>
      </c>
      <c r="G434" s="92" t="s">
        <v>1200</v>
      </c>
      <c r="H434" s="92" t="s">
        <v>1255</v>
      </c>
      <c r="I434" s="92" t="s">
        <v>1237</v>
      </c>
      <c r="J434" s="92" t="s">
        <v>1431</v>
      </c>
      <c r="K434" s="92" t="s">
        <v>1243</v>
      </c>
      <c r="L434" s="92" t="s">
        <v>1260</v>
      </c>
      <c r="M434" s="92" t="s">
        <v>1241</v>
      </c>
      <c r="N434" s="91">
        <v>41852</v>
      </c>
      <c r="O434" s="93">
        <v>4.8899999999999997</v>
      </c>
      <c r="P434" s="93">
        <v>7.64</v>
      </c>
      <c r="Q434" s="94">
        <v>7</v>
      </c>
      <c r="R434" s="93">
        <f t="shared" si="24"/>
        <v>53.48</v>
      </c>
      <c r="S434" s="95">
        <v>0.06</v>
      </c>
      <c r="T434" s="96">
        <f t="shared" si="25"/>
        <v>3.2087999999999997</v>
      </c>
      <c r="U434" s="96">
        <f t="shared" si="26"/>
        <v>53.419999999999995</v>
      </c>
      <c r="V434" s="93">
        <v>1.39</v>
      </c>
      <c r="W434" s="97">
        <f t="shared" si="27"/>
        <v>54.809999999999995</v>
      </c>
    </row>
    <row r="435" spans="1:23" x14ac:dyDescent="0.25">
      <c r="A435" s="61" t="s">
        <v>528</v>
      </c>
      <c r="B435" s="91">
        <v>41854</v>
      </c>
      <c r="C435" s="92" t="s">
        <v>1792</v>
      </c>
      <c r="D435" s="92" t="s">
        <v>1285</v>
      </c>
      <c r="E435" s="92" t="s">
        <v>1198</v>
      </c>
      <c r="F435" s="92" t="s">
        <v>1235</v>
      </c>
      <c r="G435" s="92" t="s">
        <v>1200</v>
      </c>
      <c r="H435" s="92" t="s">
        <v>1286</v>
      </c>
      <c r="I435" s="92" t="s">
        <v>1237</v>
      </c>
      <c r="J435" s="92" t="s">
        <v>1590</v>
      </c>
      <c r="K435" s="92" t="s">
        <v>1243</v>
      </c>
      <c r="L435" s="92" t="s">
        <v>1260</v>
      </c>
      <c r="M435" s="92" t="s">
        <v>1241</v>
      </c>
      <c r="N435" s="91">
        <v>41855</v>
      </c>
      <c r="O435" s="93">
        <v>3.5</v>
      </c>
      <c r="P435" s="93">
        <v>5.74</v>
      </c>
      <c r="Q435" s="94">
        <v>7</v>
      </c>
      <c r="R435" s="93">
        <f t="shared" si="24"/>
        <v>40.18</v>
      </c>
      <c r="S435" s="95">
        <v>0.04</v>
      </c>
      <c r="T435" s="96">
        <f t="shared" si="25"/>
        <v>1.6072</v>
      </c>
      <c r="U435" s="96">
        <f t="shared" si="26"/>
        <v>40.14</v>
      </c>
      <c r="V435" s="93">
        <v>5.01</v>
      </c>
      <c r="W435" s="97">
        <f t="shared" si="27"/>
        <v>45.15</v>
      </c>
    </row>
    <row r="436" spans="1:23" x14ac:dyDescent="0.25">
      <c r="A436" s="61" t="s">
        <v>529</v>
      </c>
      <c r="B436" s="91">
        <v>41856</v>
      </c>
      <c r="C436" s="92" t="s">
        <v>1793</v>
      </c>
      <c r="D436" s="92" t="s">
        <v>1281</v>
      </c>
      <c r="E436" s="92" t="s">
        <v>1199</v>
      </c>
      <c r="F436" s="92" t="s">
        <v>1254</v>
      </c>
      <c r="G436" s="92" t="s">
        <v>1202</v>
      </c>
      <c r="H436" s="92" t="s">
        <v>1274</v>
      </c>
      <c r="I436" s="92" t="s">
        <v>1317</v>
      </c>
      <c r="J436" s="92" t="s">
        <v>1352</v>
      </c>
      <c r="K436" s="92" t="s">
        <v>1243</v>
      </c>
      <c r="L436" s="92" t="s">
        <v>1244</v>
      </c>
      <c r="M436" s="92" t="s">
        <v>1241</v>
      </c>
      <c r="N436" s="91">
        <v>41858</v>
      </c>
      <c r="O436" s="93">
        <v>1.0900000000000001</v>
      </c>
      <c r="P436" s="93">
        <v>2.6</v>
      </c>
      <c r="Q436" s="94">
        <v>43</v>
      </c>
      <c r="R436" s="93">
        <f t="shared" si="24"/>
        <v>111.8</v>
      </c>
      <c r="S436" s="95">
        <v>0.06</v>
      </c>
      <c r="T436" s="96">
        <f t="shared" si="25"/>
        <v>6.7079999999999993</v>
      </c>
      <c r="U436" s="96">
        <f t="shared" si="26"/>
        <v>111.74</v>
      </c>
      <c r="V436" s="93">
        <v>2.4</v>
      </c>
      <c r="W436" s="97">
        <f t="shared" si="27"/>
        <v>114.14</v>
      </c>
    </row>
    <row r="437" spans="1:23" x14ac:dyDescent="0.25">
      <c r="A437" s="61" t="s">
        <v>530</v>
      </c>
      <c r="B437" s="91">
        <v>41857</v>
      </c>
      <c r="C437" s="92" t="s">
        <v>1794</v>
      </c>
      <c r="D437" s="92" t="s">
        <v>1795</v>
      </c>
      <c r="E437" s="92" t="s">
        <v>1198</v>
      </c>
      <c r="F437" s="92" t="s">
        <v>1235</v>
      </c>
      <c r="G437" s="92" t="s">
        <v>1200</v>
      </c>
      <c r="H437" s="92" t="s">
        <v>1269</v>
      </c>
      <c r="I437" s="92" t="s">
        <v>1248</v>
      </c>
      <c r="J437" s="92" t="s">
        <v>1349</v>
      </c>
      <c r="K437" s="92" t="s">
        <v>1243</v>
      </c>
      <c r="L437" s="92" t="s">
        <v>1260</v>
      </c>
      <c r="M437" s="92" t="s">
        <v>1241</v>
      </c>
      <c r="N437" s="91">
        <v>41857</v>
      </c>
      <c r="O437" s="93">
        <v>3.65</v>
      </c>
      <c r="P437" s="93">
        <v>5.98</v>
      </c>
      <c r="Q437" s="94">
        <v>32</v>
      </c>
      <c r="R437" s="93">
        <f t="shared" si="24"/>
        <v>191.36</v>
      </c>
      <c r="S437" s="95">
        <v>0.1</v>
      </c>
      <c r="T437" s="96">
        <f t="shared" si="25"/>
        <v>19.136000000000003</v>
      </c>
      <c r="U437" s="96">
        <f t="shared" si="26"/>
        <v>191.26000000000002</v>
      </c>
      <c r="V437" s="93">
        <v>1.49</v>
      </c>
      <c r="W437" s="97">
        <f t="shared" si="27"/>
        <v>192.75000000000003</v>
      </c>
    </row>
    <row r="438" spans="1:23" x14ac:dyDescent="0.25">
      <c r="A438" s="61" t="s">
        <v>531</v>
      </c>
      <c r="B438" s="91">
        <v>41858</v>
      </c>
      <c r="C438" s="92" t="s">
        <v>1796</v>
      </c>
      <c r="D438" s="92" t="s">
        <v>1347</v>
      </c>
      <c r="E438" s="92" t="s">
        <v>1198</v>
      </c>
      <c r="F438" s="92" t="s">
        <v>1235</v>
      </c>
      <c r="G438" s="92" t="s">
        <v>1201</v>
      </c>
      <c r="H438" s="92" t="s">
        <v>1236</v>
      </c>
      <c r="I438" s="92" t="s">
        <v>1264</v>
      </c>
      <c r="J438" s="92" t="s">
        <v>1249</v>
      </c>
      <c r="K438" s="92" t="s">
        <v>1243</v>
      </c>
      <c r="L438" s="92" t="s">
        <v>1244</v>
      </c>
      <c r="M438" s="92" t="s">
        <v>1241</v>
      </c>
      <c r="N438" s="91">
        <v>41860</v>
      </c>
      <c r="O438" s="93">
        <v>3.32</v>
      </c>
      <c r="P438" s="93">
        <v>5.18</v>
      </c>
      <c r="Q438" s="94">
        <v>17</v>
      </c>
      <c r="R438" s="93">
        <f t="shared" si="24"/>
        <v>88.06</v>
      </c>
      <c r="S438" s="95">
        <v>0.02</v>
      </c>
      <c r="T438" s="96">
        <f t="shared" si="25"/>
        <v>1.7612000000000001</v>
      </c>
      <c r="U438" s="96">
        <f t="shared" si="26"/>
        <v>88.04</v>
      </c>
      <c r="V438" s="93">
        <v>2.04</v>
      </c>
      <c r="W438" s="97">
        <f t="shared" si="27"/>
        <v>90.080000000000013</v>
      </c>
    </row>
    <row r="439" spans="1:23" x14ac:dyDescent="0.25">
      <c r="A439" s="61" t="s">
        <v>532</v>
      </c>
      <c r="B439" s="91">
        <v>41862</v>
      </c>
      <c r="C439" s="92" t="s">
        <v>1797</v>
      </c>
      <c r="D439" s="92" t="s">
        <v>1290</v>
      </c>
      <c r="E439" s="92" t="s">
        <v>1198</v>
      </c>
      <c r="F439" s="92" t="s">
        <v>1235</v>
      </c>
      <c r="G439" s="92" t="s">
        <v>1200</v>
      </c>
      <c r="H439" s="92" t="s">
        <v>1291</v>
      </c>
      <c r="I439" s="92" t="s">
        <v>1264</v>
      </c>
      <c r="J439" s="92" t="s">
        <v>1344</v>
      </c>
      <c r="K439" s="92" t="s">
        <v>1243</v>
      </c>
      <c r="L439" s="92" t="s">
        <v>1244</v>
      </c>
      <c r="M439" s="92" t="s">
        <v>1241</v>
      </c>
      <c r="N439" s="91">
        <v>41863</v>
      </c>
      <c r="O439" s="93">
        <v>0.24</v>
      </c>
      <c r="P439" s="93">
        <v>1.26</v>
      </c>
      <c r="Q439" s="94">
        <v>2</v>
      </c>
      <c r="R439" s="93">
        <f t="shared" si="24"/>
        <v>2.52</v>
      </c>
      <c r="S439" s="95">
        <v>0.06</v>
      </c>
      <c r="T439" s="96">
        <f t="shared" si="25"/>
        <v>0.1512</v>
      </c>
      <c r="U439" s="96">
        <f t="shared" si="26"/>
        <v>2.46</v>
      </c>
      <c r="V439" s="93">
        <v>0.7</v>
      </c>
      <c r="W439" s="97">
        <f t="shared" si="27"/>
        <v>3.16</v>
      </c>
    </row>
    <row r="440" spans="1:23" x14ac:dyDescent="0.25">
      <c r="A440" s="61" t="s">
        <v>533</v>
      </c>
      <c r="B440" s="91">
        <v>41862</v>
      </c>
      <c r="C440" s="92" t="s">
        <v>1557</v>
      </c>
      <c r="D440" s="92" t="s">
        <v>1253</v>
      </c>
      <c r="E440" s="92" t="s">
        <v>1199</v>
      </c>
      <c r="F440" s="92" t="s">
        <v>1254</v>
      </c>
      <c r="G440" s="92" t="s">
        <v>1201</v>
      </c>
      <c r="H440" s="92" t="s">
        <v>1255</v>
      </c>
      <c r="I440" s="92" t="s">
        <v>1264</v>
      </c>
      <c r="J440" s="92" t="s">
        <v>1492</v>
      </c>
      <c r="K440" s="92" t="s">
        <v>1243</v>
      </c>
      <c r="L440" s="92" t="s">
        <v>1244</v>
      </c>
      <c r="M440" s="92" t="s">
        <v>1241</v>
      </c>
      <c r="N440" s="91">
        <v>41865</v>
      </c>
      <c r="O440" s="93">
        <v>21.56</v>
      </c>
      <c r="P440" s="93">
        <v>36.549999999999997</v>
      </c>
      <c r="Q440" s="94">
        <v>24</v>
      </c>
      <c r="R440" s="93">
        <f t="shared" si="24"/>
        <v>877.19999999999993</v>
      </c>
      <c r="S440" s="95">
        <v>7.0000000000000007E-2</v>
      </c>
      <c r="T440" s="96">
        <f t="shared" si="25"/>
        <v>61.404000000000003</v>
      </c>
      <c r="U440" s="96">
        <f t="shared" si="26"/>
        <v>877.12999999999988</v>
      </c>
      <c r="V440" s="93">
        <v>13.89</v>
      </c>
      <c r="W440" s="97">
        <f t="shared" si="27"/>
        <v>891.01999999999987</v>
      </c>
    </row>
    <row r="441" spans="1:23" x14ac:dyDescent="0.25">
      <c r="A441" s="61" t="s">
        <v>534</v>
      </c>
      <c r="B441" s="91">
        <v>41862</v>
      </c>
      <c r="C441" s="92" t="s">
        <v>1798</v>
      </c>
      <c r="D441" s="92" t="s">
        <v>1253</v>
      </c>
      <c r="E441" s="92" t="s">
        <v>1199</v>
      </c>
      <c r="F441" s="92" t="s">
        <v>1254</v>
      </c>
      <c r="G441" s="92" t="s">
        <v>1200</v>
      </c>
      <c r="H441" s="92" t="s">
        <v>1255</v>
      </c>
      <c r="I441" s="92" t="s">
        <v>1237</v>
      </c>
      <c r="J441" s="92" t="s">
        <v>1499</v>
      </c>
      <c r="K441" s="92" t="s">
        <v>1243</v>
      </c>
      <c r="L441" s="92" t="s">
        <v>1244</v>
      </c>
      <c r="M441" s="92" t="s">
        <v>1241</v>
      </c>
      <c r="N441" s="91">
        <v>41864</v>
      </c>
      <c r="O441" s="93">
        <v>3.75</v>
      </c>
      <c r="P441" s="93">
        <v>7.08</v>
      </c>
      <c r="Q441" s="94">
        <v>47</v>
      </c>
      <c r="R441" s="93">
        <f t="shared" si="24"/>
        <v>332.76</v>
      </c>
      <c r="S441" s="95">
        <v>0.1</v>
      </c>
      <c r="T441" s="96">
        <f t="shared" si="25"/>
        <v>33.276000000000003</v>
      </c>
      <c r="U441" s="96">
        <f t="shared" si="26"/>
        <v>332.65999999999997</v>
      </c>
      <c r="V441" s="93">
        <v>2.35</v>
      </c>
      <c r="W441" s="97">
        <f t="shared" si="27"/>
        <v>335.01</v>
      </c>
    </row>
    <row r="442" spans="1:23" x14ac:dyDescent="0.25">
      <c r="A442" s="61" t="s">
        <v>535</v>
      </c>
      <c r="B442" s="91">
        <v>41862</v>
      </c>
      <c r="C442" s="92" t="s">
        <v>1799</v>
      </c>
      <c r="D442" s="92" t="s">
        <v>1281</v>
      </c>
      <c r="E442" s="92" t="s">
        <v>1199</v>
      </c>
      <c r="F442" s="92" t="s">
        <v>1254</v>
      </c>
      <c r="G442" s="92" t="s">
        <v>1202</v>
      </c>
      <c r="H442" s="92" t="s">
        <v>1274</v>
      </c>
      <c r="I442" s="92" t="s">
        <v>1317</v>
      </c>
      <c r="J442" s="92" t="s">
        <v>1539</v>
      </c>
      <c r="K442" s="92" t="s">
        <v>1243</v>
      </c>
      <c r="L442" s="92" t="s">
        <v>1244</v>
      </c>
      <c r="M442" s="92" t="s">
        <v>1250</v>
      </c>
      <c r="N442" s="91">
        <v>41864</v>
      </c>
      <c r="O442" s="93">
        <v>2.9</v>
      </c>
      <c r="P442" s="93">
        <v>4.76</v>
      </c>
      <c r="Q442" s="94">
        <v>11</v>
      </c>
      <c r="R442" s="93">
        <f t="shared" si="24"/>
        <v>52.36</v>
      </c>
      <c r="S442" s="95">
        <v>0.08</v>
      </c>
      <c r="T442" s="96">
        <f t="shared" si="25"/>
        <v>4.1887999999999996</v>
      </c>
      <c r="U442" s="96">
        <f t="shared" si="26"/>
        <v>52.28</v>
      </c>
      <c r="V442" s="93">
        <v>0.88</v>
      </c>
      <c r="W442" s="97">
        <f t="shared" si="27"/>
        <v>53.160000000000004</v>
      </c>
    </row>
    <row r="443" spans="1:23" x14ac:dyDescent="0.25">
      <c r="A443" s="61" t="s">
        <v>536</v>
      </c>
      <c r="B443" s="91">
        <v>41863</v>
      </c>
      <c r="C443" s="92" t="s">
        <v>1497</v>
      </c>
      <c r="D443" s="92" t="s">
        <v>1278</v>
      </c>
      <c r="E443" s="92" t="s">
        <v>1198</v>
      </c>
      <c r="F443" s="92" t="s">
        <v>1235</v>
      </c>
      <c r="G443" s="92" t="s">
        <v>1203</v>
      </c>
      <c r="H443" s="92" t="s">
        <v>1236</v>
      </c>
      <c r="I443" s="92" t="s">
        <v>1248</v>
      </c>
      <c r="J443" s="92" t="s">
        <v>1271</v>
      </c>
      <c r="K443" s="92" t="s">
        <v>1239</v>
      </c>
      <c r="L443" s="92" t="s">
        <v>1260</v>
      </c>
      <c r="M443" s="92" t="s">
        <v>1241</v>
      </c>
      <c r="N443" s="91">
        <v>41870</v>
      </c>
      <c r="O443" s="93">
        <v>6.39</v>
      </c>
      <c r="P443" s="93">
        <v>19.98</v>
      </c>
      <c r="Q443" s="94">
        <v>5</v>
      </c>
      <c r="R443" s="93">
        <f t="shared" si="24"/>
        <v>99.9</v>
      </c>
      <c r="S443" s="95">
        <v>0.09</v>
      </c>
      <c r="T443" s="96">
        <f t="shared" si="25"/>
        <v>8.9909999999999997</v>
      </c>
      <c r="U443" s="96">
        <f t="shared" si="26"/>
        <v>99.81</v>
      </c>
      <c r="V443" s="93">
        <v>4</v>
      </c>
      <c r="W443" s="97">
        <f t="shared" si="27"/>
        <v>103.81</v>
      </c>
    </row>
    <row r="444" spans="1:23" x14ac:dyDescent="0.25">
      <c r="A444" s="61" t="s">
        <v>537</v>
      </c>
      <c r="B444" s="91">
        <v>41873</v>
      </c>
      <c r="C444" s="92" t="s">
        <v>1800</v>
      </c>
      <c r="D444" s="92" t="s">
        <v>1337</v>
      </c>
      <c r="E444" s="92" t="s">
        <v>1198</v>
      </c>
      <c r="F444" s="92" t="s">
        <v>1235</v>
      </c>
      <c r="G444" s="92" t="s">
        <v>1203</v>
      </c>
      <c r="H444" s="92" t="s">
        <v>1247</v>
      </c>
      <c r="I444" s="92" t="s">
        <v>1256</v>
      </c>
      <c r="J444" s="92" t="s">
        <v>1801</v>
      </c>
      <c r="K444" s="92" t="s">
        <v>1243</v>
      </c>
      <c r="L444" s="92" t="s">
        <v>1260</v>
      </c>
      <c r="M444" s="92" t="s">
        <v>1241</v>
      </c>
      <c r="N444" s="91">
        <v>41874</v>
      </c>
      <c r="O444" s="93">
        <v>4.03</v>
      </c>
      <c r="P444" s="93">
        <v>9.3800000000000008</v>
      </c>
      <c r="Q444" s="94">
        <v>17</v>
      </c>
      <c r="R444" s="93">
        <f t="shared" si="24"/>
        <v>159.46</v>
      </c>
      <c r="S444" s="95">
        <v>0.09</v>
      </c>
      <c r="T444" s="96">
        <f t="shared" si="25"/>
        <v>14.3514</v>
      </c>
      <c r="U444" s="96">
        <f t="shared" si="26"/>
        <v>159.37</v>
      </c>
      <c r="V444" s="93">
        <v>7.28</v>
      </c>
      <c r="W444" s="97">
        <f t="shared" si="27"/>
        <v>166.65</v>
      </c>
    </row>
    <row r="445" spans="1:23" x14ac:dyDescent="0.25">
      <c r="A445" s="61" t="s">
        <v>538</v>
      </c>
      <c r="B445" s="91">
        <v>41876</v>
      </c>
      <c r="C445" s="92" t="s">
        <v>1764</v>
      </c>
      <c r="D445" s="92" t="s">
        <v>1253</v>
      </c>
      <c r="E445" s="92" t="s">
        <v>1199</v>
      </c>
      <c r="F445" s="92" t="s">
        <v>1254</v>
      </c>
      <c r="G445" s="92" t="s">
        <v>1200</v>
      </c>
      <c r="H445" s="92" t="s">
        <v>1255</v>
      </c>
      <c r="I445" s="92" t="s">
        <v>1317</v>
      </c>
      <c r="J445" s="92" t="s">
        <v>1386</v>
      </c>
      <c r="K445" s="92" t="s">
        <v>1382</v>
      </c>
      <c r="L445" s="92" t="s">
        <v>1240</v>
      </c>
      <c r="M445" s="92" t="s">
        <v>1241</v>
      </c>
      <c r="N445" s="91">
        <v>41878</v>
      </c>
      <c r="O445" s="93">
        <v>5.5</v>
      </c>
      <c r="P445" s="93">
        <v>12.22</v>
      </c>
      <c r="Q445" s="94">
        <v>37</v>
      </c>
      <c r="R445" s="93">
        <f t="shared" si="24"/>
        <v>452.14000000000004</v>
      </c>
      <c r="S445" s="95">
        <v>0.09</v>
      </c>
      <c r="T445" s="96">
        <f t="shared" si="25"/>
        <v>40.692600000000006</v>
      </c>
      <c r="U445" s="96">
        <f t="shared" si="26"/>
        <v>452.05000000000007</v>
      </c>
      <c r="V445" s="93">
        <v>2.85</v>
      </c>
      <c r="W445" s="97">
        <f t="shared" si="27"/>
        <v>454.90000000000009</v>
      </c>
    </row>
    <row r="446" spans="1:23" x14ac:dyDescent="0.25">
      <c r="A446" s="61" t="s">
        <v>539</v>
      </c>
      <c r="B446" s="91">
        <v>41876</v>
      </c>
      <c r="C446" s="92" t="s">
        <v>1802</v>
      </c>
      <c r="D446" s="92" t="s">
        <v>1370</v>
      </c>
      <c r="E446" s="92" t="s">
        <v>1198</v>
      </c>
      <c r="F446" s="92" t="s">
        <v>1235</v>
      </c>
      <c r="G446" s="92" t="s">
        <v>1203</v>
      </c>
      <c r="H446" s="92" t="s">
        <v>1236</v>
      </c>
      <c r="I446" s="92" t="s">
        <v>1317</v>
      </c>
      <c r="J446" s="92" t="s">
        <v>1359</v>
      </c>
      <c r="K446" s="92" t="s">
        <v>1243</v>
      </c>
      <c r="L446" s="92" t="s">
        <v>1244</v>
      </c>
      <c r="M446" s="92" t="s">
        <v>1241</v>
      </c>
      <c r="N446" s="91">
        <v>41878</v>
      </c>
      <c r="O446" s="93">
        <v>11.11</v>
      </c>
      <c r="P446" s="93">
        <v>19.84</v>
      </c>
      <c r="Q446" s="94">
        <v>28</v>
      </c>
      <c r="R446" s="93">
        <f t="shared" si="24"/>
        <v>555.52</v>
      </c>
      <c r="S446" s="95">
        <v>0.06</v>
      </c>
      <c r="T446" s="96">
        <f t="shared" si="25"/>
        <v>33.331199999999995</v>
      </c>
      <c r="U446" s="96">
        <f t="shared" si="26"/>
        <v>555.46</v>
      </c>
      <c r="V446" s="93">
        <v>4.0999999999999996</v>
      </c>
      <c r="W446" s="97">
        <f t="shared" si="27"/>
        <v>559.56000000000006</v>
      </c>
    </row>
    <row r="447" spans="1:23" x14ac:dyDescent="0.25">
      <c r="A447" s="61" t="s">
        <v>540</v>
      </c>
      <c r="B447" s="91">
        <v>41877</v>
      </c>
      <c r="C447" s="92" t="s">
        <v>1594</v>
      </c>
      <c r="D447" s="92" t="s">
        <v>1278</v>
      </c>
      <c r="E447" s="92" t="s">
        <v>1198</v>
      </c>
      <c r="F447" s="92" t="s">
        <v>1235</v>
      </c>
      <c r="G447" s="92" t="s">
        <v>1200</v>
      </c>
      <c r="H447" s="92" t="s">
        <v>1236</v>
      </c>
      <c r="I447" s="92" t="s">
        <v>1237</v>
      </c>
      <c r="J447" s="92" t="s">
        <v>1475</v>
      </c>
      <c r="K447" s="92" t="s">
        <v>1239</v>
      </c>
      <c r="L447" s="92" t="s">
        <v>1260</v>
      </c>
      <c r="M447" s="92" t="s">
        <v>1241</v>
      </c>
      <c r="N447" s="91">
        <v>41877</v>
      </c>
      <c r="O447" s="93">
        <v>10.07</v>
      </c>
      <c r="P447" s="93">
        <v>15.98</v>
      </c>
      <c r="Q447" s="94">
        <v>46</v>
      </c>
      <c r="R447" s="93">
        <f t="shared" si="24"/>
        <v>735.08</v>
      </c>
      <c r="S447" s="95">
        <v>0.02</v>
      </c>
      <c r="T447" s="96">
        <f t="shared" si="25"/>
        <v>14.701600000000001</v>
      </c>
      <c r="U447" s="96">
        <f t="shared" si="26"/>
        <v>735.06000000000006</v>
      </c>
      <c r="V447" s="93">
        <v>4</v>
      </c>
      <c r="W447" s="97">
        <f t="shared" si="27"/>
        <v>739.06000000000006</v>
      </c>
    </row>
    <row r="448" spans="1:23" x14ac:dyDescent="0.25">
      <c r="A448" s="61" t="s">
        <v>541</v>
      </c>
      <c r="B448" s="91">
        <v>41878</v>
      </c>
      <c r="C448" s="92" t="s">
        <v>1803</v>
      </c>
      <c r="D448" s="92" t="s">
        <v>1461</v>
      </c>
      <c r="E448" s="92" t="s">
        <v>1199</v>
      </c>
      <c r="F448" s="92" t="s">
        <v>1254</v>
      </c>
      <c r="G448" s="92" t="s">
        <v>1203</v>
      </c>
      <c r="H448" s="92" t="s">
        <v>1255</v>
      </c>
      <c r="I448" s="92" t="s">
        <v>1256</v>
      </c>
      <c r="J448" s="92" t="s">
        <v>1314</v>
      </c>
      <c r="K448" s="92" t="s">
        <v>1243</v>
      </c>
      <c r="L448" s="92" t="s">
        <v>1244</v>
      </c>
      <c r="M448" s="92" t="s">
        <v>1250</v>
      </c>
      <c r="N448" s="91">
        <v>41879</v>
      </c>
      <c r="O448" s="93">
        <v>1.6</v>
      </c>
      <c r="P448" s="93">
        <v>2.62</v>
      </c>
      <c r="Q448" s="94">
        <v>45</v>
      </c>
      <c r="R448" s="93">
        <f t="shared" si="24"/>
        <v>117.9</v>
      </c>
      <c r="S448" s="95">
        <v>0.01</v>
      </c>
      <c r="T448" s="96">
        <f t="shared" si="25"/>
        <v>1.179</v>
      </c>
      <c r="U448" s="96">
        <f t="shared" si="26"/>
        <v>117.89</v>
      </c>
      <c r="V448" s="93">
        <v>0.8</v>
      </c>
      <c r="W448" s="97">
        <f t="shared" si="27"/>
        <v>118.69</v>
      </c>
    </row>
    <row r="449" spans="1:23" x14ac:dyDescent="0.25">
      <c r="A449" s="61" t="s">
        <v>542</v>
      </c>
      <c r="B449" s="91">
        <v>41879</v>
      </c>
      <c r="C449" s="92" t="s">
        <v>1535</v>
      </c>
      <c r="D449" s="92" t="s">
        <v>1532</v>
      </c>
      <c r="E449" s="92" t="s">
        <v>1198</v>
      </c>
      <c r="F449" s="92" t="s">
        <v>1235</v>
      </c>
      <c r="G449" s="92" t="s">
        <v>1202</v>
      </c>
      <c r="H449" s="92" t="s">
        <v>1263</v>
      </c>
      <c r="I449" s="92" t="s">
        <v>1248</v>
      </c>
      <c r="J449" s="92" t="s">
        <v>1567</v>
      </c>
      <c r="K449" s="92" t="s">
        <v>1239</v>
      </c>
      <c r="L449" s="92" t="s">
        <v>1260</v>
      </c>
      <c r="M449" s="92" t="s">
        <v>1241</v>
      </c>
      <c r="N449" s="91">
        <v>41883</v>
      </c>
      <c r="O449" s="93">
        <v>6.51</v>
      </c>
      <c r="P449" s="93">
        <v>30.98</v>
      </c>
      <c r="Q449" s="94">
        <v>37</v>
      </c>
      <c r="R449" s="93">
        <f t="shared" si="24"/>
        <v>1146.26</v>
      </c>
      <c r="S449" s="95">
        <v>0.03</v>
      </c>
      <c r="T449" s="96">
        <f t="shared" si="25"/>
        <v>34.387799999999999</v>
      </c>
      <c r="U449" s="96">
        <f t="shared" si="26"/>
        <v>1146.23</v>
      </c>
      <c r="V449" s="93">
        <v>6.5</v>
      </c>
      <c r="W449" s="97">
        <f t="shared" si="27"/>
        <v>1152.73</v>
      </c>
    </row>
    <row r="450" spans="1:23" x14ac:dyDescent="0.25">
      <c r="A450" s="61" t="s">
        <v>543</v>
      </c>
      <c r="B450" s="91">
        <v>41884</v>
      </c>
      <c r="C450" s="92" t="s">
        <v>1747</v>
      </c>
      <c r="D450" s="92" t="s">
        <v>1278</v>
      </c>
      <c r="E450" s="92" t="s">
        <v>1198</v>
      </c>
      <c r="F450" s="92" t="s">
        <v>1235</v>
      </c>
      <c r="G450" s="92" t="s">
        <v>1203</v>
      </c>
      <c r="H450" s="92" t="s">
        <v>1236</v>
      </c>
      <c r="I450" s="92" t="s">
        <v>1248</v>
      </c>
      <c r="J450" s="92" t="s">
        <v>1475</v>
      </c>
      <c r="K450" s="92" t="s">
        <v>1239</v>
      </c>
      <c r="L450" s="92" t="s">
        <v>1260</v>
      </c>
      <c r="M450" s="92" t="s">
        <v>1241</v>
      </c>
      <c r="N450" s="91">
        <v>41886</v>
      </c>
      <c r="O450" s="93">
        <v>10.07</v>
      </c>
      <c r="P450" s="93">
        <v>15.98</v>
      </c>
      <c r="Q450" s="94">
        <v>29</v>
      </c>
      <c r="R450" s="93">
        <f t="shared" si="24"/>
        <v>463.42</v>
      </c>
      <c r="S450" s="95">
        <v>0.04</v>
      </c>
      <c r="T450" s="96">
        <f t="shared" si="25"/>
        <v>18.536799999999999</v>
      </c>
      <c r="U450" s="96">
        <f t="shared" si="26"/>
        <v>463.38</v>
      </c>
      <c r="V450" s="93">
        <v>4</v>
      </c>
      <c r="W450" s="97">
        <f t="shared" si="27"/>
        <v>467.38</v>
      </c>
    </row>
    <row r="451" spans="1:23" x14ac:dyDescent="0.25">
      <c r="A451" s="61" t="s">
        <v>544</v>
      </c>
      <c r="B451" s="91">
        <v>41885</v>
      </c>
      <c r="C451" s="92" t="s">
        <v>1804</v>
      </c>
      <c r="D451" s="92" t="s">
        <v>1451</v>
      </c>
      <c r="E451" s="92" t="s">
        <v>1198</v>
      </c>
      <c r="F451" s="92" t="s">
        <v>1235</v>
      </c>
      <c r="G451" s="92" t="s">
        <v>1201</v>
      </c>
      <c r="H451" s="92" t="s">
        <v>1291</v>
      </c>
      <c r="I451" s="92" t="s">
        <v>1237</v>
      </c>
      <c r="J451" s="92" t="s">
        <v>1675</v>
      </c>
      <c r="K451" s="92" t="s">
        <v>1243</v>
      </c>
      <c r="L451" s="92" t="s">
        <v>1244</v>
      </c>
      <c r="M451" s="92" t="s">
        <v>1241</v>
      </c>
      <c r="N451" s="91">
        <v>41887</v>
      </c>
      <c r="O451" s="93">
        <v>1.92</v>
      </c>
      <c r="P451" s="93">
        <v>3.26</v>
      </c>
      <c r="Q451" s="94">
        <v>31</v>
      </c>
      <c r="R451" s="93">
        <f t="shared" si="24"/>
        <v>101.05999999999999</v>
      </c>
      <c r="S451" s="95">
        <v>0</v>
      </c>
      <c r="T451" s="96">
        <f t="shared" si="25"/>
        <v>0</v>
      </c>
      <c r="U451" s="96">
        <f t="shared" si="26"/>
        <v>101.05999999999999</v>
      </c>
      <c r="V451" s="93">
        <v>1.86</v>
      </c>
      <c r="W451" s="97">
        <f t="shared" si="27"/>
        <v>102.91999999999999</v>
      </c>
    </row>
    <row r="452" spans="1:23" x14ac:dyDescent="0.25">
      <c r="A452" s="61" t="s">
        <v>545</v>
      </c>
      <c r="B452" s="91">
        <v>41885</v>
      </c>
      <c r="C452" s="92" t="s">
        <v>1805</v>
      </c>
      <c r="D452" s="92" t="s">
        <v>1496</v>
      </c>
      <c r="E452" s="92" t="s">
        <v>1198</v>
      </c>
      <c r="F452" s="92" t="s">
        <v>1235</v>
      </c>
      <c r="G452" s="92" t="s">
        <v>1200</v>
      </c>
      <c r="H452" s="92" t="s">
        <v>1313</v>
      </c>
      <c r="I452" s="92" t="s">
        <v>1248</v>
      </c>
      <c r="J452" s="92" t="s">
        <v>1251</v>
      </c>
      <c r="K452" s="92" t="s">
        <v>1243</v>
      </c>
      <c r="L452" s="92" t="s">
        <v>1244</v>
      </c>
      <c r="M452" s="92" t="s">
        <v>1241</v>
      </c>
      <c r="N452" s="91">
        <v>41892</v>
      </c>
      <c r="O452" s="93">
        <v>2.98</v>
      </c>
      <c r="P452" s="93">
        <v>5.84</v>
      </c>
      <c r="Q452" s="94">
        <v>22</v>
      </c>
      <c r="R452" s="93">
        <f t="shared" si="24"/>
        <v>128.47999999999999</v>
      </c>
      <c r="S452" s="95">
        <v>0.1</v>
      </c>
      <c r="T452" s="96">
        <f t="shared" si="25"/>
        <v>12.847999999999999</v>
      </c>
      <c r="U452" s="96">
        <f t="shared" si="26"/>
        <v>128.38</v>
      </c>
      <c r="V452" s="93">
        <v>0.83</v>
      </c>
      <c r="W452" s="97">
        <f t="shared" si="27"/>
        <v>129.21</v>
      </c>
    </row>
    <row r="453" spans="1:23" x14ac:dyDescent="0.25">
      <c r="A453" s="61" t="s">
        <v>546</v>
      </c>
      <c r="B453" s="91">
        <v>41886</v>
      </c>
      <c r="C453" s="92" t="s">
        <v>1588</v>
      </c>
      <c r="D453" s="92" t="s">
        <v>1496</v>
      </c>
      <c r="E453" s="92" t="s">
        <v>1198</v>
      </c>
      <c r="F453" s="92" t="s">
        <v>1235</v>
      </c>
      <c r="G453" s="92" t="s">
        <v>1200</v>
      </c>
      <c r="H453" s="92" t="s">
        <v>1313</v>
      </c>
      <c r="I453" s="92" t="s">
        <v>1256</v>
      </c>
      <c r="J453" s="92" t="s">
        <v>1618</v>
      </c>
      <c r="K453" s="92" t="s">
        <v>1243</v>
      </c>
      <c r="L453" s="92" t="s">
        <v>1240</v>
      </c>
      <c r="M453" s="92" t="s">
        <v>1241</v>
      </c>
      <c r="N453" s="91">
        <v>41887</v>
      </c>
      <c r="O453" s="93">
        <v>2.5</v>
      </c>
      <c r="P453" s="93">
        <v>5.68</v>
      </c>
      <c r="Q453" s="94">
        <v>23</v>
      </c>
      <c r="R453" s="93">
        <f t="shared" ref="R453:R516" si="28">P453*Q453</f>
        <v>130.63999999999999</v>
      </c>
      <c r="S453" s="95">
        <v>0.01</v>
      </c>
      <c r="T453" s="96">
        <f t="shared" ref="T453:T516" si="29">R453*S453</f>
        <v>1.3063999999999998</v>
      </c>
      <c r="U453" s="96">
        <f t="shared" ref="U453:U516" si="30">R453-S453</f>
        <v>130.63</v>
      </c>
      <c r="V453" s="93">
        <v>3.6</v>
      </c>
      <c r="W453" s="97">
        <f t="shared" ref="W453:W516" si="31">U453+V453</f>
        <v>134.22999999999999</v>
      </c>
    </row>
    <row r="454" spans="1:23" x14ac:dyDescent="0.25">
      <c r="A454" s="61" t="s">
        <v>547</v>
      </c>
      <c r="B454" s="91">
        <v>41892</v>
      </c>
      <c r="C454" s="92" t="s">
        <v>1650</v>
      </c>
      <c r="D454" s="92" t="s">
        <v>1496</v>
      </c>
      <c r="E454" s="92" t="s">
        <v>1198</v>
      </c>
      <c r="F454" s="92" t="s">
        <v>1235</v>
      </c>
      <c r="G454" s="92" t="s">
        <v>1200</v>
      </c>
      <c r="H454" s="92" t="s">
        <v>1313</v>
      </c>
      <c r="I454" s="92" t="s">
        <v>1256</v>
      </c>
      <c r="J454" s="92" t="s">
        <v>1663</v>
      </c>
      <c r="K454" s="92" t="s">
        <v>1382</v>
      </c>
      <c r="L454" s="92" t="s">
        <v>1240</v>
      </c>
      <c r="M454" s="92" t="s">
        <v>1241</v>
      </c>
      <c r="N454" s="91">
        <v>41894</v>
      </c>
      <c r="O454" s="93">
        <v>11.38</v>
      </c>
      <c r="P454" s="93">
        <v>18.649999999999999</v>
      </c>
      <c r="Q454" s="94">
        <v>7</v>
      </c>
      <c r="R454" s="93">
        <f t="shared" si="28"/>
        <v>130.54999999999998</v>
      </c>
      <c r="S454" s="95">
        <v>0.01</v>
      </c>
      <c r="T454" s="96">
        <f t="shared" si="29"/>
        <v>1.3054999999999999</v>
      </c>
      <c r="U454" s="96">
        <f t="shared" si="30"/>
        <v>130.54</v>
      </c>
      <c r="V454" s="93">
        <v>3.77</v>
      </c>
      <c r="W454" s="97">
        <f t="shared" si="31"/>
        <v>134.31</v>
      </c>
    </row>
    <row r="455" spans="1:23" x14ac:dyDescent="0.25">
      <c r="A455" s="61" t="s">
        <v>548</v>
      </c>
      <c r="B455" s="91">
        <v>41893</v>
      </c>
      <c r="C455" s="92" t="s">
        <v>1786</v>
      </c>
      <c r="D455" s="92" t="s">
        <v>1355</v>
      </c>
      <c r="E455" s="92" t="s">
        <v>1199</v>
      </c>
      <c r="F455" s="92" t="s">
        <v>1254</v>
      </c>
      <c r="G455" s="92" t="s">
        <v>1203</v>
      </c>
      <c r="H455" s="92" t="s">
        <v>1274</v>
      </c>
      <c r="I455" s="92" t="s">
        <v>1264</v>
      </c>
      <c r="J455" s="92" t="s">
        <v>1328</v>
      </c>
      <c r="K455" s="92" t="s">
        <v>1243</v>
      </c>
      <c r="L455" s="92" t="s">
        <v>1244</v>
      </c>
      <c r="M455" s="92" t="s">
        <v>1241</v>
      </c>
      <c r="N455" s="91">
        <v>41895</v>
      </c>
      <c r="O455" s="93">
        <v>0.93</v>
      </c>
      <c r="P455" s="93">
        <v>1.48</v>
      </c>
      <c r="Q455" s="94">
        <v>15</v>
      </c>
      <c r="R455" s="93">
        <f t="shared" si="28"/>
        <v>22.2</v>
      </c>
      <c r="S455" s="95">
        <v>0.03</v>
      </c>
      <c r="T455" s="96">
        <f t="shared" si="29"/>
        <v>0.66599999999999993</v>
      </c>
      <c r="U455" s="96">
        <f t="shared" si="30"/>
        <v>22.169999999999998</v>
      </c>
      <c r="V455" s="93">
        <v>0.7</v>
      </c>
      <c r="W455" s="97">
        <f t="shared" si="31"/>
        <v>22.869999999999997</v>
      </c>
    </row>
    <row r="456" spans="1:23" x14ac:dyDescent="0.25">
      <c r="A456" s="61" t="s">
        <v>549</v>
      </c>
      <c r="B456" s="91">
        <v>41894</v>
      </c>
      <c r="C456" s="92" t="s">
        <v>1806</v>
      </c>
      <c r="D456" s="92" t="s">
        <v>1390</v>
      </c>
      <c r="E456" s="92" t="s">
        <v>1198</v>
      </c>
      <c r="F456" s="92" t="s">
        <v>1235</v>
      </c>
      <c r="G456" s="92" t="s">
        <v>1200</v>
      </c>
      <c r="H456" s="92" t="s">
        <v>1247</v>
      </c>
      <c r="I456" s="92" t="s">
        <v>1264</v>
      </c>
      <c r="J456" s="92" t="s">
        <v>1759</v>
      </c>
      <c r="K456" s="92" t="s">
        <v>1243</v>
      </c>
      <c r="L456" s="92" t="s">
        <v>1244</v>
      </c>
      <c r="M456" s="92" t="s">
        <v>1241</v>
      </c>
      <c r="N456" s="91">
        <v>41895</v>
      </c>
      <c r="O456" s="93">
        <v>1.0900000000000001</v>
      </c>
      <c r="P456" s="93">
        <v>1.82</v>
      </c>
      <c r="Q456" s="94">
        <v>36</v>
      </c>
      <c r="R456" s="93">
        <f t="shared" si="28"/>
        <v>65.52</v>
      </c>
      <c r="S456" s="95">
        <v>0.09</v>
      </c>
      <c r="T456" s="96">
        <f t="shared" si="29"/>
        <v>5.8967999999999998</v>
      </c>
      <c r="U456" s="96">
        <f t="shared" si="30"/>
        <v>65.429999999999993</v>
      </c>
      <c r="V456" s="93">
        <v>1</v>
      </c>
      <c r="W456" s="97">
        <f t="shared" si="31"/>
        <v>66.429999999999993</v>
      </c>
    </row>
    <row r="457" spans="1:23" x14ac:dyDescent="0.25">
      <c r="A457" s="61" t="s">
        <v>550</v>
      </c>
      <c r="B457" s="91">
        <v>41894</v>
      </c>
      <c r="C457" s="92" t="s">
        <v>1807</v>
      </c>
      <c r="D457" s="92" t="s">
        <v>1425</v>
      </c>
      <c r="E457" s="92" t="s">
        <v>1198</v>
      </c>
      <c r="F457" s="92" t="s">
        <v>1235</v>
      </c>
      <c r="G457" s="92" t="s">
        <v>1202</v>
      </c>
      <c r="H457" s="92" t="s">
        <v>1409</v>
      </c>
      <c r="I457" s="92" t="s">
        <v>1248</v>
      </c>
      <c r="J457" s="92" t="s">
        <v>1333</v>
      </c>
      <c r="K457" s="92" t="s">
        <v>1243</v>
      </c>
      <c r="L457" s="92" t="s">
        <v>1260</v>
      </c>
      <c r="M457" s="92" t="s">
        <v>1241</v>
      </c>
      <c r="N457" s="91">
        <v>41901</v>
      </c>
      <c r="O457" s="93">
        <v>14.95</v>
      </c>
      <c r="P457" s="93">
        <v>34.76</v>
      </c>
      <c r="Q457" s="94">
        <v>34</v>
      </c>
      <c r="R457" s="93">
        <f t="shared" si="28"/>
        <v>1181.8399999999999</v>
      </c>
      <c r="S457" s="95">
        <v>0.03</v>
      </c>
      <c r="T457" s="96">
        <f t="shared" si="29"/>
        <v>35.455199999999998</v>
      </c>
      <c r="U457" s="96">
        <f t="shared" si="30"/>
        <v>1181.81</v>
      </c>
      <c r="V457" s="93">
        <v>8.2200000000000006</v>
      </c>
      <c r="W457" s="97">
        <f t="shared" si="31"/>
        <v>1190.03</v>
      </c>
    </row>
    <row r="458" spans="1:23" x14ac:dyDescent="0.25">
      <c r="A458" s="61" t="s">
        <v>551</v>
      </c>
      <c r="B458" s="91">
        <v>41895</v>
      </c>
      <c r="C458" s="92" t="s">
        <v>1445</v>
      </c>
      <c r="D458" s="92" t="s">
        <v>1347</v>
      </c>
      <c r="E458" s="92" t="s">
        <v>1198</v>
      </c>
      <c r="F458" s="92" t="s">
        <v>1235</v>
      </c>
      <c r="G458" s="92" t="s">
        <v>1201</v>
      </c>
      <c r="H458" s="92" t="s">
        <v>1236</v>
      </c>
      <c r="I458" s="92" t="s">
        <v>1248</v>
      </c>
      <c r="J458" s="92" t="s">
        <v>1305</v>
      </c>
      <c r="K458" s="92" t="s">
        <v>1243</v>
      </c>
      <c r="L458" s="92" t="s">
        <v>1260</v>
      </c>
      <c r="M458" s="92" t="s">
        <v>1241</v>
      </c>
      <c r="N458" s="91">
        <v>41899</v>
      </c>
      <c r="O458" s="93">
        <v>4.53</v>
      </c>
      <c r="P458" s="93">
        <v>7.3</v>
      </c>
      <c r="Q458" s="94">
        <v>26</v>
      </c>
      <c r="R458" s="93">
        <f t="shared" si="28"/>
        <v>189.79999999999998</v>
      </c>
      <c r="S458" s="95">
        <v>0.03</v>
      </c>
      <c r="T458" s="96">
        <f t="shared" si="29"/>
        <v>5.6939999999999991</v>
      </c>
      <c r="U458" s="96">
        <f t="shared" si="30"/>
        <v>189.76999999999998</v>
      </c>
      <c r="V458" s="93">
        <v>7.72</v>
      </c>
      <c r="W458" s="97">
        <f t="shared" si="31"/>
        <v>197.48999999999998</v>
      </c>
    </row>
    <row r="459" spans="1:23" x14ac:dyDescent="0.25">
      <c r="A459" s="61" t="s">
        <v>552</v>
      </c>
      <c r="B459" s="91">
        <v>41899</v>
      </c>
      <c r="C459" s="92" t="s">
        <v>1808</v>
      </c>
      <c r="D459" s="92" t="s">
        <v>1615</v>
      </c>
      <c r="E459" s="92" t="s">
        <v>1198</v>
      </c>
      <c r="F459" s="92" t="s">
        <v>1235</v>
      </c>
      <c r="G459" s="92" t="s">
        <v>1200</v>
      </c>
      <c r="H459" s="92" t="s">
        <v>1404</v>
      </c>
      <c r="I459" s="92" t="s">
        <v>1264</v>
      </c>
      <c r="J459" s="92" t="s">
        <v>1300</v>
      </c>
      <c r="K459" s="92" t="s">
        <v>1243</v>
      </c>
      <c r="L459" s="92" t="s">
        <v>1260</v>
      </c>
      <c r="M459" s="92" t="s">
        <v>1241</v>
      </c>
      <c r="N459" s="91">
        <v>41900</v>
      </c>
      <c r="O459" s="93">
        <v>2.2599999999999998</v>
      </c>
      <c r="P459" s="93">
        <v>3.58</v>
      </c>
      <c r="Q459" s="94">
        <v>19</v>
      </c>
      <c r="R459" s="93">
        <f t="shared" si="28"/>
        <v>68.02</v>
      </c>
      <c r="S459" s="95">
        <v>0</v>
      </c>
      <c r="T459" s="96">
        <f t="shared" si="29"/>
        <v>0</v>
      </c>
      <c r="U459" s="96">
        <f t="shared" si="30"/>
        <v>68.02</v>
      </c>
      <c r="V459" s="93">
        <v>5.47</v>
      </c>
      <c r="W459" s="97">
        <f t="shared" si="31"/>
        <v>73.489999999999995</v>
      </c>
    </row>
    <row r="460" spans="1:23" x14ac:dyDescent="0.25">
      <c r="A460" s="61" t="s">
        <v>553</v>
      </c>
      <c r="B460" s="91">
        <v>41905</v>
      </c>
      <c r="C460" s="92" t="s">
        <v>1809</v>
      </c>
      <c r="D460" s="92" t="s">
        <v>1376</v>
      </c>
      <c r="E460" s="92" t="s">
        <v>1199</v>
      </c>
      <c r="F460" s="92" t="s">
        <v>1254</v>
      </c>
      <c r="G460" s="92" t="s">
        <v>1200</v>
      </c>
      <c r="H460" s="92" t="s">
        <v>1255</v>
      </c>
      <c r="I460" s="92" t="s">
        <v>1317</v>
      </c>
      <c r="J460" s="92" t="s">
        <v>1374</v>
      </c>
      <c r="K460" s="92" t="s">
        <v>1243</v>
      </c>
      <c r="L460" s="92" t="s">
        <v>1244</v>
      </c>
      <c r="M460" s="92" t="s">
        <v>1250</v>
      </c>
      <c r="N460" s="91">
        <v>41907</v>
      </c>
      <c r="O460" s="93">
        <v>4.37</v>
      </c>
      <c r="P460" s="93">
        <v>9.11</v>
      </c>
      <c r="Q460" s="94">
        <v>48</v>
      </c>
      <c r="R460" s="93">
        <f t="shared" si="28"/>
        <v>437.28</v>
      </c>
      <c r="S460" s="95">
        <v>0.06</v>
      </c>
      <c r="T460" s="96">
        <f t="shared" si="29"/>
        <v>26.236799999999999</v>
      </c>
      <c r="U460" s="96">
        <f t="shared" si="30"/>
        <v>437.21999999999997</v>
      </c>
      <c r="V460" s="93">
        <v>2.25</v>
      </c>
      <c r="W460" s="97">
        <f t="shared" si="31"/>
        <v>439.46999999999997</v>
      </c>
    </row>
    <row r="461" spans="1:23" x14ac:dyDescent="0.25">
      <c r="A461" s="61" t="s">
        <v>554</v>
      </c>
      <c r="B461" s="91">
        <v>41909</v>
      </c>
      <c r="C461" s="92" t="s">
        <v>1810</v>
      </c>
      <c r="D461" s="92" t="s">
        <v>1395</v>
      </c>
      <c r="E461" s="92" t="s">
        <v>1198</v>
      </c>
      <c r="F461" s="92" t="s">
        <v>1235</v>
      </c>
      <c r="G461" s="92" t="s">
        <v>1200</v>
      </c>
      <c r="H461" s="92" t="s">
        <v>1236</v>
      </c>
      <c r="I461" s="92" t="s">
        <v>1248</v>
      </c>
      <c r="J461" s="92" t="s">
        <v>1292</v>
      </c>
      <c r="K461" s="92" t="s">
        <v>1243</v>
      </c>
      <c r="L461" s="92" t="s">
        <v>1240</v>
      </c>
      <c r="M461" s="92" t="s">
        <v>1241</v>
      </c>
      <c r="N461" s="91">
        <v>41914</v>
      </c>
      <c r="O461" s="93">
        <v>0.94</v>
      </c>
      <c r="P461" s="93">
        <v>2.08</v>
      </c>
      <c r="Q461" s="94">
        <v>36</v>
      </c>
      <c r="R461" s="93">
        <f t="shared" si="28"/>
        <v>74.88</v>
      </c>
      <c r="S461" s="95">
        <v>0.01</v>
      </c>
      <c r="T461" s="96">
        <f t="shared" si="29"/>
        <v>0.74880000000000002</v>
      </c>
      <c r="U461" s="96">
        <f t="shared" si="30"/>
        <v>74.86999999999999</v>
      </c>
      <c r="V461" s="93">
        <v>2.56</v>
      </c>
      <c r="W461" s="97">
        <f t="shared" si="31"/>
        <v>77.429999999999993</v>
      </c>
    </row>
    <row r="462" spans="1:23" x14ac:dyDescent="0.25">
      <c r="A462" s="61" t="s">
        <v>555</v>
      </c>
      <c r="B462" s="91">
        <v>41910</v>
      </c>
      <c r="C462" s="92" t="s">
        <v>1811</v>
      </c>
      <c r="D462" s="92" t="s">
        <v>1562</v>
      </c>
      <c r="E462" s="92" t="s">
        <v>1198</v>
      </c>
      <c r="F462" s="92" t="s">
        <v>1235</v>
      </c>
      <c r="G462" s="92" t="s">
        <v>1200</v>
      </c>
      <c r="H462" s="92" t="s">
        <v>1304</v>
      </c>
      <c r="I462" s="92" t="s">
        <v>1317</v>
      </c>
      <c r="J462" s="92" t="s">
        <v>1306</v>
      </c>
      <c r="K462" s="92" t="s">
        <v>1243</v>
      </c>
      <c r="L462" s="92" t="s">
        <v>1244</v>
      </c>
      <c r="M462" s="92" t="s">
        <v>1241</v>
      </c>
      <c r="N462" s="91">
        <v>41911</v>
      </c>
      <c r="O462" s="93">
        <v>1.53</v>
      </c>
      <c r="P462" s="93">
        <v>2.4700000000000002</v>
      </c>
      <c r="Q462" s="94">
        <v>49</v>
      </c>
      <c r="R462" s="93">
        <f t="shared" si="28"/>
        <v>121.03000000000002</v>
      </c>
      <c r="S462" s="95">
        <v>0.03</v>
      </c>
      <c r="T462" s="96">
        <f t="shared" si="29"/>
        <v>3.6309000000000005</v>
      </c>
      <c r="U462" s="96">
        <f t="shared" si="30"/>
        <v>121.00000000000001</v>
      </c>
      <c r="V462" s="93">
        <v>1.02</v>
      </c>
      <c r="W462" s="97">
        <f t="shared" si="31"/>
        <v>122.02000000000001</v>
      </c>
    </row>
    <row r="463" spans="1:23" x14ac:dyDescent="0.25">
      <c r="A463" s="61" t="s">
        <v>556</v>
      </c>
      <c r="B463" s="91">
        <v>41910</v>
      </c>
      <c r="C463" s="92" t="s">
        <v>1812</v>
      </c>
      <c r="D463" s="92" t="s">
        <v>1299</v>
      </c>
      <c r="E463" s="92" t="s">
        <v>1198</v>
      </c>
      <c r="F463" s="92" t="s">
        <v>1235</v>
      </c>
      <c r="G463" s="92" t="s">
        <v>1203</v>
      </c>
      <c r="H463" s="92" t="s">
        <v>1236</v>
      </c>
      <c r="I463" s="92" t="s">
        <v>1317</v>
      </c>
      <c r="J463" s="92" t="s">
        <v>1242</v>
      </c>
      <c r="K463" s="92" t="s">
        <v>1243</v>
      </c>
      <c r="L463" s="92" t="s">
        <v>1244</v>
      </c>
      <c r="M463" s="92" t="s">
        <v>1241</v>
      </c>
      <c r="N463" s="91">
        <v>41911</v>
      </c>
      <c r="O463" s="93">
        <v>3.47</v>
      </c>
      <c r="P463" s="93">
        <v>6.68</v>
      </c>
      <c r="Q463" s="94">
        <v>16</v>
      </c>
      <c r="R463" s="93">
        <f t="shared" si="28"/>
        <v>106.88</v>
      </c>
      <c r="S463" s="95">
        <v>0.1</v>
      </c>
      <c r="T463" s="96">
        <f t="shared" si="29"/>
        <v>10.688000000000001</v>
      </c>
      <c r="U463" s="96">
        <f t="shared" si="30"/>
        <v>106.78</v>
      </c>
      <c r="V463" s="93">
        <v>1.5</v>
      </c>
      <c r="W463" s="97">
        <f t="shared" si="31"/>
        <v>108.28</v>
      </c>
    </row>
    <row r="464" spans="1:23" x14ac:dyDescent="0.25">
      <c r="A464" s="61" t="s">
        <v>557</v>
      </c>
      <c r="B464" s="91">
        <v>41911</v>
      </c>
      <c r="C464" s="92" t="s">
        <v>1399</v>
      </c>
      <c r="D464" s="92" t="s">
        <v>1347</v>
      </c>
      <c r="E464" s="92" t="s">
        <v>1198</v>
      </c>
      <c r="F464" s="92" t="s">
        <v>1235</v>
      </c>
      <c r="G464" s="92" t="s">
        <v>1201</v>
      </c>
      <c r="H464" s="92" t="s">
        <v>1236</v>
      </c>
      <c r="I464" s="92" t="s">
        <v>1248</v>
      </c>
      <c r="J464" s="92" t="s">
        <v>1393</v>
      </c>
      <c r="K464" s="92" t="s">
        <v>1243</v>
      </c>
      <c r="L464" s="92" t="s">
        <v>1244</v>
      </c>
      <c r="M464" s="92" t="s">
        <v>1241</v>
      </c>
      <c r="N464" s="91">
        <v>41911</v>
      </c>
      <c r="O464" s="93">
        <v>0.71</v>
      </c>
      <c r="P464" s="93">
        <v>1.1399999999999999</v>
      </c>
      <c r="Q464" s="94">
        <v>8</v>
      </c>
      <c r="R464" s="93">
        <f t="shared" si="28"/>
        <v>9.1199999999999992</v>
      </c>
      <c r="S464" s="95">
        <v>0</v>
      </c>
      <c r="T464" s="96">
        <f t="shared" si="29"/>
        <v>0</v>
      </c>
      <c r="U464" s="96">
        <f t="shared" si="30"/>
        <v>9.1199999999999992</v>
      </c>
      <c r="V464" s="93">
        <v>0.7</v>
      </c>
      <c r="W464" s="97">
        <f t="shared" si="31"/>
        <v>9.8199999999999985</v>
      </c>
    </row>
    <row r="465" spans="1:23" x14ac:dyDescent="0.25">
      <c r="A465" s="61" t="s">
        <v>558</v>
      </c>
      <c r="B465" s="91">
        <v>41913</v>
      </c>
      <c r="C465" s="92" t="s">
        <v>1280</v>
      </c>
      <c r="D465" s="92" t="s">
        <v>1281</v>
      </c>
      <c r="E465" s="92" t="s">
        <v>1199</v>
      </c>
      <c r="F465" s="92" t="s">
        <v>1254</v>
      </c>
      <c r="G465" s="92" t="s">
        <v>1203</v>
      </c>
      <c r="H465" s="92" t="s">
        <v>1274</v>
      </c>
      <c r="I465" s="92" t="s">
        <v>1317</v>
      </c>
      <c r="J465" s="92" t="s">
        <v>1391</v>
      </c>
      <c r="K465" s="92" t="s">
        <v>1239</v>
      </c>
      <c r="L465" s="92" t="s">
        <v>1260</v>
      </c>
      <c r="M465" s="92" t="s">
        <v>1241</v>
      </c>
      <c r="N465" s="91">
        <v>41915</v>
      </c>
      <c r="O465" s="93">
        <v>39.64</v>
      </c>
      <c r="P465" s="93">
        <v>152.47999999999999</v>
      </c>
      <c r="Q465" s="94">
        <v>48</v>
      </c>
      <c r="R465" s="93">
        <f t="shared" si="28"/>
        <v>7319.0399999999991</v>
      </c>
      <c r="S465" s="95">
        <v>0.04</v>
      </c>
      <c r="T465" s="96">
        <f t="shared" si="29"/>
        <v>292.76159999999999</v>
      </c>
      <c r="U465" s="96">
        <f t="shared" si="30"/>
        <v>7318.9999999999991</v>
      </c>
      <c r="V465" s="93">
        <v>6.5</v>
      </c>
      <c r="W465" s="97">
        <f t="shared" si="31"/>
        <v>7325.4999999999991</v>
      </c>
    </row>
    <row r="466" spans="1:23" x14ac:dyDescent="0.25">
      <c r="A466" s="61" t="s">
        <v>559</v>
      </c>
      <c r="B466" s="91">
        <v>41913</v>
      </c>
      <c r="C466" s="92" t="s">
        <v>1813</v>
      </c>
      <c r="D466" s="92" t="s">
        <v>1246</v>
      </c>
      <c r="E466" s="92" t="s">
        <v>1198</v>
      </c>
      <c r="F466" s="92" t="s">
        <v>1235</v>
      </c>
      <c r="G466" s="92" t="s">
        <v>1200</v>
      </c>
      <c r="H466" s="92" t="s">
        <v>1247</v>
      </c>
      <c r="I466" s="92" t="s">
        <v>1256</v>
      </c>
      <c r="J466" s="92" t="s">
        <v>1359</v>
      </c>
      <c r="K466" s="92" t="s">
        <v>1243</v>
      </c>
      <c r="L466" s="92" t="s">
        <v>1244</v>
      </c>
      <c r="M466" s="92" t="s">
        <v>1250</v>
      </c>
      <c r="N466" s="91">
        <v>41914</v>
      </c>
      <c r="O466" s="93">
        <v>11.11</v>
      </c>
      <c r="P466" s="93">
        <v>19.84</v>
      </c>
      <c r="Q466" s="94">
        <v>15</v>
      </c>
      <c r="R466" s="93">
        <f t="shared" si="28"/>
        <v>297.60000000000002</v>
      </c>
      <c r="S466" s="95">
        <v>0</v>
      </c>
      <c r="T466" s="96">
        <f t="shared" si="29"/>
        <v>0</v>
      </c>
      <c r="U466" s="96">
        <f t="shared" si="30"/>
        <v>297.60000000000002</v>
      </c>
      <c r="V466" s="93">
        <v>4.0999999999999996</v>
      </c>
      <c r="W466" s="97">
        <f t="shared" si="31"/>
        <v>301.70000000000005</v>
      </c>
    </row>
    <row r="467" spans="1:23" x14ac:dyDescent="0.25">
      <c r="A467" s="61" t="s">
        <v>560</v>
      </c>
      <c r="B467" s="91">
        <v>41914</v>
      </c>
      <c r="C467" s="92" t="s">
        <v>1814</v>
      </c>
      <c r="D467" s="92" t="s">
        <v>1815</v>
      </c>
      <c r="E467" s="92" t="s">
        <v>1198</v>
      </c>
      <c r="F467" s="92" t="s">
        <v>1235</v>
      </c>
      <c r="G467" s="92" t="s">
        <v>1203</v>
      </c>
      <c r="H467" s="92" t="s">
        <v>1304</v>
      </c>
      <c r="I467" s="92" t="s">
        <v>1317</v>
      </c>
      <c r="J467" s="92" t="s">
        <v>1373</v>
      </c>
      <c r="K467" s="92" t="s">
        <v>1243</v>
      </c>
      <c r="L467" s="92" t="s">
        <v>1260</v>
      </c>
      <c r="M467" s="92" t="s">
        <v>1241</v>
      </c>
      <c r="N467" s="91">
        <v>41916</v>
      </c>
      <c r="O467" s="93">
        <v>2.29</v>
      </c>
      <c r="P467" s="93">
        <v>3.69</v>
      </c>
      <c r="Q467" s="94">
        <v>30</v>
      </c>
      <c r="R467" s="93">
        <f t="shared" si="28"/>
        <v>110.7</v>
      </c>
      <c r="S467" s="95">
        <v>0.09</v>
      </c>
      <c r="T467" s="96">
        <f t="shared" si="29"/>
        <v>9.9629999999999992</v>
      </c>
      <c r="U467" s="96">
        <f t="shared" si="30"/>
        <v>110.61</v>
      </c>
      <c r="V467" s="93">
        <v>0.5</v>
      </c>
      <c r="W467" s="97">
        <f t="shared" si="31"/>
        <v>111.11</v>
      </c>
    </row>
    <row r="468" spans="1:23" x14ac:dyDescent="0.25">
      <c r="A468" s="61" t="s">
        <v>561</v>
      </c>
      <c r="B468" s="91">
        <v>41914</v>
      </c>
      <c r="C468" s="92" t="s">
        <v>1748</v>
      </c>
      <c r="D468" s="92" t="s">
        <v>1312</v>
      </c>
      <c r="E468" s="92" t="s">
        <v>1198</v>
      </c>
      <c r="F468" s="92" t="s">
        <v>1235</v>
      </c>
      <c r="G468" s="92" t="s">
        <v>1200</v>
      </c>
      <c r="H468" s="92" t="s">
        <v>1313</v>
      </c>
      <c r="I468" s="92" t="s">
        <v>1317</v>
      </c>
      <c r="J468" s="92" t="s">
        <v>1724</v>
      </c>
      <c r="K468" s="92" t="s">
        <v>1243</v>
      </c>
      <c r="L468" s="92" t="s">
        <v>1260</v>
      </c>
      <c r="M468" s="92" t="s">
        <v>1241</v>
      </c>
      <c r="N468" s="91">
        <v>41916</v>
      </c>
      <c r="O468" s="93">
        <v>21.97</v>
      </c>
      <c r="P468" s="93">
        <v>35.44</v>
      </c>
      <c r="Q468" s="94">
        <v>29</v>
      </c>
      <c r="R468" s="93">
        <f t="shared" si="28"/>
        <v>1027.76</v>
      </c>
      <c r="S468" s="95">
        <v>0.03</v>
      </c>
      <c r="T468" s="96">
        <f t="shared" si="29"/>
        <v>30.832799999999999</v>
      </c>
      <c r="U468" s="96">
        <f t="shared" si="30"/>
        <v>1027.73</v>
      </c>
      <c r="V468" s="93">
        <v>4.92</v>
      </c>
      <c r="W468" s="97">
        <f t="shared" si="31"/>
        <v>1032.6500000000001</v>
      </c>
    </row>
    <row r="469" spans="1:23" x14ac:dyDescent="0.25">
      <c r="A469" s="61" t="s">
        <v>562</v>
      </c>
      <c r="B469" s="91">
        <v>41915</v>
      </c>
      <c r="C469" s="92" t="s">
        <v>1809</v>
      </c>
      <c r="D469" s="92" t="s">
        <v>1376</v>
      </c>
      <c r="E469" s="92" t="s">
        <v>1199</v>
      </c>
      <c r="F469" s="92" t="s">
        <v>1254</v>
      </c>
      <c r="G469" s="92" t="s">
        <v>1200</v>
      </c>
      <c r="H469" s="92" t="s">
        <v>1255</v>
      </c>
      <c r="I469" s="92" t="s">
        <v>1256</v>
      </c>
      <c r="J469" s="92" t="s">
        <v>1393</v>
      </c>
      <c r="K469" s="92" t="s">
        <v>1243</v>
      </c>
      <c r="L469" s="92" t="s">
        <v>1244</v>
      </c>
      <c r="M469" s="92" t="s">
        <v>1241</v>
      </c>
      <c r="N469" s="91">
        <v>41917</v>
      </c>
      <c r="O469" s="93">
        <v>0.71</v>
      </c>
      <c r="P469" s="93">
        <v>1.1399999999999999</v>
      </c>
      <c r="Q469" s="94">
        <v>4</v>
      </c>
      <c r="R469" s="93">
        <f t="shared" si="28"/>
        <v>4.5599999999999996</v>
      </c>
      <c r="S469" s="95">
        <v>0</v>
      </c>
      <c r="T469" s="96">
        <f t="shared" si="29"/>
        <v>0</v>
      </c>
      <c r="U469" s="96">
        <f t="shared" si="30"/>
        <v>4.5599999999999996</v>
      </c>
      <c r="V469" s="93">
        <v>0.7</v>
      </c>
      <c r="W469" s="97">
        <f t="shared" si="31"/>
        <v>5.26</v>
      </c>
    </row>
    <row r="470" spans="1:23" x14ac:dyDescent="0.25">
      <c r="A470" s="61" t="s">
        <v>563</v>
      </c>
      <c r="B470" s="91">
        <v>41916</v>
      </c>
      <c r="C470" s="92" t="s">
        <v>1611</v>
      </c>
      <c r="D470" s="92" t="s">
        <v>1246</v>
      </c>
      <c r="E470" s="92" t="s">
        <v>1198</v>
      </c>
      <c r="F470" s="92" t="s">
        <v>1235</v>
      </c>
      <c r="G470" s="92" t="s">
        <v>1202</v>
      </c>
      <c r="H470" s="92" t="s">
        <v>1247</v>
      </c>
      <c r="I470" s="92" t="s">
        <v>1248</v>
      </c>
      <c r="J470" s="92" t="s">
        <v>1560</v>
      </c>
      <c r="K470" s="92" t="s">
        <v>1243</v>
      </c>
      <c r="L470" s="92" t="s">
        <v>1260</v>
      </c>
      <c r="M470" s="92" t="s">
        <v>1250</v>
      </c>
      <c r="N470" s="91">
        <v>41923</v>
      </c>
      <c r="O470" s="93">
        <v>2.74</v>
      </c>
      <c r="P470" s="93">
        <v>4.49</v>
      </c>
      <c r="Q470" s="94">
        <v>44</v>
      </c>
      <c r="R470" s="93">
        <f t="shared" si="28"/>
        <v>197.56</v>
      </c>
      <c r="S470" s="95">
        <v>0.03</v>
      </c>
      <c r="T470" s="96">
        <f t="shared" si="29"/>
        <v>5.9268000000000001</v>
      </c>
      <c r="U470" s="96">
        <f t="shared" si="30"/>
        <v>197.53</v>
      </c>
      <c r="V470" s="93">
        <v>1.49</v>
      </c>
      <c r="W470" s="97">
        <f t="shared" si="31"/>
        <v>199.02</v>
      </c>
    </row>
    <row r="471" spans="1:23" x14ac:dyDescent="0.25">
      <c r="A471" s="61" t="s">
        <v>564</v>
      </c>
      <c r="B471" s="91">
        <v>41916</v>
      </c>
      <c r="C471" s="92" t="s">
        <v>1369</v>
      </c>
      <c r="D471" s="92" t="s">
        <v>1370</v>
      </c>
      <c r="E471" s="92" t="s">
        <v>1198</v>
      </c>
      <c r="F471" s="92" t="s">
        <v>1235</v>
      </c>
      <c r="G471" s="92" t="s">
        <v>1203</v>
      </c>
      <c r="H471" s="92" t="s">
        <v>1236</v>
      </c>
      <c r="I471" s="92" t="s">
        <v>1248</v>
      </c>
      <c r="J471" s="92" t="s">
        <v>1392</v>
      </c>
      <c r="K471" s="92" t="s">
        <v>1239</v>
      </c>
      <c r="L471" s="92" t="s">
        <v>1240</v>
      </c>
      <c r="M471" s="92" t="s">
        <v>1241</v>
      </c>
      <c r="N471" s="91">
        <v>41918</v>
      </c>
      <c r="O471" s="93">
        <v>20.18</v>
      </c>
      <c r="P471" s="93">
        <v>35.409999999999997</v>
      </c>
      <c r="Q471" s="94">
        <v>5</v>
      </c>
      <c r="R471" s="93">
        <f t="shared" si="28"/>
        <v>177.04999999999998</v>
      </c>
      <c r="S471" s="95">
        <v>0</v>
      </c>
      <c r="T471" s="96">
        <f t="shared" si="29"/>
        <v>0</v>
      </c>
      <c r="U471" s="96">
        <f t="shared" si="30"/>
        <v>177.04999999999998</v>
      </c>
      <c r="V471" s="93">
        <v>1.99</v>
      </c>
      <c r="W471" s="97">
        <f t="shared" si="31"/>
        <v>179.04</v>
      </c>
    </row>
    <row r="472" spans="1:23" x14ac:dyDescent="0.25">
      <c r="A472" s="61" t="s">
        <v>565</v>
      </c>
      <c r="B472" s="91">
        <v>41918</v>
      </c>
      <c r="C472" s="92" t="s">
        <v>1711</v>
      </c>
      <c r="D472" s="92" t="s">
        <v>1581</v>
      </c>
      <c r="E472" s="92" t="s">
        <v>1199</v>
      </c>
      <c r="F472" s="92" t="s">
        <v>1254</v>
      </c>
      <c r="G472" s="92" t="s">
        <v>1202</v>
      </c>
      <c r="H472" s="92" t="s">
        <v>1274</v>
      </c>
      <c r="I472" s="92" t="s">
        <v>1264</v>
      </c>
      <c r="J472" s="92" t="s">
        <v>1575</v>
      </c>
      <c r="K472" s="92" t="s">
        <v>1243</v>
      </c>
      <c r="L472" s="92" t="s">
        <v>1260</v>
      </c>
      <c r="M472" s="92" t="s">
        <v>1241</v>
      </c>
      <c r="N472" s="91">
        <v>41919</v>
      </c>
      <c r="O472" s="93">
        <v>1.94</v>
      </c>
      <c r="P472" s="93">
        <v>3.08</v>
      </c>
      <c r="Q472" s="94">
        <v>46</v>
      </c>
      <c r="R472" s="93">
        <f t="shared" si="28"/>
        <v>141.68</v>
      </c>
      <c r="S472" s="95">
        <v>0.04</v>
      </c>
      <c r="T472" s="96">
        <f t="shared" si="29"/>
        <v>5.6672000000000002</v>
      </c>
      <c r="U472" s="96">
        <f t="shared" si="30"/>
        <v>141.64000000000001</v>
      </c>
      <c r="V472" s="93">
        <v>0.99</v>
      </c>
      <c r="W472" s="97">
        <f t="shared" si="31"/>
        <v>142.63000000000002</v>
      </c>
    </row>
    <row r="473" spans="1:23" x14ac:dyDescent="0.25">
      <c r="A473" s="61" t="s">
        <v>566</v>
      </c>
      <c r="B473" s="91">
        <v>41920</v>
      </c>
      <c r="C473" s="92" t="s">
        <v>1233</v>
      </c>
      <c r="D473" s="92" t="s">
        <v>1234</v>
      </c>
      <c r="E473" s="92" t="s">
        <v>1198</v>
      </c>
      <c r="F473" s="92" t="s">
        <v>1235</v>
      </c>
      <c r="G473" s="92" t="s">
        <v>1200</v>
      </c>
      <c r="H473" s="92" t="s">
        <v>1236</v>
      </c>
      <c r="I473" s="92" t="s">
        <v>1317</v>
      </c>
      <c r="J473" s="92" t="s">
        <v>1386</v>
      </c>
      <c r="K473" s="92" t="s">
        <v>1382</v>
      </c>
      <c r="L473" s="92" t="s">
        <v>1240</v>
      </c>
      <c r="M473" s="92" t="s">
        <v>1241</v>
      </c>
      <c r="N473" s="91">
        <v>41922</v>
      </c>
      <c r="O473" s="93">
        <v>5.5</v>
      </c>
      <c r="P473" s="93">
        <v>12.22</v>
      </c>
      <c r="Q473" s="94">
        <v>1</v>
      </c>
      <c r="R473" s="93">
        <f t="shared" si="28"/>
        <v>12.22</v>
      </c>
      <c r="S473" s="95">
        <v>0.1</v>
      </c>
      <c r="T473" s="96">
        <f t="shared" si="29"/>
        <v>1.2220000000000002</v>
      </c>
      <c r="U473" s="96">
        <f t="shared" si="30"/>
        <v>12.120000000000001</v>
      </c>
      <c r="V473" s="93">
        <v>2.85</v>
      </c>
      <c r="W473" s="97">
        <f t="shared" si="31"/>
        <v>14.97</v>
      </c>
    </row>
    <row r="474" spans="1:23" x14ac:dyDescent="0.25">
      <c r="A474" s="61" t="s">
        <v>567</v>
      </c>
      <c r="B474" s="91">
        <v>41921</v>
      </c>
      <c r="C474" s="92" t="s">
        <v>1816</v>
      </c>
      <c r="D474" s="92" t="s">
        <v>1458</v>
      </c>
      <c r="E474" s="92" t="s">
        <v>1198</v>
      </c>
      <c r="F474" s="92" t="s">
        <v>1235</v>
      </c>
      <c r="G474" s="92" t="s">
        <v>1202</v>
      </c>
      <c r="H474" s="92" t="s">
        <v>1404</v>
      </c>
      <c r="I474" s="92" t="s">
        <v>1317</v>
      </c>
      <c r="J474" s="92" t="s">
        <v>1348</v>
      </c>
      <c r="K474" s="92" t="s">
        <v>1243</v>
      </c>
      <c r="L474" s="92" t="s">
        <v>1240</v>
      </c>
      <c r="M474" s="92" t="s">
        <v>1241</v>
      </c>
      <c r="N474" s="91">
        <v>41921</v>
      </c>
      <c r="O474" s="93">
        <v>4.1900000000000004</v>
      </c>
      <c r="P474" s="93">
        <v>10.23</v>
      </c>
      <c r="Q474" s="94">
        <v>37</v>
      </c>
      <c r="R474" s="93">
        <f t="shared" si="28"/>
        <v>378.51</v>
      </c>
      <c r="S474" s="95">
        <v>0.08</v>
      </c>
      <c r="T474" s="96">
        <f t="shared" si="29"/>
        <v>30.280799999999999</v>
      </c>
      <c r="U474" s="96">
        <f t="shared" si="30"/>
        <v>378.43</v>
      </c>
      <c r="V474" s="93">
        <v>4.68</v>
      </c>
      <c r="W474" s="97">
        <f t="shared" si="31"/>
        <v>383.11</v>
      </c>
    </row>
    <row r="475" spans="1:23" x14ac:dyDescent="0.25">
      <c r="A475" s="61" t="s">
        <v>568</v>
      </c>
      <c r="B475" s="91">
        <v>41922</v>
      </c>
      <c r="C475" s="92" t="s">
        <v>1394</v>
      </c>
      <c r="D475" s="92" t="s">
        <v>1395</v>
      </c>
      <c r="E475" s="92" t="s">
        <v>1198</v>
      </c>
      <c r="F475" s="92" t="s">
        <v>1235</v>
      </c>
      <c r="G475" s="92" t="s">
        <v>1200</v>
      </c>
      <c r="H475" s="92" t="s">
        <v>1236</v>
      </c>
      <c r="I475" s="92" t="s">
        <v>1248</v>
      </c>
      <c r="J475" s="92" t="s">
        <v>1417</v>
      </c>
      <c r="K475" s="92" t="s">
        <v>1243</v>
      </c>
      <c r="L475" s="92" t="s">
        <v>1260</v>
      </c>
      <c r="M475" s="92" t="s">
        <v>1241</v>
      </c>
      <c r="N475" s="91">
        <v>41929</v>
      </c>
      <c r="O475" s="93">
        <v>1.19</v>
      </c>
      <c r="P475" s="93">
        <v>1.98</v>
      </c>
      <c r="Q475" s="94">
        <v>38</v>
      </c>
      <c r="R475" s="93">
        <f t="shared" si="28"/>
        <v>75.239999999999995</v>
      </c>
      <c r="S475" s="95">
        <v>0.05</v>
      </c>
      <c r="T475" s="96">
        <f t="shared" si="29"/>
        <v>3.762</v>
      </c>
      <c r="U475" s="96">
        <f t="shared" si="30"/>
        <v>75.19</v>
      </c>
      <c r="V475" s="93">
        <v>4.7699999999999996</v>
      </c>
      <c r="W475" s="97">
        <f t="shared" si="31"/>
        <v>79.959999999999994</v>
      </c>
    </row>
    <row r="476" spans="1:23" x14ac:dyDescent="0.25">
      <c r="A476" s="61" t="s">
        <v>569</v>
      </c>
      <c r="B476" s="91">
        <v>41923</v>
      </c>
      <c r="C476" s="92" t="s">
        <v>1817</v>
      </c>
      <c r="D476" s="92" t="s">
        <v>1246</v>
      </c>
      <c r="E476" s="92" t="s">
        <v>1198</v>
      </c>
      <c r="F476" s="92" t="s">
        <v>1235</v>
      </c>
      <c r="G476" s="92" t="s">
        <v>1203</v>
      </c>
      <c r="H476" s="92" t="s">
        <v>1247</v>
      </c>
      <c r="I476" s="92" t="s">
        <v>1237</v>
      </c>
      <c r="J476" s="92" t="s">
        <v>1359</v>
      </c>
      <c r="K476" s="92" t="s">
        <v>1243</v>
      </c>
      <c r="L476" s="92" t="s">
        <v>1244</v>
      </c>
      <c r="M476" s="92" t="s">
        <v>1241</v>
      </c>
      <c r="N476" s="91">
        <v>41923</v>
      </c>
      <c r="O476" s="93">
        <v>11.11</v>
      </c>
      <c r="P476" s="93">
        <v>19.84</v>
      </c>
      <c r="Q476" s="94">
        <v>43</v>
      </c>
      <c r="R476" s="93">
        <f t="shared" si="28"/>
        <v>853.12</v>
      </c>
      <c r="S476" s="95">
        <v>0.03</v>
      </c>
      <c r="T476" s="96">
        <f t="shared" si="29"/>
        <v>25.593599999999999</v>
      </c>
      <c r="U476" s="96">
        <f t="shared" si="30"/>
        <v>853.09</v>
      </c>
      <c r="V476" s="93">
        <v>4.0999999999999996</v>
      </c>
      <c r="W476" s="97">
        <f t="shared" si="31"/>
        <v>857.19</v>
      </c>
    </row>
    <row r="477" spans="1:23" x14ac:dyDescent="0.25">
      <c r="A477" s="61" t="s">
        <v>570</v>
      </c>
      <c r="B477" s="91">
        <v>41927</v>
      </c>
      <c r="C477" s="92" t="s">
        <v>1818</v>
      </c>
      <c r="D477" s="92" t="s">
        <v>1454</v>
      </c>
      <c r="E477" s="92" t="s">
        <v>1198</v>
      </c>
      <c r="F477" s="92" t="s">
        <v>1235</v>
      </c>
      <c r="G477" s="92" t="s">
        <v>1203</v>
      </c>
      <c r="H477" s="92" t="s">
        <v>1304</v>
      </c>
      <c r="I477" s="92" t="s">
        <v>1248</v>
      </c>
      <c r="J477" s="92" t="s">
        <v>1705</v>
      </c>
      <c r="K477" s="92" t="s">
        <v>1243</v>
      </c>
      <c r="L477" s="92" t="s">
        <v>1260</v>
      </c>
      <c r="M477" s="92" t="s">
        <v>1250</v>
      </c>
      <c r="N477" s="91">
        <v>41931</v>
      </c>
      <c r="O477" s="93">
        <v>52.07</v>
      </c>
      <c r="P477" s="93">
        <v>83.98</v>
      </c>
      <c r="Q477" s="94">
        <v>34</v>
      </c>
      <c r="R477" s="93">
        <f t="shared" si="28"/>
        <v>2855.32</v>
      </c>
      <c r="S477" s="95">
        <v>0.06</v>
      </c>
      <c r="T477" s="96">
        <f t="shared" si="29"/>
        <v>171.3192</v>
      </c>
      <c r="U477" s="96">
        <f t="shared" si="30"/>
        <v>2855.26</v>
      </c>
      <c r="V477" s="93">
        <v>5.01</v>
      </c>
      <c r="W477" s="97">
        <f t="shared" si="31"/>
        <v>2860.2700000000004</v>
      </c>
    </row>
    <row r="478" spans="1:23" x14ac:dyDescent="0.25">
      <c r="A478" s="61" t="s">
        <v>571</v>
      </c>
      <c r="B478" s="91">
        <v>41928</v>
      </c>
      <c r="C478" s="92" t="s">
        <v>1280</v>
      </c>
      <c r="D478" s="92" t="s">
        <v>1281</v>
      </c>
      <c r="E478" s="92" t="s">
        <v>1199</v>
      </c>
      <c r="F478" s="92" t="s">
        <v>1254</v>
      </c>
      <c r="G478" s="92" t="s">
        <v>1203</v>
      </c>
      <c r="H478" s="92" t="s">
        <v>1274</v>
      </c>
      <c r="I478" s="92" t="s">
        <v>1264</v>
      </c>
      <c r="J478" s="92" t="s">
        <v>1321</v>
      </c>
      <c r="K478" s="92" t="s">
        <v>1243</v>
      </c>
      <c r="L478" s="92" t="s">
        <v>1244</v>
      </c>
      <c r="M478" s="92" t="s">
        <v>1241</v>
      </c>
      <c r="N478" s="91">
        <v>41929</v>
      </c>
      <c r="O478" s="93">
        <v>2.52</v>
      </c>
      <c r="P478" s="93">
        <v>4</v>
      </c>
      <c r="Q478" s="94">
        <v>36</v>
      </c>
      <c r="R478" s="93">
        <f t="shared" si="28"/>
        <v>144</v>
      </c>
      <c r="S478" s="95">
        <v>0.01</v>
      </c>
      <c r="T478" s="96">
        <f t="shared" si="29"/>
        <v>1.44</v>
      </c>
      <c r="U478" s="96">
        <f t="shared" si="30"/>
        <v>143.99</v>
      </c>
      <c r="V478" s="93">
        <v>1.3</v>
      </c>
      <c r="W478" s="97">
        <f t="shared" si="31"/>
        <v>145.29000000000002</v>
      </c>
    </row>
    <row r="479" spans="1:23" x14ac:dyDescent="0.25">
      <c r="A479" s="61" t="s">
        <v>572</v>
      </c>
      <c r="B479" s="91">
        <v>41930</v>
      </c>
      <c r="C479" s="92" t="s">
        <v>1280</v>
      </c>
      <c r="D479" s="92" t="s">
        <v>1281</v>
      </c>
      <c r="E479" s="92" t="s">
        <v>1199</v>
      </c>
      <c r="F479" s="92" t="s">
        <v>1254</v>
      </c>
      <c r="G479" s="92" t="s">
        <v>1203</v>
      </c>
      <c r="H479" s="92" t="s">
        <v>1274</v>
      </c>
      <c r="I479" s="92" t="s">
        <v>1256</v>
      </c>
      <c r="J479" s="92" t="s">
        <v>1509</v>
      </c>
      <c r="K479" s="92" t="s">
        <v>1243</v>
      </c>
      <c r="L479" s="92" t="s">
        <v>1260</v>
      </c>
      <c r="M479" s="92" t="s">
        <v>1241</v>
      </c>
      <c r="N479" s="91">
        <v>41932</v>
      </c>
      <c r="O479" s="93">
        <v>3.84</v>
      </c>
      <c r="P479" s="93">
        <v>6.3</v>
      </c>
      <c r="Q479" s="94">
        <v>8</v>
      </c>
      <c r="R479" s="93">
        <f t="shared" si="28"/>
        <v>50.4</v>
      </c>
      <c r="S479" s="95">
        <v>0.01</v>
      </c>
      <c r="T479" s="96">
        <f t="shared" si="29"/>
        <v>0.504</v>
      </c>
      <c r="U479" s="96">
        <f t="shared" si="30"/>
        <v>50.39</v>
      </c>
      <c r="V479" s="93">
        <v>0.5</v>
      </c>
      <c r="W479" s="97">
        <f t="shared" si="31"/>
        <v>50.89</v>
      </c>
    </row>
    <row r="480" spans="1:23" x14ac:dyDescent="0.25">
      <c r="A480" s="61" t="s">
        <v>573</v>
      </c>
      <c r="B480" s="91">
        <v>41931</v>
      </c>
      <c r="C480" s="92" t="s">
        <v>1819</v>
      </c>
      <c r="D480" s="92" t="s">
        <v>1355</v>
      </c>
      <c r="E480" s="92" t="s">
        <v>1199</v>
      </c>
      <c r="F480" s="92" t="s">
        <v>1254</v>
      </c>
      <c r="G480" s="92" t="s">
        <v>1200</v>
      </c>
      <c r="H480" s="92" t="s">
        <v>1274</v>
      </c>
      <c r="I480" s="92" t="s">
        <v>1317</v>
      </c>
      <c r="J480" s="92" t="s">
        <v>1384</v>
      </c>
      <c r="K480" s="92" t="s">
        <v>1243</v>
      </c>
      <c r="L480" s="92" t="s">
        <v>1260</v>
      </c>
      <c r="M480" s="92" t="s">
        <v>1250</v>
      </c>
      <c r="N480" s="91">
        <v>41932</v>
      </c>
      <c r="O480" s="93">
        <v>4.46</v>
      </c>
      <c r="P480" s="93">
        <v>10.89</v>
      </c>
      <c r="Q480" s="94">
        <v>4</v>
      </c>
      <c r="R480" s="93">
        <f t="shared" si="28"/>
        <v>43.56</v>
      </c>
      <c r="S480" s="95">
        <v>0.05</v>
      </c>
      <c r="T480" s="96">
        <f t="shared" si="29"/>
        <v>2.1780000000000004</v>
      </c>
      <c r="U480" s="96">
        <f t="shared" si="30"/>
        <v>43.510000000000005</v>
      </c>
      <c r="V480" s="93">
        <v>4.5</v>
      </c>
      <c r="W480" s="97">
        <f t="shared" si="31"/>
        <v>48.010000000000005</v>
      </c>
    </row>
    <row r="481" spans="1:23" x14ac:dyDescent="0.25">
      <c r="A481" s="61" t="s">
        <v>574</v>
      </c>
      <c r="B481" s="91">
        <v>41932</v>
      </c>
      <c r="C481" s="92" t="s">
        <v>1325</v>
      </c>
      <c r="D481" s="92" t="s">
        <v>1326</v>
      </c>
      <c r="E481" s="92" t="s">
        <v>1199</v>
      </c>
      <c r="F481" s="92" t="s">
        <v>1254</v>
      </c>
      <c r="G481" s="92" t="s">
        <v>1201</v>
      </c>
      <c r="H481" s="92" t="s">
        <v>1255</v>
      </c>
      <c r="I481" s="92" t="s">
        <v>1256</v>
      </c>
      <c r="J481" s="92" t="s">
        <v>1475</v>
      </c>
      <c r="K481" s="92" t="s">
        <v>1239</v>
      </c>
      <c r="L481" s="92" t="s">
        <v>1260</v>
      </c>
      <c r="M481" s="92" t="s">
        <v>1241</v>
      </c>
      <c r="N481" s="91">
        <v>41934</v>
      </c>
      <c r="O481" s="93">
        <v>8.31</v>
      </c>
      <c r="P481" s="93">
        <v>15.98</v>
      </c>
      <c r="Q481" s="94">
        <v>38</v>
      </c>
      <c r="R481" s="93">
        <f t="shared" si="28"/>
        <v>607.24</v>
      </c>
      <c r="S481" s="95">
        <v>0.1</v>
      </c>
      <c r="T481" s="96">
        <f t="shared" si="29"/>
        <v>60.724000000000004</v>
      </c>
      <c r="U481" s="96">
        <f t="shared" si="30"/>
        <v>607.14</v>
      </c>
      <c r="V481" s="93">
        <v>6.5</v>
      </c>
      <c r="W481" s="97">
        <f t="shared" si="31"/>
        <v>613.64</v>
      </c>
    </row>
    <row r="482" spans="1:23" x14ac:dyDescent="0.25">
      <c r="A482" s="61" t="s">
        <v>575</v>
      </c>
      <c r="B482" s="91">
        <v>41933</v>
      </c>
      <c r="C482" s="92" t="s">
        <v>1820</v>
      </c>
      <c r="D482" s="92" t="s">
        <v>1821</v>
      </c>
      <c r="E482" s="92" t="s">
        <v>1198</v>
      </c>
      <c r="F482" s="92" t="s">
        <v>1235</v>
      </c>
      <c r="G482" s="92" t="s">
        <v>1202</v>
      </c>
      <c r="H482" s="92" t="s">
        <v>1304</v>
      </c>
      <c r="I482" s="92" t="s">
        <v>1256</v>
      </c>
      <c r="J482" s="92" t="s">
        <v>1335</v>
      </c>
      <c r="K482" s="92" t="s">
        <v>1243</v>
      </c>
      <c r="L482" s="92" t="s">
        <v>1244</v>
      </c>
      <c r="M482" s="92" t="s">
        <v>1241</v>
      </c>
      <c r="N482" s="91">
        <v>41934</v>
      </c>
      <c r="O482" s="93">
        <v>4.4800000000000004</v>
      </c>
      <c r="P482" s="93">
        <v>8.14</v>
      </c>
      <c r="Q482" s="94">
        <v>46</v>
      </c>
      <c r="R482" s="93">
        <f t="shared" si="28"/>
        <v>374.44000000000005</v>
      </c>
      <c r="S482" s="95">
        <v>0</v>
      </c>
      <c r="T482" s="96">
        <f t="shared" si="29"/>
        <v>0</v>
      </c>
      <c r="U482" s="96">
        <f t="shared" si="30"/>
        <v>374.44000000000005</v>
      </c>
      <c r="V482" s="93">
        <v>3.12</v>
      </c>
      <c r="W482" s="97">
        <f t="shared" si="31"/>
        <v>377.56000000000006</v>
      </c>
    </row>
    <row r="483" spans="1:23" x14ac:dyDescent="0.25">
      <c r="A483" s="61" t="s">
        <v>576</v>
      </c>
      <c r="B483" s="91">
        <v>41933</v>
      </c>
      <c r="C483" s="92" t="s">
        <v>1786</v>
      </c>
      <c r="D483" s="92" t="s">
        <v>1355</v>
      </c>
      <c r="E483" s="92" t="s">
        <v>1199</v>
      </c>
      <c r="F483" s="92" t="s">
        <v>1254</v>
      </c>
      <c r="G483" s="92" t="s">
        <v>1200</v>
      </c>
      <c r="H483" s="92" t="s">
        <v>1274</v>
      </c>
      <c r="I483" s="92" t="s">
        <v>1237</v>
      </c>
      <c r="J483" s="92" t="s">
        <v>1477</v>
      </c>
      <c r="K483" s="92" t="s">
        <v>1243</v>
      </c>
      <c r="L483" s="92" t="s">
        <v>1240</v>
      </c>
      <c r="M483" s="92" t="s">
        <v>1241</v>
      </c>
      <c r="N483" s="91">
        <v>41933</v>
      </c>
      <c r="O483" s="93">
        <v>4.79</v>
      </c>
      <c r="P483" s="93">
        <v>11.97</v>
      </c>
      <c r="Q483" s="94">
        <v>8</v>
      </c>
      <c r="R483" s="93">
        <f t="shared" si="28"/>
        <v>95.76</v>
      </c>
      <c r="S483" s="95">
        <v>0.03</v>
      </c>
      <c r="T483" s="96">
        <f t="shared" si="29"/>
        <v>2.8728000000000002</v>
      </c>
      <c r="U483" s="96">
        <f t="shared" si="30"/>
        <v>95.73</v>
      </c>
      <c r="V483" s="93">
        <v>5.81</v>
      </c>
      <c r="W483" s="97">
        <f t="shared" si="31"/>
        <v>101.54</v>
      </c>
    </row>
    <row r="484" spans="1:23" x14ac:dyDescent="0.25">
      <c r="A484" s="61" t="s">
        <v>577</v>
      </c>
      <c r="B484" s="91">
        <v>41934</v>
      </c>
      <c r="C484" s="92" t="s">
        <v>1739</v>
      </c>
      <c r="D484" s="92" t="s">
        <v>1355</v>
      </c>
      <c r="E484" s="92" t="s">
        <v>1199</v>
      </c>
      <c r="F484" s="92" t="s">
        <v>1254</v>
      </c>
      <c r="G484" s="92" t="s">
        <v>1202</v>
      </c>
      <c r="H484" s="92" t="s">
        <v>1274</v>
      </c>
      <c r="I484" s="92" t="s">
        <v>1317</v>
      </c>
      <c r="J484" s="92" t="s">
        <v>1259</v>
      </c>
      <c r="K484" s="92" t="s">
        <v>1243</v>
      </c>
      <c r="L484" s="92" t="s">
        <v>1260</v>
      </c>
      <c r="M484" s="92" t="s">
        <v>1241</v>
      </c>
      <c r="N484" s="91">
        <v>41935</v>
      </c>
      <c r="O484" s="93">
        <v>3.4</v>
      </c>
      <c r="P484" s="93">
        <v>5.4</v>
      </c>
      <c r="Q484" s="94">
        <v>22</v>
      </c>
      <c r="R484" s="93">
        <f t="shared" si="28"/>
        <v>118.80000000000001</v>
      </c>
      <c r="S484" s="95">
        <v>0.1</v>
      </c>
      <c r="T484" s="96">
        <f t="shared" si="29"/>
        <v>11.880000000000003</v>
      </c>
      <c r="U484" s="96">
        <f t="shared" si="30"/>
        <v>118.70000000000002</v>
      </c>
      <c r="V484" s="93">
        <v>7.78</v>
      </c>
      <c r="W484" s="97">
        <f t="shared" si="31"/>
        <v>126.48000000000002</v>
      </c>
    </row>
    <row r="485" spans="1:23" x14ac:dyDescent="0.25">
      <c r="A485" s="61" t="s">
        <v>578</v>
      </c>
      <c r="B485" s="91">
        <v>41935</v>
      </c>
      <c r="C485" s="92" t="s">
        <v>1822</v>
      </c>
      <c r="D485" s="92" t="s">
        <v>1420</v>
      </c>
      <c r="E485" s="92" t="s">
        <v>1198</v>
      </c>
      <c r="F485" s="92" t="s">
        <v>1235</v>
      </c>
      <c r="G485" s="92" t="s">
        <v>1200</v>
      </c>
      <c r="H485" s="92" t="s">
        <v>1247</v>
      </c>
      <c r="I485" s="92" t="s">
        <v>1256</v>
      </c>
      <c r="J485" s="92" t="s">
        <v>1520</v>
      </c>
      <c r="K485" s="92" t="s">
        <v>1243</v>
      </c>
      <c r="L485" s="92" t="s">
        <v>1260</v>
      </c>
      <c r="M485" s="92" t="s">
        <v>1241</v>
      </c>
      <c r="N485" s="91">
        <v>41937</v>
      </c>
      <c r="O485" s="93">
        <v>8.92</v>
      </c>
      <c r="P485" s="93">
        <v>29.74</v>
      </c>
      <c r="Q485" s="94">
        <v>19</v>
      </c>
      <c r="R485" s="93">
        <f t="shared" si="28"/>
        <v>565.05999999999995</v>
      </c>
      <c r="S485" s="95">
        <v>0.1</v>
      </c>
      <c r="T485" s="96">
        <f t="shared" si="29"/>
        <v>56.506</v>
      </c>
      <c r="U485" s="96">
        <f t="shared" si="30"/>
        <v>564.95999999999992</v>
      </c>
      <c r="V485" s="93">
        <v>6.64</v>
      </c>
      <c r="W485" s="97">
        <f t="shared" si="31"/>
        <v>571.59999999999991</v>
      </c>
    </row>
    <row r="486" spans="1:23" x14ac:dyDescent="0.25">
      <c r="A486" s="61" t="s">
        <v>579</v>
      </c>
      <c r="B486" s="91">
        <v>41938</v>
      </c>
      <c r="C486" s="92" t="s">
        <v>1823</v>
      </c>
      <c r="D486" s="92" t="s">
        <v>1347</v>
      </c>
      <c r="E486" s="92" t="s">
        <v>1198</v>
      </c>
      <c r="F486" s="92" t="s">
        <v>1235</v>
      </c>
      <c r="G486" s="92" t="s">
        <v>1203</v>
      </c>
      <c r="H486" s="92" t="s">
        <v>1236</v>
      </c>
      <c r="I486" s="92" t="s">
        <v>1237</v>
      </c>
      <c r="J486" s="92" t="s">
        <v>1349</v>
      </c>
      <c r="K486" s="92" t="s">
        <v>1243</v>
      </c>
      <c r="L486" s="92" t="s">
        <v>1260</v>
      </c>
      <c r="M486" s="92" t="s">
        <v>1241</v>
      </c>
      <c r="N486" s="91">
        <v>41939</v>
      </c>
      <c r="O486" s="93">
        <v>3.65</v>
      </c>
      <c r="P486" s="93">
        <v>5.98</v>
      </c>
      <c r="Q486" s="94">
        <v>19</v>
      </c>
      <c r="R486" s="93">
        <f t="shared" si="28"/>
        <v>113.62</v>
      </c>
      <c r="S486" s="95">
        <v>0.01</v>
      </c>
      <c r="T486" s="96">
        <f t="shared" si="29"/>
        <v>1.1362000000000001</v>
      </c>
      <c r="U486" s="96">
        <f t="shared" si="30"/>
        <v>113.61</v>
      </c>
      <c r="V486" s="93">
        <v>1.49</v>
      </c>
      <c r="W486" s="97">
        <f t="shared" si="31"/>
        <v>115.1</v>
      </c>
    </row>
    <row r="487" spans="1:23" x14ac:dyDescent="0.25">
      <c r="A487" s="61" t="s">
        <v>580</v>
      </c>
      <c r="B487" s="91">
        <v>41939</v>
      </c>
      <c r="C487" s="92" t="s">
        <v>1777</v>
      </c>
      <c r="D487" s="92" t="s">
        <v>1253</v>
      </c>
      <c r="E487" s="92" t="s">
        <v>1199</v>
      </c>
      <c r="F487" s="92" t="s">
        <v>1254</v>
      </c>
      <c r="G487" s="92" t="s">
        <v>1202</v>
      </c>
      <c r="H487" s="92" t="s">
        <v>1255</v>
      </c>
      <c r="I487" s="92" t="s">
        <v>1248</v>
      </c>
      <c r="J487" s="92" t="s">
        <v>1342</v>
      </c>
      <c r="K487" s="92" t="s">
        <v>1243</v>
      </c>
      <c r="L487" s="92" t="s">
        <v>1244</v>
      </c>
      <c r="M487" s="92" t="s">
        <v>1241</v>
      </c>
      <c r="N487" s="91">
        <v>41943</v>
      </c>
      <c r="O487" s="93">
        <v>2.16</v>
      </c>
      <c r="P487" s="93">
        <v>3.85</v>
      </c>
      <c r="Q487" s="94">
        <v>10</v>
      </c>
      <c r="R487" s="93">
        <f t="shared" si="28"/>
        <v>38.5</v>
      </c>
      <c r="S487" s="95">
        <v>0.06</v>
      </c>
      <c r="T487" s="96">
        <f t="shared" si="29"/>
        <v>2.31</v>
      </c>
      <c r="U487" s="96">
        <f t="shared" si="30"/>
        <v>38.44</v>
      </c>
      <c r="V487" s="93">
        <v>0.7</v>
      </c>
      <c r="W487" s="97">
        <f t="shared" si="31"/>
        <v>39.14</v>
      </c>
    </row>
    <row r="488" spans="1:23" x14ac:dyDescent="0.25">
      <c r="A488" s="61" t="s">
        <v>581</v>
      </c>
      <c r="B488" s="91">
        <v>41940</v>
      </c>
      <c r="C488" s="92" t="s">
        <v>1322</v>
      </c>
      <c r="D488" s="92" t="s">
        <v>1323</v>
      </c>
      <c r="E488" s="92" t="s">
        <v>1198</v>
      </c>
      <c r="F488" s="92" t="s">
        <v>1235</v>
      </c>
      <c r="G488" s="92" t="s">
        <v>1203</v>
      </c>
      <c r="H488" s="92" t="s">
        <v>1263</v>
      </c>
      <c r="I488" s="92" t="s">
        <v>1237</v>
      </c>
      <c r="J488" s="92" t="s">
        <v>1824</v>
      </c>
      <c r="K488" s="92" t="s">
        <v>1239</v>
      </c>
      <c r="L488" s="92" t="s">
        <v>1260</v>
      </c>
      <c r="M488" s="92" t="s">
        <v>1241</v>
      </c>
      <c r="N488" s="91">
        <v>41941</v>
      </c>
      <c r="O488" s="93">
        <v>17.84</v>
      </c>
      <c r="P488" s="93">
        <v>34.99</v>
      </c>
      <c r="Q488" s="94">
        <v>29</v>
      </c>
      <c r="R488" s="93">
        <f t="shared" si="28"/>
        <v>1014.71</v>
      </c>
      <c r="S488" s="95">
        <v>0.09</v>
      </c>
      <c r="T488" s="96">
        <f t="shared" si="29"/>
        <v>91.323899999999995</v>
      </c>
      <c r="U488" s="96">
        <f t="shared" si="30"/>
        <v>1014.62</v>
      </c>
      <c r="V488" s="93">
        <v>5.5</v>
      </c>
      <c r="W488" s="97">
        <f t="shared" si="31"/>
        <v>1020.12</v>
      </c>
    </row>
    <row r="489" spans="1:23" x14ac:dyDescent="0.25">
      <c r="A489" s="61" t="s">
        <v>582</v>
      </c>
      <c r="B489" s="91">
        <v>41941</v>
      </c>
      <c r="C489" s="92" t="s">
        <v>1825</v>
      </c>
      <c r="D489" s="92" t="s">
        <v>1351</v>
      </c>
      <c r="E489" s="92" t="s">
        <v>1198</v>
      </c>
      <c r="F489" s="92" t="s">
        <v>1235</v>
      </c>
      <c r="G489" s="92" t="s">
        <v>1200</v>
      </c>
      <c r="H489" s="92" t="s">
        <v>1304</v>
      </c>
      <c r="I489" s="92" t="s">
        <v>1317</v>
      </c>
      <c r="J489" s="92" t="s">
        <v>1477</v>
      </c>
      <c r="K489" s="92" t="s">
        <v>1243</v>
      </c>
      <c r="L489" s="92" t="s">
        <v>1240</v>
      </c>
      <c r="M489" s="92" t="s">
        <v>1241</v>
      </c>
      <c r="N489" s="91">
        <v>41943</v>
      </c>
      <c r="O489" s="93">
        <v>4.79</v>
      </c>
      <c r="P489" s="93">
        <v>11.97</v>
      </c>
      <c r="Q489" s="94">
        <v>23</v>
      </c>
      <c r="R489" s="93">
        <f t="shared" si="28"/>
        <v>275.31</v>
      </c>
      <c r="S489" s="95">
        <v>0.01</v>
      </c>
      <c r="T489" s="96">
        <f t="shared" si="29"/>
        <v>2.7530999999999999</v>
      </c>
      <c r="U489" s="96">
        <f t="shared" si="30"/>
        <v>275.3</v>
      </c>
      <c r="V489" s="93">
        <v>5.81</v>
      </c>
      <c r="W489" s="97">
        <f t="shared" si="31"/>
        <v>281.11</v>
      </c>
    </row>
    <row r="490" spans="1:23" x14ac:dyDescent="0.25">
      <c r="A490" s="61" t="s">
        <v>583</v>
      </c>
      <c r="B490" s="91">
        <v>41944</v>
      </c>
      <c r="C490" s="92" t="s">
        <v>1826</v>
      </c>
      <c r="D490" s="92" t="s">
        <v>1246</v>
      </c>
      <c r="E490" s="92" t="s">
        <v>1198</v>
      </c>
      <c r="F490" s="92" t="s">
        <v>1235</v>
      </c>
      <c r="G490" s="92" t="s">
        <v>1201</v>
      </c>
      <c r="H490" s="92" t="s">
        <v>1247</v>
      </c>
      <c r="I490" s="92" t="s">
        <v>1256</v>
      </c>
      <c r="J490" s="92" t="s">
        <v>1705</v>
      </c>
      <c r="K490" s="92" t="s">
        <v>1243</v>
      </c>
      <c r="L490" s="92" t="s">
        <v>1260</v>
      </c>
      <c r="M490" s="92" t="s">
        <v>1241</v>
      </c>
      <c r="N490" s="91">
        <v>41946</v>
      </c>
      <c r="O490" s="93">
        <v>52.07</v>
      </c>
      <c r="P490" s="93">
        <v>83.98</v>
      </c>
      <c r="Q490" s="94">
        <v>24</v>
      </c>
      <c r="R490" s="93">
        <f t="shared" si="28"/>
        <v>2015.52</v>
      </c>
      <c r="S490" s="95">
        <v>0.05</v>
      </c>
      <c r="T490" s="96">
        <f t="shared" si="29"/>
        <v>100.77600000000001</v>
      </c>
      <c r="U490" s="96">
        <f t="shared" si="30"/>
        <v>2015.47</v>
      </c>
      <c r="V490" s="93">
        <v>5.01</v>
      </c>
      <c r="W490" s="97">
        <f t="shared" si="31"/>
        <v>2020.48</v>
      </c>
    </row>
    <row r="491" spans="1:23" x14ac:dyDescent="0.25">
      <c r="A491" s="61" t="s">
        <v>584</v>
      </c>
      <c r="B491" s="91">
        <v>41945</v>
      </c>
      <c r="C491" s="92" t="s">
        <v>1827</v>
      </c>
      <c r="D491" s="92" t="s">
        <v>1828</v>
      </c>
      <c r="E491" s="92" t="s">
        <v>1198</v>
      </c>
      <c r="F491" s="92" t="s">
        <v>1235</v>
      </c>
      <c r="G491" s="92" t="s">
        <v>1203</v>
      </c>
      <c r="H491" s="92" t="s">
        <v>1404</v>
      </c>
      <c r="I491" s="92" t="s">
        <v>1317</v>
      </c>
      <c r="J491" s="92" t="s">
        <v>1431</v>
      </c>
      <c r="K491" s="92" t="s">
        <v>1243</v>
      </c>
      <c r="L491" s="92" t="s">
        <v>1260</v>
      </c>
      <c r="M491" s="92" t="s">
        <v>1241</v>
      </c>
      <c r="N491" s="91">
        <v>41947</v>
      </c>
      <c r="O491" s="93">
        <v>4.8899999999999997</v>
      </c>
      <c r="P491" s="93">
        <v>7.64</v>
      </c>
      <c r="Q491" s="94">
        <v>12</v>
      </c>
      <c r="R491" s="93">
        <f t="shared" si="28"/>
        <v>91.679999999999993</v>
      </c>
      <c r="S491" s="95">
        <v>0.02</v>
      </c>
      <c r="T491" s="96">
        <f t="shared" si="29"/>
        <v>1.8335999999999999</v>
      </c>
      <c r="U491" s="96">
        <f t="shared" si="30"/>
        <v>91.66</v>
      </c>
      <c r="V491" s="93">
        <v>1.39</v>
      </c>
      <c r="W491" s="97">
        <f t="shared" si="31"/>
        <v>93.05</v>
      </c>
    </row>
    <row r="492" spans="1:23" x14ac:dyDescent="0.25">
      <c r="A492" s="61" t="s">
        <v>585</v>
      </c>
      <c r="B492" s="91">
        <v>41946</v>
      </c>
      <c r="C492" s="92" t="s">
        <v>1829</v>
      </c>
      <c r="D492" s="92" t="s">
        <v>1326</v>
      </c>
      <c r="E492" s="92" t="s">
        <v>1199</v>
      </c>
      <c r="F492" s="92" t="s">
        <v>1254</v>
      </c>
      <c r="G492" s="92" t="s">
        <v>1202</v>
      </c>
      <c r="H492" s="92" t="s">
        <v>1255</v>
      </c>
      <c r="I492" s="92" t="s">
        <v>1248</v>
      </c>
      <c r="J492" s="92" t="s">
        <v>1321</v>
      </c>
      <c r="K492" s="92" t="s">
        <v>1243</v>
      </c>
      <c r="L492" s="92" t="s">
        <v>1244</v>
      </c>
      <c r="M492" s="92" t="s">
        <v>1241</v>
      </c>
      <c r="N492" s="91">
        <v>41950</v>
      </c>
      <c r="O492" s="93">
        <v>2.52</v>
      </c>
      <c r="P492" s="93">
        <v>4</v>
      </c>
      <c r="Q492" s="94">
        <v>32</v>
      </c>
      <c r="R492" s="93">
        <f t="shared" si="28"/>
        <v>128</v>
      </c>
      <c r="S492" s="95">
        <v>0.09</v>
      </c>
      <c r="T492" s="96">
        <f t="shared" si="29"/>
        <v>11.52</v>
      </c>
      <c r="U492" s="96">
        <f t="shared" si="30"/>
        <v>127.91</v>
      </c>
      <c r="V492" s="93">
        <v>1.3</v>
      </c>
      <c r="W492" s="97">
        <f t="shared" si="31"/>
        <v>129.21</v>
      </c>
    </row>
    <row r="493" spans="1:23" x14ac:dyDescent="0.25">
      <c r="A493" s="61" t="s">
        <v>586</v>
      </c>
      <c r="B493" s="91">
        <v>41946</v>
      </c>
      <c r="C493" s="92" t="s">
        <v>1830</v>
      </c>
      <c r="D493" s="92" t="s">
        <v>1831</v>
      </c>
      <c r="E493" s="92" t="s">
        <v>1198</v>
      </c>
      <c r="F493" s="92" t="s">
        <v>1235</v>
      </c>
      <c r="G493" s="92" t="s">
        <v>1202</v>
      </c>
      <c r="H493" s="92" t="s">
        <v>1286</v>
      </c>
      <c r="I493" s="92" t="s">
        <v>1237</v>
      </c>
      <c r="J493" s="92" t="s">
        <v>1567</v>
      </c>
      <c r="K493" s="92" t="s">
        <v>1239</v>
      </c>
      <c r="L493" s="92" t="s">
        <v>1260</v>
      </c>
      <c r="M493" s="92" t="s">
        <v>1241</v>
      </c>
      <c r="N493" s="91">
        <v>41947</v>
      </c>
      <c r="O493" s="93">
        <v>6.51</v>
      </c>
      <c r="P493" s="93">
        <v>30.98</v>
      </c>
      <c r="Q493" s="94">
        <v>12</v>
      </c>
      <c r="R493" s="93">
        <f t="shared" si="28"/>
        <v>371.76</v>
      </c>
      <c r="S493" s="95">
        <v>0</v>
      </c>
      <c r="T493" s="96">
        <f t="shared" si="29"/>
        <v>0</v>
      </c>
      <c r="U493" s="96">
        <f t="shared" si="30"/>
        <v>371.76</v>
      </c>
      <c r="V493" s="93">
        <v>6.5</v>
      </c>
      <c r="W493" s="97">
        <f t="shared" si="31"/>
        <v>378.26</v>
      </c>
    </row>
    <row r="494" spans="1:23" x14ac:dyDescent="0.25">
      <c r="A494" s="61" t="s">
        <v>587</v>
      </c>
      <c r="B494" s="91">
        <v>41950</v>
      </c>
      <c r="C494" s="92" t="s">
        <v>1748</v>
      </c>
      <c r="D494" s="92" t="s">
        <v>1312</v>
      </c>
      <c r="E494" s="92" t="s">
        <v>1198</v>
      </c>
      <c r="F494" s="92" t="s">
        <v>1235</v>
      </c>
      <c r="G494" s="92" t="s">
        <v>1200</v>
      </c>
      <c r="H494" s="92" t="s">
        <v>1313</v>
      </c>
      <c r="I494" s="92" t="s">
        <v>1237</v>
      </c>
      <c r="J494" s="92" t="s">
        <v>1295</v>
      </c>
      <c r="K494" s="92" t="s">
        <v>1239</v>
      </c>
      <c r="L494" s="92" t="s">
        <v>1296</v>
      </c>
      <c r="M494" s="92" t="s">
        <v>1250</v>
      </c>
      <c r="N494" s="91">
        <v>41952</v>
      </c>
      <c r="O494" s="93">
        <v>377.99</v>
      </c>
      <c r="P494" s="93">
        <v>599.99</v>
      </c>
      <c r="Q494" s="94">
        <v>41</v>
      </c>
      <c r="R494" s="93">
        <f t="shared" si="28"/>
        <v>24599.59</v>
      </c>
      <c r="S494" s="95">
        <v>7.0000000000000007E-2</v>
      </c>
      <c r="T494" s="96">
        <f t="shared" si="29"/>
        <v>1721.9713000000002</v>
      </c>
      <c r="U494" s="96">
        <f t="shared" si="30"/>
        <v>24599.52</v>
      </c>
      <c r="V494" s="93">
        <v>24.49</v>
      </c>
      <c r="W494" s="97">
        <f t="shared" si="31"/>
        <v>24624.010000000002</v>
      </c>
    </row>
    <row r="495" spans="1:23" x14ac:dyDescent="0.25">
      <c r="A495" s="61" t="s">
        <v>588</v>
      </c>
      <c r="B495" s="91">
        <v>41953</v>
      </c>
      <c r="C495" s="92" t="s">
        <v>1832</v>
      </c>
      <c r="D495" s="92" t="s">
        <v>1833</v>
      </c>
      <c r="E495" s="92" t="s">
        <v>1198</v>
      </c>
      <c r="F495" s="92" t="s">
        <v>1235</v>
      </c>
      <c r="G495" s="92" t="s">
        <v>1203</v>
      </c>
      <c r="H495" s="92" t="s">
        <v>1409</v>
      </c>
      <c r="I495" s="92" t="s">
        <v>1317</v>
      </c>
      <c r="J495" s="92" t="s">
        <v>1295</v>
      </c>
      <c r="K495" s="92" t="s">
        <v>1239</v>
      </c>
      <c r="L495" s="92" t="s">
        <v>1296</v>
      </c>
      <c r="M495" s="92" t="s">
        <v>1241</v>
      </c>
      <c r="N495" s="91">
        <v>41955</v>
      </c>
      <c r="O495" s="93">
        <v>377.99</v>
      </c>
      <c r="P495" s="93">
        <v>599.99</v>
      </c>
      <c r="Q495" s="94">
        <v>20</v>
      </c>
      <c r="R495" s="93">
        <f t="shared" si="28"/>
        <v>11999.8</v>
      </c>
      <c r="S495" s="95">
        <v>7.0000000000000007E-2</v>
      </c>
      <c r="T495" s="96">
        <f t="shared" si="29"/>
        <v>839.98599999999999</v>
      </c>
      <c r="U495" s="96">
        <f t="shared" si="30"/>
        <v>11999.73</v>
      </c>
      <c r="V495" s="93">
        <v>24.49</v>
      </c>
      <c r="W495" s="97">
        <f t="shared" si="31"/>
        <v>12024.22</v>
      </c>
    </row>
    <row r="496" spans="1:23" x14ac:dyDescent="0.25">
      <c r="A496" s="61" t="s">
        <v>589</v>
      </c>
      <c r="B496" s="91">
        <v>41954</v>
      </c>
      <c r="C496" s="92" t="s">
        <v>1385</v>
      </c>
      <c r="D496" s="92" t="s">
        <v>1281</v>
      </c>
      <c r="E496" s="92" t="s">
        <v>1199</v>
      </c>
      <c r="F496" s="92" t="s">
        <v>1254</v>
      </c>
      <c r="G496" s="92" t="s">
        <v>1203</v>
      </c>
      <c r="H496" s="92" t="s">
        <v>1274</v>
      </c>
      <c r="I496" s="92" t="s">
        <v>1264</v>
      </c>
      <c r="J496" s="92" t="s">
        <v>1834</v>
      </c>
      <c r="K496" s="92" t="s">
        <v>1243</v>
      </c>
      <c r="L496" s="92" t="s">
        <v>1244</v>
      </c>
      <c r="M496" s="92" t="s">
        <v>1241</v>
      </c>
      <c r="N496" s="91">
        <v>41955</v>
      </c>
      <c r="O496" s="93">
        <v>0.94</v>
      </c>
      <c r="P496" s="93">
        <v>1.88</v>
      </c>
      <c r="Q496" s="94">
        <v>36</v>
      </c>
      <c r="R496" s="93">
        <f t="shared" si="28"/>
        <v>67.679999999999993</v>
      </c>
      <c r="S496" s="95">
        <v>0.1</v>
      </c>
      <c r="T496" s="96">
        <f t="shared" si="29"/>
        <v>6.7679999999999998</v>
      </c>
      <c r="U496" s="96">
        <f t="shared" si="30"/>
        <v>67.58</v>
      </c>
      <c r="V496" s="93">
        <v>0.79</v>
      </c>
      <c r="W496" s="97">
        <f t="shared" si="31"/>
        <v>68.37</v>
      </c>
    </row>
    <row r="497" spans="1:23" x14ac:dyDescent="0.25">
      <c r="A497" s="61" t="s">
        <v>590</v>
      </c>
      <c r="B497" s="91">
        <v>41959</v>
      </c>
      <c r="C497" s="92" t="s">
        <v>1307</v>
      </c>
      <c r="D497" s="92" t="s">
        <v>1308</v>
      </c>
      <c r="E497" s="92" t="s">
        <v>1198</v>
      </c>
      <c r="F497" s="92" t="s">
        <v>1235</v>
      </c>
      <c r="G497" s="92" t="s">
        <v>1202</v>
      </c>
      <c r="H497" s="92" t="s">
        <v>1247</v>
      </c>
      <c r="I497" s="92" t="s">
        <v>1256</v>
      </c>
      <c r="J497" s="92" t="s">
        <v>1279</v>
      </c>
      <c r="K497" s="92" t="s">
        <v>1239</v>
      </c>
      <c r="L497" s="92" t="s">
        <v>1260</v>
      </c>
      <c r="M497" s="92" t="s">
        <v>1241</v>
      </c>
      <c r="N497" s="91">
        <v>41961</v>
      </c>
      <c r="O497" s="93">
        <v>62.4</v>
      </c>
      <c r="P497" s="93">
        <v>155.99</v>
      </c>
      <c r="Q497" s="94">
        <v>6</v>
      </c>
      <c r="R497" s="93">
        <f t="shared" si="28"/>
        <v>935.94</v>
      </c>
      <c r="S497" s="95">
        <v>0.02</v>
      </c>
      <c r="T497" s="96">
        <f t="shared" si="29"/>
        <v>18.718800000000002</v>
      </c>
      <c r="U497" s="96">
        <f t="shared" si="30"/>
        <v>935.92000000000007</v>
      </c>
      <c r="V497" s="93">
        <v>8.08</v>
      </c>
      <c r="W497" s="97">
        <f t="shared" si="31"/>
        <v>944.00000000000011</v>
      </c>
    </row>
    <row r="498" spans="1:23" x14ac:dyDescent="0.25">
      <c r="A498" s="61" t="s">
        <v>591</v>
      </c>
      <c r="B498" s="91">
        <v>41959</v>
      </c>
      <c r="C498" s="92" t="s">
        <v>1835</v>
      </c>
      <c r="D498" s="92" t="s">
        <v>1795</v>
      </c>
      <c r="E498" s="92" t="s">
        <v>1198</v>
      </c>
      <c r="F498" s="92" t="s">
        <v>1235</v>
      </c>
      <c r="G498" s="92" t="s">
        <v>1202</v>
      </c>
      <c r="H498" s="92" t="s">
        <v>1269</v>
      </c>
      <c r="I498" s="92" t="s">
        <v>1248</v>
      </c>
      <c r="J498" s="92" t="s">
        <v>1384</v>
      </c>
      <c r="K498" s="92" t="s">
        <v>1243</v>
      </c>
      <c r="L498" s="92" t="s">
        <v>1260</v>
      </c>
      <c r="M498" s="92" t="s">
        <v>1241</v>
      </c>
      <c r="N498" s="91">
        <v>41964</v>
      </c>
      <c r="O498" s="93">
        <v>4.46</v>
      </c>
      <c r="P498" s="93">
        <v>10.89</v>
      </c>
      <c r="Q498" s="94">
        <v>8</v>
      </c>
      <c r="R498" s="93">
        <f t="shared" si="28"/>
        <v>87.12</v>
      </c>
      <c r="S498" s="95">
        <v>0.09</v>
      </c>
      <c r="T498" s="96">
        <f t="shared" si="29"/>
        <v>7.8407999999999998</v>
      </c>
      <c r="U498" s="96">
        <f t="shared" si="30"/>
        <v>87.03</v>
      </c>
      <c r="V498" s="93">
        <v>4.5</v>
      </c>
      <c r="W498" s="97">
        <f t="shared" si="31"/>
        <v>91.53</v>
      </c>
    </row>
    <row r="499" spans="1:23" x14ac:dyDescent="0.25">
      <c r="A499" s="61" t="s">
        <v>592</v>
      </c>
      <c r="B499" s="91">
        <v>41960</v>
      </c>
      <c r="C499" s="92" t="s">
        <v>1427</v>
      </c>
      <c r="D499" s="92" t="s">
        <v>1428</v>
      </c>
      <c r="E499" s="92" t="s">
        <v>1198</v>
      </c>
      <c r="F499" s="92" t="s">
        <v>1235</v>
      </c>
      <c r="G499" s="92" t="s">
        <v>1200</v>
      </c>
      <c r="H499" s="92" t="s">
        <v>1313</v>
      </c>
      <c r="I499" s="92" t="s">
        <v>1317</v>
      </c>
      <c r="J499" s="92" t="s">
        <v>1328</v>
      </c>
      <c r="K499" s="92" t="s">
        <v>1243</v>
      </c>
      <c r="L499" s="92" t="s">
        <v>1244</v>
      </c>
      <c r="M499" s="92" t="s">
        <v>1241</v>
      </c>
      <c r="N499" s="91">
        <v>41962</v>
      </c>
      <c r="O499" s="93">
        <v>0.93</v>
      </c>
      <c r="P499" s="93">
        <v>1.48</v>
      </c>
      <c r="Q499" s="94">
        <v>28</v>
      </c>
      <c r="R499" s="93">
        <f t="shared" si="28"/>
        <v>41.44</v>
      </c>
      <c r="S499" s="95">
        <v>0.04</v>
      </c>
      <c r="T499" s="96">
        <f t="shared" si="29"/>
        <v>1.6576</v>
      </c>
      <c r="U499" s="96">
        <f t="shared" si="30"/>
        <v>41.4</v>
      </c>
      <c r="V499" s="93">
        <v>0.7</v>
      </c>
      <c r="W499" s="97">
        <f t="shared" si="31"/>
        <v>42.1</v>
      </c>
    </row>
    <row r="500" spans="1:23" x14ac:dyDescent="0.25">
      <c r="A500" s="61" t="s">
        <v>593</v>
      </c>
      <c r="B500" s="91">
        <v>41961</v>
      </c>
      <c r="C500" s="92" t="s">
        <v>1813</v>
      </c>
      <c r="D500" s="92" t="s">
        <v>1246</v>
      </c>
      <c r="E500" s="92" t="s">
        <v>1198</v>
      </c>
      <c r="F500" s="92" t="s">
        <v>1235</v>
      </c>
      <c r="G500" s="92" t="s">
        <v>1200</v>
      </c>
      <c r="H500" s="92" t="s">
        <v>1247</v>
      </c>
      <c r="I500" s="92" t="s">
        <v>1264</v>
      </c>
      <c r="J500" s="92" t="s">
        <v>1266</v>
      </c>
      <c r="K500" s="92" t="s">
        <v>1243</v>
      </c>
      <c r="L500" s="92" t="s">
        <v>1244</v>
      </c>
      <c r="M500" s="92" t="s">
        <v>1241</v>
      </c>
      <c r="N500" s="91">
        <v>41963</v>
      </c>
      <c r="O500" s="93">
        <v>1.31</v>
      </c>
      <c r="P500" s="93">
        <v>2.84</v>
      </c>
      <c r="Q500" s="94">
        <v>12</v>
      </c>
      <c r="R500" s="93">
        <f t="shared" si="28"/>
        <v>34.08</v>
      </c>
      <c r="S500" s="95">
        <v>0.1</v>
      </c>
      <c r="T500" s="96">
        <f t="shared" si="29"/>
        <v>3.4079999999999999</v>
      </c>
      <c r="U500" s="96">
        <f t="shared" si="30"/>
        <v>33.979999999999997</v>
      </c>
      <c r="V500" s="93">
        <v>0.93</v>
      </c>
      <c r="W500" s="97">
        <f t="shared" si="31"/>
        <v>34.909999999999997</v>
      </c>
    </row>
    <row r="501" spans="1:23" x14ac:dyDescent="0.25">
      <c r="A501" s="61" t="s">
        <v>594</v>
      </c>
      <c r="B501" s="91">
        <v>41962</v>
      </c>
      <c r="C501" s="92" t="s">
        <v>1825</v>
      </c>
      <c r="D501" s="92" t="s">
        <v>1351</v>
      </c>
      <c r="E501" s="92" t="s">
        <v>1198</v>
      </c>
      <c r="F501" s="92" t="s">
        <v>1235</v>
      </c>
      <c r="G501" s="92" t="s">
        <v>1200</v>
      </c>
      <c r="H501" s="92" t="s">
        <v>1304</v>
      </c>
      <c r="I501" s="92" t="s">
        <v>1237</v>
      </c>
      <c r="J501" s="92" t="s">
        <v>1276</v>
      </c>
      <c r="K501" s="92" t="s">
        <v>1243</v>
      </c>
      <c r="L501" s="92" t="s">
        <v>1260</v>
      </c>
      <c r="M501" s="92" t="s">
        <v>1250</v>
      </c>
      <c r="N501" s="91">
        <v>41964</v>
      </c>
      <c r="O501" s="93">
        <v>67.73</v>
      </c>
      <c r="P501" s="93">
        <v>165.2</v>
      </c>
      <c r="Q501" s="94">
        <v>46</v>
      </c>
      <c r="R501" s="93">
        <f t="shared" si="28"/>
        <v>7599.2</v>
      </c>
      <c r="S501" s="95">
        <v>0.02</v>
      </c>
      <c r="T501" s="96">
        <f t="shared" si="29"/>
        <v>151.98400000000001</v>
      </c>
      <c r="U501" s="96">
        <f t="shared" si="30"/>
        <v>7599.1799999999994</v>
      </c>
      <c r="V501" s="93">
        <v>19.989999999999998</v>
      </c>
      <c r="W501" s="97">
        <f t="shared" si="31"/>
        <v>7619.1699999999992</v>
      </c>
    </row>
    <row r="502" spans="1:23" x14ac:dyDescent="0.25">
      <c r="A502" s="61" t="s">
        <v>595</v>
      </c>
      <c r="B502" s="91">
        <v>41964</v>
      </c>
      <c r="C502" s="92" t="s">
        <v>1583</v>
      </c>
      <c r="D502" s="92" t="s">
        <v>1234</v>
      </c>
      <c r="E502" s="92" t="s">
        <v>1198</v>
      </c>
      <c r="F502" s="92" t="s">
        <v>1235</v>
      </c>
      <c r="G502" s="92" t="s">
        <v>1203</v>
      </c>
      <c r="H502" s="92" t="s">
        <v>1236</v>
      </c>
      <c r="I502" s="92" t="s">
        <v>1237</v>
      </c>
      <c r="J502" s="92" t="s">
        <v>1391</v>
      </c>
      <c r="K502" s="92" t="s">
        <v>1239</v>
      </c>
      <c r="L502" s="92" t="s">
        <v>1260</v>
      </c>
      <c r="M502" s="92" t="s">
        <v>1241</v>
      </c>
      <c r="N502" s="91">
        <v>41966</v>
      </c>
      <c r="O502" s="93">
        <v>32.020000000000003</v>
      </c>
      <c r="P502" s="93">
        <v>152.47999999999999</v>
      </c>
      <c r="Q502" s="94">
        <v>29</v>
      </c>
      <c r="R502" s="93">
        <f t="shared" si="28"/>
        <v>4421.92</v>
      </c>
      <c r="S502" s="95">
        <v>0.09</v>
      </c>
      <c r="T502" s="96">
        <f t="shared" si="29"/>
        <v>397.97280000000001</v>
      </c>
      <c r="U502" s="96">
        <f t="shared" si="30"/>
        <v>4421.83</v>
      </c>
      <c r="V502" s="93">
        <v>4</v>
      </c>
      <c r="W502" s="97">
        <f t="shared" si="31"/>
        <v>4425.83</v>
      </c>
    </row>
    <row r="503" spans="1:23" x14ac:dyDescent="0.25">
      <c r="A503" s="61" t="s">
        <v>596</v>
      </c>
      <c r="B503" s="91">
        <v>41965</v>
      </c>
      <c r="C503" s="92" t="s">
        <v>1836</v>
      </c>
      <c r="D503" s="92" t="s">
        <v>1674</v>
      </c>
      <c r="E503" s="92" t="s">
        <v>1198</v>
      </c>
      <c r="F503" s="92" t="s">
        <v>1235</v>
      </c>
      <c r="G503" s="92" t="s">
        <v>1203</v>
      </c>
      <c r="H503" s="92" t="s">
        <v>1409</v>
      </c>
      <c r="I503" s="92" t="s">
        <v>1317</v>
      </c>
      <c r="J503" s="92" t="s">
        <v>1338</v>
      </c>
      <c r="K503" s="92" t="s">
        <v>1243</v>
      </c>
      <c r="L503" s="92" t="s">
        <v>1260</v>
      </c>
      <c r="M503" s="92" t="s">
        <v>1241</v>
      </c>
      <c r="N503" s="91">
        <v>41965</v>
      </c>
      <c r="O503" s="93">
        <v>13.88</v>
      </c>
      <c r="P503" s="93">
        <v>22.38</v>
      </c>
      <c r="Q503" s="94">
        <v>10</v>
      </c>
      <c r="R503" s="93">
        <f t="shared" si="28"/>
        <v>223.79999999999998</v>
      </c>
      <c r="S503" s="95">
        <v>0.01</v>
      </c>
      <c r="T503" s="96">
        <f t="shared" si="29"/>
        <v>2.238</v>
      </c>
      <c r="U503" s="96">
        <f t="shared" si="30"/>
        <v>223.79</v>
      </c>
      <c r="V503" s="93">
        <v>15.1</v>
      </c>
      <c r="W503" s="97">
        <f t="shared" si="31"/>
        <v>238.89</v>
      </c>
    </row>
    <row r="504" spans="1:23" x14ac:dyDescent="0.25">
      <c r="A504" s="61" t="s">
        <v>597</v>
      </c>
      <c r="B504" s="91">
        <v>41965</v>
      </c>
      <c r="C504" s="92" t="s">
        <v>1671</v>
      </c>
      <c r="D504" s="92" t="s">
        <v>1496</v>
      </c>
      <c r="E504" s="92" t="s">
        <v>1198</v>
      </c>
      <c r="F504" s="92" t="s">
        <v>1235</v>
      </c>
      <c r="G504" s="92" t="s">
        <v>1202</v>
      </c>
      <c r="H504" s="92" t="s">
        <v>1313</v>
      </c>
      <c r="I504" s="92" t="s">
        <v>1264</v>
      </c>
      <c r="J504" s="92" t="s">
        <v>1266</v>
      </c>
      <c r="K504" s="92" t="s">
        <v>1243</v>
      </c>
      <c r="L504" s="92" t="s">
        <v>1244</v>
      </c>
      <c r="M504" s="92" t="s">
        <v>1241</v>
      </c>
      <c r="N504" s="91">
        <v>41967</v>
      </c>
      <c r="O504" s="93">
        <v>1.31</v>
      </c>
      <c r="P504" s="93">
        <v>2.84</v>
      </c>
      <c r="Q504" s="94">
        <v>39</v>
      </c>
      <c r="R504" s="93">
        <f t="shared" si="28"/>
        <v>110.75999999999999</v>
      </c>
      <c r="S504" s="95">
        <v>0.05</v>
      </c>
      <c r="T504" s="96">
        <f t="shared" si="29"/>
        <v>5.5380000000000003</v>
      </c>
      <c r="U504" s="96">
        <f t="shared" si="30"/>
        <v>110.71</v>
      </c>
      <c r="V504" s="93">
        <v>0.93</v>
      </c>
      <c r="W504" s="97">
        <f t="shared" si="31"/>
        <v>111.64</v>
      </c>
    </row>
    <row r="505" spans="1:23" x14ac:dyDescent="0.25">
      <c r="A505" s="61" t="s">
        <v>598</v>
      </c>
      <c r="B505" s="91">
        <v>41966</v>
      </c>
      <c r="C505" s="92" t="s">
        <v>1837</v>
      </c>
      <c r="D505" s="92" t="s">
        <v>1838</v>
      </c>
      <c r="E505" s="92" t="s">
        <v>1198</v>
      </c>
      <c r="F505" s="92" t="s">
        <v>1235</v>
      </c>
      <c r="G505" s="92" t="s">
        <v>1201</v>
      </c>
      <c r="H505" s="92" t="s">
        <v>1471</v>
      </c>
      <c r="I505" s="92" t="s">
        <v>1264</v>
      </c>
      <c r="J505" s="92" t="s">
        <v>1520</v>
      </c>
      <c r="K505" s="92" t="s">
        <v>1243</v>
      </c>
      <c r="L505" s="92" t="s">
        <v>1260</v>
      </c>
      <c r="M505" s="92" t="s">
        <v>1250</v>
      </c>
      <c r="N505" s="91">
        <v>41969</v>
      </c>
      <c r="O505" s="93">
        <v>8.92</v>
      </c>
      <c r="P505" s="93">
        <v>29.74</v>
      </c>
      <c r="Q505" s="94">
        <v>34</v>
      </c>
      <c r="R505" s="93">
        <f t="shared" si="28"/>
        <v>1011.16</v>
      </c>
      <c r="S505" s="95">
        <v>0.09</v>
      </c>
      <c r="T505" s="96">
        <f t="shared" si="29"/>
        <v>91.00439999999999</v>
      </c>
      <c r="U505" s="96">
        <f t="shared" si="30"/>
        <v>1011.0699999999999</v>
      </c>
      <c r="V505" s="93">
        <v>6.64</v>
      </c>
      <c r="W505" s="97">
        <f t="shared" si="31"/>
        <v>1017.7099999999999</v>
      </c>
    </row>
    <row r="506" spans="1:23" x14ac:dyDescent="0.25">
      <c r="A506" s="61" t="s">
        <v>599</v>
      </c>
      <c r="B506" s="91">
        <v>41966</v>
      </c>
      <c r="C506" s="92" t="s">
        <v>1542</v>
      </c>
      <c r="D506" s="92" t="s">
        <v>1253</v>
      </c>
      <c r="E506" s="92" t="s">
        <v>1199</v>
      </c>
      <c r="F506" s="92" t="s">
        <v>1254</v>
      </c>
      <c r="G506" s="92" t="s">
        <v>1202</v>
      </c>
      <c r="H506" s="92" t="s">
        <v>1255</v>
      </c>
      <c r="I506" s="92" t="s">
        <v>1248</v>
      </c>
      <c r="J506" s="92" t="s">
        <v>1318</v>
      </c>
      <c r="K506" s="92" t="s">
        <v>1239</v>
      </c>
      <c r="L506" s="92" t="s">
        <v>1319</v>
      </c>
      <c r="M506" s="92" t="s">
        <v>1320</v>
      </c>
      <c r="N506" s="91">
        <v>41970</v>
      </c>
      <c r="O506" s="93">
        <v>278.99</v>
      </c>
      <c r="P506" s="93">
        <v>449.99</v>
      </c>
      <c r="Q506" s="94">
        <v>34</v>
      </c>
      <c r="R506" s="93">
        <f t="shared" si="28"/>
        <v>15299.66</v>
      </c>
      <c r="S506" s="95">
        <v>0.02</v>
      </c>
      <c r="T506" s="96">
        <f t="shared" si="29"/>
        <v>305.9932</v>
      </c>
      <c r="U506" s="96">
        <f t="shared" si="30"/>
        <v>15299.64</v>
      </c>
      <c r="V506" s="93">
        <v>49</v>
      </c>
      <c r="W506" s="97">
        <f t="shared" si="31"/>
        <v>15348.64</v>
      </c>
    </row>
    <row r="507" spans="1:23" x14ac:dyDescent="0.25">
      <c r="A507" s="61" t="s">
        <v>600</v>
      </c>
      <c r="B507" s="91">
        <v>41969</v>
      </c>
      <c r="C507" s="92" t="s">
        <v>1839</v>
      </c>
      <c r="D507" s="92" t="s">
        <v>1347</v>
      </c>
      <c r="E507" s="92" t="s">
        <v>1198</v>
      </c>
      <c r="F507" s="92" t="s">
        <v>1235</v>
      </c>
      <c r="G507" s="92" t="s">
        <v>1200</v>
      </c>
      <c r="H507" s="92" t="s">
        <v>1236</v>
      </c>
      <c r="I507" s="92" t="s">
        <v>1317</v>
      </c>
      <c r="J507" s="92" t="s">
        <v>1475</v>
      </c>
      <c r="K507" s="92" t="s">
        <v>1239</v>
      </c>
      <c r="L507" s="92" t="s">
        <v>1260</v>
      </c>
      <c r="M507" s="92" t="s">
        <v>1241</v>
      </c>
      <c r="N507" s="91">
        <v>41971</v>
      </c>
      <c r="O507" s="93">
        <v>8.31</v>
      </c>
      <c r="P507" s="93">
        <v>15.98</v>
      </c>
      <c r="Q507" s="94">
        <v>5</v>
      </c>
      <c r="R507" s="93">
        <f t="shared" si="28"/>
        <v>79.900000000000006</v>
      </c>
      <c r="S507" s="95">
        <v>0.08</v>
      </c>
      <c r="T507" s="96">
        <f t="shared" si="29"/>
        <v>6.3920000000000003</v>
      </c>
      <c r="U507" s="96">
        <f t="shared" si="30"/>
        <v>79.820000000000007</v>
      </c>
      <c r="V507" s="93">
        <v>6.5</v>
      </c>
      <c r="W507" s="97">
        <f t="shared" si="31"/>
        <v>86.320000000000007</v>
      </c>
    </row>
    <row r="508" spans="1:23" x14ac:dyDescent="0.25">
      <c r="A508" s="61" t="s">
        <v>601</v>
      </c>
      <c r="B508" s="91">
        <v>41973</v>
      </c>
      <c r="C508" s="92" t="s">
        <v>1840</v>
      </c>
      <c r="D508" s="92" t="s">
        <v>1303</v>
      </c>
      <c r="E508" s="92" t="s">
        <v>1198</v>
      </c>
      <c r="F508" s="92" t="s">
        <v>1235</v>
      </c>
      <c r="G508" s="92" t="s">
        <v>1203</v>
      </c>
      <c r="H508" s="92" t="s">
        <v>1304</v>
      </c>
      <c r="I508" s="92" t="s">
        <v>1317</v>
      </c>
      <c r="J508" s="92" t="s">
        <v>1249</v>
      </c>
      <c r="K508" s="92" t="s">
        <v>1243</v>
      </c>
      <c r="L508" s="92" t="s">
        <v>1244</v>
      </c>
      <c r="M508" s="92" t="s">
        <v>1250</v>
      </c>
      <c r="N508" s="91">
        <v>41975</v>
      </c>
      <c r="O508" s="93">
        <v>3.32</v>
      </c>
      <c r="P508" s="93">
        <v>5.18</v>
      </c>
      <c r="Q508" s="94">
        <v>9</v>
      </c>
      <c r="R508" s="93">
        <f t="shared" si="28"/>
        <v>46.62</v>
      </c>
      <c r="S508" s="95">
        <v>0.09</v>
      </c>
      <c r="T508" s="96">
        <f t="shared" si="29"/>
        <v>4.1957999999999993</v>
      </c>
      <c r="U508" s="96">
        <f t="shared" si="30"/>
        <v>46.529999999999994</v>
      </c>
      <c r="V508" s="93">
        <v>2.04</v>
      </c>
      <c r="W508" s="97">
        <f t="shared" si="31"/>
        <v>48.569999999999993</v>
      </c>
    </row>
    <row r="509" spans="1:23" x14ac:dyDescent="0.25">
      <c r="A509" s="61" t="s">
        <v>602</v>
      </c>
      <c r="B509" s="91">
        <v>41974</v>
      </c>
      <c r="C509" s="92" t="s">
        <v>1748</v>
      </c>
      <c r="D509" s="92" t="s">
        <v>1312</v>
      </c>
      <c r="E509" s="92" t="s">
        <v>1198</v>
      </c>
      <c r="F509" s="92" t="s">
        <v>1235</v>
      </c>
      <c r="G509" s="92" t="s">
        <v>1200</v>
      </c>
      <c r="H509" s="92" t="s">
        <v>1313</v>
      </c>
      <c r="I509" s="92" t="s">
        <v>1248</v>
      </c>
      <c r="J509" s="92" t="s">
        <v>1573</v>
      </c>
      <c r="K509" s="92" t="s">
        <v>1243</v>
      </c>
      <c r="L509" s="92" t="s">
        <v>1244</v>
      </c>
      <c r="M509" s="92" t="s">
        <v>1250</v>
      </c>
      <c r="N509" s="91">
        <v>41978</v>
      </c>
      <c r="O509" s="93">
        <v>1.95</v>
      </c>
      <c r="P509" s="93">
        <v>3.98</v>
      </c>
      <c r="Q509" s="94">
        <v>4</v>
      </c>
      <c r="R509" s="93">
        <f t="shared" si="28"/>
        <v>15.92</v>
      </c>
      <c r="S509" s="95">
        <v>0.02</v>
      </c>
      <c r="T509" s="96">
        <f t="shared" si="29"/>
        <v>0.31840000000000002</v>
      </c>
      <c r="U509" s="96">
        <f t="shared" si="30"/>
        <v>15.9</v>
      </c>
      <c r="V509" s="93">
        <v>0.83</v>
      </c>
      <c r="W509" s="97">
        <f t="shared" si="31"/>
        <v>16.73</v>
      </c>
    </row>
    <row r="510" spans="1:23" x14ac:dyDescent="0.25">
      <c r="A510" s="61" t="s">
        <v>603</v>
      </c>
      <c r="B510" s="91">
        <v>41974</v>
      </c>
      <c r="C510" s="92" t="s">
        <v>1571</v>
      </c>
      <c r="D510" s="92" t="s">
        <v>1572</v>
      </c>
      <c r="E510" s="92" t="s">
        <v>1199</v>
      </c>
      <c r="F510" s="92" t="s">
        <v>1254</v>
      </c>
      <c r="G510" s="92" t="s">
        <v>1201</v>
      </c>
      <c r="H510" s="92" t="s">
        <v>1274</v>
      </c>
      <c r="I510" s="92" t="s">
        <v>1248</v>
      </c>
      <c r="J510" s="92" t="s">
        <v>1645</v>
      </c>
      <c r="K510" s="92" t="s">
        <v>1243</v>
      </c>
      <c r="L510" s="92" t="s">
        <v>1240</v>
      </c>
      <c r="M510" s="92" t="s">
        <v>1241</v>
      </c>
      <c r="N510" s="91">
        <v>41981</v>
      </c>
      <c r="O510" s="93">
        <v>16.8</v>
      </c>
      <c r="P510" s="93">
        <v>40.97</v>
      </c>
      <c r="Q510" s="94">
        <v>47</v>
      </c>
      <c r="R510" s="93">
        <f t="shared" si="28"/>
        <v>1925.59</v>
      </c>
      <c r="S510" s="95">
        <v>0.04</v>
      </c>
      <c r="T510" s="96">
        <f t="shared" si="29"/>
        <v>77.023600000000002</v>
      </c>
      <c r="U510" s="96">
        <f t="shared" si="30"/>
        <v>1925.55</v>
      </c>
      <c r="V510" s="93">
        <v>8.99</v>
      </c>
      <c r="W510" s="97">
        <f t="shared" si="31"/>
        <v>1934.54</v>
      </c>
    </row>
    <row r="511" spans="1:23" x14ac:dyDescent="0.25">
      <c r="A511" s="61" t="s">
        <v>604</v>
      </c>
      <c r="B511" s="91">
        <v>41977</v>
      </c>
      <c r="C511" s="92" t="s">
        <v>1841</v>
      </c>
      <c r="D511" s="92" t="s">
        <v>1355</v>
      </c>
      <c r="E511" s="92" t="s">
        <v>1199</v>
      </c>
      <c r="F511" s="92" t="s">
        <v>1254</v>
      </c>
      <c r="G511" s="92" t="s">
        <v>1203</v>
      </c>
      <c r="H511" s="92" t="s">
        <v>1274</v>
      </c>
      <c r="I511" s="92" t="s">
        <v>1237</v>
      </c>
      <c r="J511" s="92" t="s">
        <v>1333</v>
      </c>
      <c r="K511" s="92" t="s">
        <v>1243</v>
      </c>
      <c r="L511" s="92" t="s">
        <v>1260</v>
      </c>
      <c r="M511" s="92" t="s">
        <v>1241</v>
      </c>
      <c r="N511" s="91">
        <v>41978</v>
      </c>
      <c r="O511" s="93">
        <v>14.95</v>
      </c>
      <c r="P511" s="93">
        <v>34.76</v>
      </c>
      <c r="Q511" s="94">
        <v>8</v>
      </c>
      <c r="R511" s="93">
        <f t="shared" si="28"/>
        <v>278.08</v>
      </c>
      <c r="S511" s="95">
        <v>7.0000000000000007E-2</v>
      </c>
      <c r="T511" s="96">
        <f t="shared" si="29"/>
        <v>19.465600000000002</v>
      </c>
      <c r="U511" s="96">
        <f t="shared" si="30"/>
        <v>278.01</v>
      </c>
      <c r="V511" s="93">
        <v>8.2200000000000006</v>
      </c>
      <c r="W511" s="97">
        <f t="shared" si="31"/>
        <v>286.23</v>
      </c>
    </row>
    <row r="512" spans="1:23" x14ac:dyDescent="0.25">
      <c r="A512" s="61" t="s">
        <v>605</v>
      </c>
      <c r="B512" s="91">
        <v>41978</v>
      </c>
      <c r="C512" s="92" t="s">
        <v>1530</v>
      </c>
      <c r="D512" s="92" t="s">
        <v>1398</v>
      </c>
      <c r="E512" s="92" t="s">
        <v>1198</v>
      </c>
      <c r="F512" s="92" t="s">
        <v>1235</v>
      </c>
      <c r="G512" s="92" t="s">
        <v>1200</v>
      </c>
      <c r="H512" s="92" t="s">
        <v>1269</v>
      </c>
      <c r="I512" s="92" t="s">
        <v>1237</v>
      </c>
      <c r="J512" s="92" t="s">
        <v>1515</v>
      </c>
      <c r="K512" s="92" t="s">
        <v>1243</v>
      </c>
      <c r="L512" s="92" t="s">
        <v>1260</v>
      </c>
      <c r="M512" s="92" t="s">
        <v>1250</v>
      </c>
      <c r="N512" s="91">
        <v>41979</v>
      </c>
      <c r="O512" s="93">
        <v>2.25</v>
      </c>
      <c r="P512" s="93">
        <v>3.69</v>
      </c>
      <c r="Q512" s="94">
        <v>41</v>
      </c>
      <c r="R512" s="93">
        <f t="shared" si="28"/>
        <v>151.29</v>
      </c>
      <c r="S512" s="95">
        <v>0.08</v>
      </c>
      <c r="T512" s="96">
        <f t="shared" si="29"/>
        <v>12.103199999999999</v>
      </c>
      <c r="U512" s="96">
        <f t="shared" si="30"/>
        <v>151.20999999999998</v>
      </c>
      <c r="V512" s="93">
        <v>2.5</v>
      </c>
      <c r="W512" s="97">
        <f t="shared" si="31"/>
        <v>153.70999999999998</v>
      </c>
    </row>
    <row r="513" spans="1:23" x14ac:dyDescent="0.25">
      <c r="A513" s="61" t="s">
        <v>606</v>
      </c>
      <c r="B513" s="91">
        <v>41979</v>
      </c>
      <c r="C513" s="92" t="s">
        <v>1842</v>
      </c>
      <c r="D513" s="92" t="s">
        <v>1370</v>
      </c>
      <c r="E513" s="92" t="s">
        <v>1198</v>
      </c>
      <c r="F513" s="92" t="s">
        <v>1235</v>
      </c>
      <c r="G513" s="92" t="s">
        <v>1202</v>
      </c>
      <c r="H513" s="92" t="s">
        <v>1236</v>
      </c>
      <c r="I513" s="92" t="s">
        <v>1256</v>
      </c>
      <c r="J513" s="92" t="s">
        <v>1781</v>
      </c>
      <c r="K513" s="92" t="s">
        <v>1243</v>
      </c>
      <c r="L513" s="92" t="s">
        <v>1260</v>
      </c>
      <c r="M513" s="92" t="s">
        <v>1250</v>
      </c>
      <c r="N513" s="91">
        <v>41981</v>
      </c>
      <c r="O513" s="93">
        <v>1.82</v>
      </c>
      <c r="P513" s="93">
        <v>2.84</v>
      </c>
      <c r="Q513" s="94">
        <v>21</v>
      </c>
      <c r="R513" s="93">
        <f t="shared" si="28"/>
        <v>59.64</v>
      </c>
      <c r="S513" s="95">
        <v>0.01</v>
      </c>
      <c r="T513" s="96">
        <f t="shared" si="29"/>
        <v>0.59640000000000004</v>
      </c>
      <c r="U513" s="96">
        <f t="shared" si="30"/>
        <v>59.63</v>
      </c>
      <c r="V513" s="93">
        <v>5.44</v>
      </c>
      <c r="W513" s="97">
        <f t="shared" si="31"/>
        <v>65.070000000000007</v>
      </c>
    </row>
    <row r="514" spans="1:23" x14ac:dyDescent="0.25">
      <c r="A514" s="61" t="s">
        <v>607</v>
      </c>
      <c r="B514" s="91">
        <v>41981</v>
      </c>
      <c r="C514" s="92" t="s">
        <v>1843</v>
      </c>
      <c r="D514" s="92" t="s">
        <v>1649</v>
      </c>
      <c r="E514" s="92" t="s">
        <v>1198</v>
      </c>
      <c r="F514" s="92" t="s">
        <v>1235</v>
      </c>
      <c r="G514" s="92" t="s">
        <v>1201</v>
      </c>
      <c r="H514" s="92" t="s">
        <v>1471</v>
      </c>
      <c r="I514" s="92" t="s">
        <v>1317</v>
      </c>
      <c r="J514" s="92" t="s">
        <v>1533</v>
      </c>
      <c r="K514" s="92" t="s">
        <v>1243</v>
      </c>
      <c r="L514" s="92" t="s">
        <v>1260</v>
      </c>
      <c r="M514" s="92" t="s">
        <v>1241</v>
      </c>
      <c r="N514" s="91">
        <v>41983</v>
      </c>
      <c r="O514" s="93">
        <v>178.83</v>
      </c>
      <c r="P514" s="93">
        <v>415.88</v>
      </c>
      <c r="Q514" s="94">
        <v>4</v>
      </c>
      <c r="R514" s="93">
        <f t="shared" si="28"/>
        <v>1663.52</v>
      </c>
      <c r="S514" s="95">
        <v>0.03</v>
      </c>
      <c r="T514" s="96">
        <f t="shared" si="29"/>
        <v>49.9056</v>
      </c>
      <c r="U514" s="96">
        <f t="shared" si="30"/>
        <v>1663.49</v>
      </c>
      <c r="V514" s="93">
        <v>11.37</v>
      </c>
      <c r="W514" s="97">
        <f t="shared" si="31"/>
        <v>1674.86</v>
      </c>
    </row>
    <row r="515" spans="1:23" x14ac:dyDescent="0.25">
      <c r="A515" s="61" t="s">
        <v>608</v>
      </c>
      <c r="B515" s="91">
        <v>41982</v>
      </c>
      <c r="C515" s="92" t="s">
        <v>1844</v>
      </c>
      <c r="D515" s="92" t="s">
        <v>1337</v>
      </c>
      <c r="E515" s="92" t="s">
        <v>1198</v>
      </c>
      <c r="F515" s="92" t="s">
        <v>1235</v>
      </c>
      <c r="G515" s="92" t="s">
        <v>1202</v>
      </c>
      <c r="H515" s="92" t="s">
        <v>1247</v>
      </c>
      <c r="I515" s="92" t="s">
        <v>1237</v>
      </c>
      <c r="J515" s="92" t="s">
        <v>1517</v>
      </c>
      <c r="K515" s="92" t="s">
        <v>1243</v>
      </c>
      <c r="L515" s="92" t="s">
        <v>1260</v>
      </c>
      <c r="M515" s="92" t="s">
        <v>1241</v>
      </c>
      <c r="N515" s="91">
        <v>41984</v>
      </c>
      <c r="O515" s="93">
        <v>12.39</v>
      </c>
      <c r="P515" s="93">
        <v>19.98</v>
      </c>
      <c r="Q515" s="94">
        <v>48</v>
      </c>
      <c r="R515" s="93">
        <f t="shared" si="28"/>
        <v>959.04</v>
      </c>
      <c r="S515" s="95">
        <v>0.01</v>
      </c>
      <c r="T515" s="96">
        <f t="shared" si="29"/>
        <v>9.5904000000000007</v>
      </c>
      <c r="U515" s="96">
        <f t="shared" si="30"/>
        <v>959.03</v>
      </c>
      <c r="V515" s="93">
        <v>5.77</v>
      </c>
      <c r="W515" s="97">
        <f t="shared" si="31"/>
        <v>964.8</v>
      </c>
    </row>
    <row r="516" spans="1:23" x14ac:dyDescent="0.25">
      <c r="A516" s="61" t="s">
        <v>609</v>
      </c>
      <c r="B516" s="91">
        <v>41983</v>
      </c>
      <c r="C516" s="92" t="s">
        <v>1808</v>
      </c>
      <c r="D516" s="92" t="s">
        <v>1615</v>
      </c>
      <c r="E516" s="92" t="s">
        <v>1198</v>
      </c>
      <c r="F516" s="92" t="s">
        <v>1235</v>
      </c>
      <c r="G516" s="92" t="s">
        <v>1200</v>
      </c>
      <c r="H516" s="92" t="s">
        <v>1404</v>
      </c>
      <c r="I516" s="92" t="s">
        <v>1256</v>
      </c>
      <c r="J516" s="92" t="s">
        <v>1348</v>
      </c>
      <c r="K516" s="92" t="s">
        <v>1243</v>
      </c>
      <c r="L516" s="92" t="s">
        <v>1240</v>
      </c>
      <c r="M516" s="92" t="s">
        <v>1241</v>
      </c>
      <c r="N516" s="91">
        <v>41984</v>
      </c>
      <c r="O516" s="93">
        <v>4.1900000000000004</v>
      </c>
      <c r="P516" s="93">
        <v>10.23</v>
      </c>
      <c r="Q516" s="94">
        <v>46</v>
      </c>
      <c r="R516" s="93">
        <f t="shared" si="28"/>
        <v>470.58000000000004</v>
      </c>
      <c r="S516" s="95">
        <v>0.01</v>
      </c>
      <c r="T516" s="96">
        <f t="shared" si="29"/>
        <v>4.7058000000000009</v>
      </c>
      <c r="U516" s="96">
        <f t="shared" si="30"/>
        <v>470.57000000000005</v>
      </c>
      <c r="V516" s="93">
        <v>4.68</v>
      </c>
      <c r="W516" s="97">
        <f t="shared" si="31"/>
        <v>475.25000000000006</v>
      </c>
    </row>
    <row r="517" spans="1:23" x14ac:dyDescent="0.25">
      <c r="A517" s="61" t="s">
        <v>610</v>
      </c>
      <c r="B517" s="91">
        <v>41983</v>
      </c>
      <c r="C517" s="92" t="s">
        <v>1845</v>
      </c>
      <c r="D517" s="92" t="s">
        <v>1496</v>
      </c>
      <c r="E517" s="92" t="s">
        <v>1198</v>
      </c>
      <c r="F517" s="92" t="s">
        <v>1235</v>
      </c>
      <c r="G517" s="92" t="s">
        <v>1200</v>
      </c>
      <c r="H517" s="92" t="s">
        <v>1313</v>
      </c>
      <c r="I517" s="92" t="s">
        <v>1248</v>
      </c>
      <c r="J517" s="92" t="s">
        <v>1238</v>
      </c>
      <c r="K517" s="92" t="s">
        <v>1239</v>
      </c>
      <c r="L517" s="92" t="s">
        <v>1240</v>
      </c>
      <c r="M517" s="92" t="s">
        <v>1241</v>
      </c>
      <c r="N517" s="91">
        <v>41985</v>
      </c>
      <c r="O517" s="93">
        <v>1.87</v>
      </c>
      <c r="P517" s="93">
        <v>8.1199999999999992</v>
      </c>
      <c r="Q517" s="94">
        <v>11</v>
      </c>
      <c r="R517" s="93">
        <f t="shared" ref="R517:R580" si="32">P517*Q517</f>
        <v>89.32</v>
      </c>
      <c r="S517" s="95">
        <v>0.06</v>
      </c>
      <c r="T517" s="96">
        <f t="shared" ref="T517:T580" si="33">R517*S517</f>
        <v>5.3591999999999995</v>
      </c>
      <c r="U517" s="96">
        <f t="shared" ref="U517:U580" si="34">R517-S517</f>
        <v>89.259999999999991</v>
      </c>
      <c r="V517" s="93">
        <v>2.83</v>
      </c>
      <c r="W517" s="97">
        <f t="shared" ref="W517:W580" si="35">U517+V517</f>
        <v>92.089999999999989</v>
      </c>
    </row>
    <row r="518" spans="1:23" x14ac:dyDescent="0.25">
      <c r="A518" s="61" t="s">
        <v>611</v>
      </c>
      <c r="B518" s="91">
        <v>41986</v>
      </c>
      <c r="C518" s="92" t="s">
        <v>1735</v>
      </c>
      <c r="D518" s="92" t="s">
        <v>1388</v>
      </c>
      <c r="E518" s="92" t="s">
        <v>1199</v>
      </c>
      <c r="F518" s="92" t="s">
        <v>1254</v>
      </c>
      <c r="G518" s="92" t="s">
        <v>1200</v>
      </c>
      <c r="H518" s="92" t="s">
        <v>1255</v>
      </c>
      <c r="I518" s="92" t="s">
        <v>1317</v>
      </c>
      <c r="J518" s="92" t="s">
        <v>1405</v>
      </c>
      <c r="K518" s="92" t="s">
        <v>1243</v>
      </c>
      <c r="L518" s="92" t="s">
        <v>1260</v>
      </c>
      <c r="M518" s="92" t="s">
        <v>1241</v>
      </c>
      <c r="N518" s="91">
        <v>41988</v>
      </c>
      <c r="O518" s="93">
        <v>4.59</v>
      </c>
      <c r="P518" s="93">
        <v>7.28</v>
      </c>
      <c r="Q518" s="94">
        <v>36</v>
      </c>
      <c r="R518" s="93">
        <f t="shared" si="32"/>
        <v>262.08</v>
      </c>
      <c r="S518" s="95">
        <v>0.05</v>
      </c>
      <c r="T518" s="96">
        <f t="shared" si="33"/>
        <v>13.103999999999999</v>
      </c>
      <c r="U518" s="96">
        <f t="shared" si="34"/>
        <v>262.02999999999997</v>
      </c>
      <c r="V518" s="93">
        <v>11.15</v>
      </c>
      <c r="W518" s="97">
        <f t="shared" si="35"/>
        <v>273.17999999999995</v>
      </c>
    </row>
    <row r="519" spans="1:23" x14ac:dyDescent="0.25">
      <c r="A519" s="61" t="s">
        <v>612</v>
      </c>
      <c r="B519" s="91">
        <v>41989</v>
      </c>
      <c r="C519" s="92" t="s">
        <v>1846</v>
      </c>
      <c r="D519" s="92" t="s">
        <v>1494</v>
      </c>
      <c r="E519" s="92" t="s">
        <v>1198</v>
      </c>
      <c r="F519" s="92" t="s">
        <v>1235</v>
      </c>
      <c r="G519" s="92" t="s">
        <v>1200</v>
      </c>
      <c r="H519" s="92" t="s">
        <v>1236</v>
      </c>
      <c r="I519" s="92" t="s">
        <v>1237</v>
      </c>
      <c r="J519" s="92" t="s">
        <v>1593</v>
      </c>
      <c r="K519" s="92" t="s">
        <v>1243</v>
      </c>
      <c r="L519" s="92" t="s">
        <v>1260</v>
      </c>
      <c r="M519" s="92" t="s">
        <v>1241</v>
      </c>
      <c r="N519" s="91">
        <v>41991</v>
      </c>
      <c r="O519" s="93">
        <v>2.1800000000000002</v>
      </c>
      <c r="P519" s="93">
        <v>3.52</v>
      </c>
      <c r="Q519" s="94">
        <v>23</v>
      </c>
      <c r="R519" s="93">
        <f t="shared" si="32"/>
        <v>80.959999999999994</v>
      </c>
      <c r="S519" s="95">
        <v>7.0000000000000007E-2</v>
      </c>
      <c r="T519" s="96">
        <f t="shared" si="33"/>
        <v>5.6672000000000002</v>
      </c>
      <c r="U519" s="96">
        <f t="shared" si="34"/>
        <v>80.89</v>
      </c>
      <c r="V519" s="93">
        <v>6.83</v>
      </c>
      <c r="W519" s="97">
        <f t="shared" si="35"/>
        <v>87.72</v>
      </c>
    </row>
    <row r="520" spans="1:23" x14ac:dyDescent="0.25">
      <c r="A520" s="61" t="s">
        <v>613</v>
      </c>
      <c r="B520" s="91">
        <v>41995</v>
      </c>
      <c r="C520" s="92" t="s">
        <v>1847</v>
      </c>
      <c r="D520" s="92" t="s">
        <v>1347</v>
      </c>
      <c r="E520" s="92" t="s">
        <v>1198</v>
      </c>
      <c r="F520" s="92" t="s">
        <v>1235</v>
      </c>
      <c r="G520" s="92" t="s">
        <v>1200</v>
      </c>
      <c r="H520" s="92" t="s">
        <v>1236</v>
      </c>
      <c r="I520" s="92" t="s">
        <v>1237</v>
      </c>
      <c r="J520" s="92" t="s">
        <v>1309</v>
      </c>
      <c r="K520" s="92" t="s">
        <v>1243</v>
      </c>
      <c r="L520" s="92" t="s">
        <v>1244</v>
      </c>
      <c r="M520" s="92" t="s">
        <v>1241</v>
      </c>
      <c r="N520" s="91">
        <v>41996</v>
      </c>
      <c r="O520" s="93">
        <v>0.92</v>
      </c>
      <c r="P520" s="93">
        <v>1.81</v>
      </c>
      <c r="Q520" s="94">
        <v>48</v>
      </c>
      <c r="R520" s="93">
        <f t="shared" si="32"/>
        <v>86.88</v>
      </c>
      <c r="S520" s="95">
        <v>0.1</v>
      </c>
      <c r="T520" s="96">
        <f t="shared" si="33"/>
        <v>8.6880000000000006</v>
      </c>
      <c r="U520" s="96">
        <f t="shared" si="34"/>
        <v>86.78</v>
      </c>
      <c r="V520" s="93">
        <v>1.56</v>
      </c>
      <c r="W520" s="97">
        <f t="shared" si="35"/>
        <v>88.34</v>
      </c>
    </row>
    <row r="521" spans="1:23" x14ac:dyDescent="0.25">
      <c r="A521" s="61" t="s">
        <v>614</v>
      </c>
      <c r="B521" s="91">
        <v>41998</v>
      </c>
      <c r="C521" s="92" t="s">
        <v>1743</v>
      </c>
      <c r="D521" s="92" t="s">
        <v>1744</v>
      </c>
      <c r="E521" s="92" t="s">
        <v>1198</v>
      </c>
      <c r="F521" s="92" t="s">
        <v>1235</v>
      </c>
      <c r="G521" s="92" t="s">
        <v>1202</v>
      </c>
      <c r="H521" s="92" t="s">
        <v>1471</v>
      </c>
      <c r="I521" s="92" t="s">
        <v>1237</v>
      </c>
      <c r="J521" s="92" t="s">
        <v>1318</v>
      </c>
      <c r="K521" s="92" t="s">
        <v>1239</v>
      </c>
      <c r="L521" s="92" t="s">
        <v>1296</v>
      </c>
      <c r="M521" s="92" t="s">
        <v>1241</v>
      </c>
      <c r="N521" s="91">
        <v>42000</v>
      </c>
      <c r="O521" s="93">
        <v>216</v>
      </c>
      <c r="P521" s="93">
        <v>449.99</v>
      </c>
      <c r="Q521" s="94">
        <v>10</v>
      </c>
      <c r="R521" s="93">
        <f t="shared" si="32"/>
        <v>4499.8999999999996</v>
      </c>
      <c r="S521" s="95">
        <v>0.01</v>
      </c>
      <c r="T521" s="96">
        <f t="shared" si="33"/>
        <v>44.998999999999995</v>
      </c>
      <c r="U521" s="96">
        <f t="shared" si="34"/>
        <v>4499.8899999999994</v>
      </c>
      <c r="V521" s="93">
        <v>24.49</v>
      </c>
      <c r="W521" s="97">
        <f t="shared" si="35"/>
        <v>4524.3799999999992</v>
      </c>
    </row>
    <row r="522" spans="1:23" x14ac:dyDescent="0.25">
      <c r="A522" s="61" t="s">
        <v>615</v>
      </c>
      <c r="B522" s="91">
        <v>41999</v>
      </c>
      <c r="C522" s="92" t="s">
        <v>1758</v>
      </c>
      <c r="D522" s="92" t="s">
        <v>1253</v>
      </c>
      <c r="E522" s="92" t="s">
        <v>1199</v>
      </c>
      <c r="F522" s="92" t="s">
        <v>1254</v>
      </c>
      <c r="G522" s="92" t="s">
        <v>1202</v>
      </c>
      <c r="H522" s="92" t="s">
        <v>1255</v>
      </c>
      <c r="I522" s="92" t="s">
        <v>1317</v>
      </c>
      <c r="J522" s="92" t="s">
        <v>1314</v>
      </c>
      <c r="K522" s="92" t="s">
        <v>1243</v>
      </c>
      <c r="L522" s="92" t="s">
        <v>1244</v>
      </c>
      <c r="M522" s="92" t="s">
        <v>1241</v>
      </c>
      <c r="N522" s="91">
        <v>42002</v>
      </c>
      <c r="O522" s="93">
        <v>1.6</v>
      </c>
      <c r="P522" s="93">
        <v>2.62</v>
      </c>
      <c r="Q522" s="94">
        <v>37</v>
      </c>
      <c r="R522" s="93">
        <f t="shared" si="32"/>
        <v>96.94</v>
      </c>
      <c r="S522" s="95">
        <v>0.01</v>
      </c>
      <c r="T522" s="96">
        <f t="shared" si="33"/>
        <v>0.96940000000000004</v>
      </c>
      <c r="U522" s="96">
        <f t="shared" si="34"/>
        <v>96.929999999999993</v>
      </c>
      <c r="V522" s="93">
        <v>0.8</v>
      </c>
      <c r="W522" s="97">
        <f t="shared" si="35"/>
        <v>97.72999999999999</v>
      </c>
    </row>
    <row r="523" spans="1:23" x14ac:dyDescent="0.25">
      <c r="A523" s="61" t="s">
        <v>616</v>
      </c>
      <c r="B523" s="91">
        <v>41999</v>
      </c>
      <c r="C523" s="92" t="s">
        <v>1848</v>
      </c>
      <c r="D523" s="92" t="s">
        <v>1451</v>
      </c>
      <c r="E523" s="92" t="s">
        <v>1198</v>
      </c>
      <c r="F523" s="92" t="s">
        <v>1235</v>
      </c>
      <c r="G523" s="92" t="s">
        <v>1201</v>
      </c>
      <c r="H523" s="92" t="s">
        <v>1291</v>
      </c>
      <c r="I523" s="92" t="s">
        <v>1317</v>
      </c>
      <c r="J523" s="92" t="s">
        <v>1456</v>
      </c>
      <c r="K523" s="92" t="s">
        <v>1243</v>
      </c>
      <c r="L523" s="92" t="s">
        <v>1260</v>
      </c>
      <c r="M523" s="92" t="s">
        <v>1241</v>
      </c>
      <c r="N523" s="91">
        <v>42002</v>
      </c>
      <c r="O523" s="93">
        <v>3.52</v>
      </c>
      <c r="P523" s="93">
        <v>5.68</v>
      </c>
      <c r="Q523" s="94">
        <v>42</v>
      </c>
      <c r="R523" s="93">
        <f t="shared" si="32"/>
        <v>238.56</v>
      </c>
      <c r="S523" s="95">
        <v>0.05</v>
      </c>
      <c r="T523" s="96">
        <f t="shared" si="33"/>
        <v>11.928000000000001</v>
      </c>
      <c r="U523" s="96">
        <f t="shared" si="34"/>
        <v>238.51</v>
      </c>
      <c r="V523" s="93">
        <v>1.39</v>
      </c>
      <c r="W523" s="97">
        <f t="shared" si="35"/>
        <v>239.89999999999998</v>
      </c>
    </row>
    <row r="524" spans="1:23" x14ac:dyDescent="0.25">
      <c r="A524" s="61" t="s">
        <v>617</v>
      </c>
      <c r="B524" s="91">
        <v>42000</v>
      </c>
      <c r="C524" s="92" t="s">
        <v>1849</v>
      </c>
      <c r="D524" s="92" t="s">
        <v>1470</v>
      </c>
      <c r="E524" s="92" t="s">
        <v>1198</v>
      </c>
      <c r="F524" s="92" t="s">
        <v>1235</v>
      </c>
      <c r="G524" s="92" t="s">
        <v>1201</v>
      </c>
      <c r="H524" s="92" t="s">
        <v>1471</v>
      </c>
      <c r="I524" s="92" t="s">
        <v>1264</v>
      </c>
      <c r="J524" s="92" t="s">
        <v>1468</v>
      </c>
      <c r="K524" s="92" t="s">
        <v>1243</v>
      </c>
      <c r="L524" s="92" t="s">
        <v>1260</v>
      </c>
      <c r="M524" s="92" t="s">
        <v>1250</v>
      </c>
      <c r="N524" s="91">
        <v>42001</v>
      </c>
      <c r="O524" s="93">
        <v>1.59</v>
      </c>
      <c r="P524" s="93">
        <v>2.61</v>
      </c>
      <c r="Q524" s="94">
        <v>37</v>
      </c>
      <c r="R524" s="93">
        <f t="shared" si="32"/>
        <v>96.57</v>
      </c>
      <c r="S524" s="95">
        <v>0.09</v>
      </c>
      <c r="T524" s="96">
        <f t="shared" si="33"/>
        <v>8.6912999999999982</v>
      </c>
      <c r="U524" s="96">
        <f t="shared" si="34"/>
        <v>96.47999999999999</v>
      </c>
      <c r="V524" s="93">
        <v>0.5</v>
      </c>
      <c r="W524" s="97">
        <f t="shared" si="35"/>
        <v>96.97999999999999</v>
      </c>
    </row>
    <row r="525" spans="1:23" x14ac:dyDescent="0.25">
      <c r="A525" s="61" t="s">
        <v>618</v>
      </c>
      <c r="B525" s="91">
        <v>42001</v>
      </c>
      <c r="C525" s="92" t="s">
        <v>1850</v>
      </c>
      <c r="D525" s="92" t="s">
        <v>1246</v>
      </c>
      <c r="E525" s="92" t="s">
        <v>1198</v>
      </c>
      <c r="F525" s="92" t="s">
        <v>1235</v>
      </c>
      <c r="G525" s="92" t="s">
        <v>1202</v>
      </c>
      <c r="H525" s="92" t="s">
        <v>1247</v>
      </c>
      <c r="I525" s="92" t="s">
        <v>1317</v>
      </c>
      <c r="J525" s="92" t="s">
        <v>1729</v>
      </c>
      <c r="K525" s="92" t="s">
        <v>1243</v>
      </c>
      <c r="L525" s="92" t="s">
        <v>1260</v>
      </c>
      <c r="M525" s="92" t="s">
        <v>1241</v>
      </c>
      <c r="N525" s="91">
        <v>42003</v>
      </c>
      <c r="O525" s="93">
        <v>7.13</v>
      </c>
      <c r="P525" s="93">
        <v>20.98</v>
      </c>
      <c r="Q525" s="94">
        <v>47</v>
      </c>
      <c r="R525" s="93">
        <f t="shared" si="32"/>
        <v>986.06000000000006</v>
      </c>
      <c r="S525" s="95">
        <v>0.01</v>
      </c>
      <c r="T525" s="96">
        <f t="shared" si="33"/>
        <v>9.8606000000000016</v>
      </c>
      <c r="U525" s="96">
        <f t="shared" si="34"/>
        <v>986.05000000000007</v>
      </c>
      <c r="V525" s="93">
        <v>5.42</v>
      </c>
      <c r="W525" s="97">
        <f t="shared" si="35"/>
        <v>991.47</v>
      </c>
    </row>
    <row r="526" spans="1:23" x14ac:dyDescent="0.25">
      <c r="A526" s="61" t="s">
        <v>619</v>
      </c>
      <c r="B526" s="91">
        <v>42001</v>
      </c>
      <c r="C526" s="92" t="s">
        <v>1851</v>
      </c>
      <c r="D526" s="92" t="s">
        <v>1347</v>
      </c>
      <c r="E526" s="92" t="s">
        <v>1198</v>
      </c>
      <c r="F526" s="92" t="s">
        <v>1235</v>
      </c>
      <c r="G526" s="92" t="s">
        <v>1200</v>
      </c>
      <c r="H526" s="92" t="s">
        <v>1236</v>
      </c>
      <c r="I526" s="92" t="s">
        <v>1256</v>
      </c>
      <c r="J526" s="92" t="s">
        <v>1288</v>
      </c>
      <c r="K526" s="92" t="s">
        <v>1243</v>
      </c>
      <c r="L526" s="92" t="s">
        <v>1260</v>
      </c>
      <c r="M526" s="92" t="s">
        <v>1241</v>
      </c>
      <c r="N526" s="91">
        <v>42001</v>
      </c>
      <c r="O526" s="93">
        <v>22.18</v>
      </c>
      <c r="P526" s="93">
        <v>54.1</v>
      </c>
      <c r="Q526" s="94">
        <v>5</v>
      </c>
      <c r="R526" s="93">
        <f t="shared" si="32"/>
        <v>270.5</v>
      </c>
      <c r="S526" s="95">
        <v>0.04</v>
      </c>
      <c r="T526" s="96">
        <f t="shared" si="33"/>
        <v>10.82</v>
      </c>
      <c r="U526" s="96">
        <f t="shared" si="34"/>
        <v>270.45999999999998</v>
      </c>
      <c r="V526" s="93">
        <v>19.989999999999998</v>
      </c>
      <c r="W526" s="97">
        <f t="shared" si="35"/>
        <v>290.45</v>
      </c>
    </row>
    <row r="527" spans="1:23" x14ac:dyDescent="0.25">
      <c r="A527" s="61" t="s">
        <v>620</v>
      </c>
      <c r="B527" s="91">
        <v>42003</v>
      </c>
      <c r="C527" s="92" t="s">
        <v>1852</v>
      </c>
      <c r="D527" s="92" t="s">
        <v>1361</v>
      </c>
      <c r="E527" s="92" t="s">
        <v>1198</v>
      </c>
      <c r="F527" s="92" t="s">
        <v>1235</v>
      </c>
      <c r="G527" s="92" t="s">
        <v>1201</v>
      </c>
      <c r="H527" s="92" t="s">
        <v>1286</v>
      </c>
      <c r="I527" s="92" t="s">
        <v>1256</v>
      </c>
      <c r="J527" s="92" t="s">
        <v>1781</v>
      </c>
      <c r="K527" s="92" t="s">
        <v>1243</v>
      </c>
      <c r="L527" s="92" t="s">
        <v>1260</v>
      </c>
      <c r="M527" s="92" t="s">
        <v>1241</v>
      </c>
      <c r="N527" s="91">
        <v>42004</v>
      </c>
      <c r="O527" s="93">
        <v>1.82</v>
      </c>
      <c r="P527" s="93">
        <v>2.84</v>
      </c>
      <c r="Q527" s="94">
        <v>27</v>
      </c>
      <c r="R527" s="93">
        <f t="shared" si="32"/>
        <v>76.679999999999993</v>
      </c>
      <c r="S527" s="95">
        <v>0.03</v>
      </c>
      <c r="T527" s="96">
        <f t="shared" si="33"/>
        <v>2.3003999999999998</v>
      </c>
      <c r="U527" s="96">
        <f t="shared" si="34"/>
        <v>76.649999999999991</v>
      </c>
      <c r="V527" s="93">
        <v>5.44</v>
      </c>
      <c r="W527" s="97">
        <f t="shared" si="35"/>
        <v>82.089999999999989</v>
      </c>
    </row>
    <row r="528" spans="1:23" x14ac:dyDescent="0.25">
      <c r="A528" s="61" t="s">
        <v>621</v>
      </c>
      <c r="B528" s="91">
        <v>42005</v>
      </c>
      <c r="C528" s="92" t="s">
        <v>1358</v>
      </c>
      <c r="D528" s="92" t="s">
        <v>1330</v>
      </c>
      <c r="E528" s="92" t="s">
        <v>1199</v>
      </c>
      <c r="F528" s="92" t="s">
        <v>1254</v>
      </c>
      <c r="G528" s="92" t="s">
        <v>1201</v>
      </c>
      <c r="H528" s="92" t="s">
        <v>1255</v>
      </c>
      <c r="I528" s="92" t="s">
        <v>1256</v>
      </c>
      <c r="J528" s="92" t="s">
        <v>1853</v>
      </c>
      <c r="K528" s="92" t="s">
        <v>1243</v>
      </c>
      <c r="L528" s="92" t="s">
        <v>1240</v>
      </c>
      <c r="M528" s="92" t="s">
        <v>1241</v>
      </c>
      <c r="N528" s="91">
        <v>42007</v>
      </c>
      <c r="O528" s="93">
        <v>2.87</v>
      </c>
      <c r="P528" s="93">
        <v>6.84</v>
      </c>
      <c r="Q528" s="94">
        <v>35</v>
      </c>
      <c r="R528" s="93">
        <f t="shared" si="32"/>
        <v>239.4</v>
      </c>
      <c r="S528" s="95">
        <v>0.01</v>
      </c>
      <c r="T528" s="96">
        <f t="shared" si="33"/>
        <v>2.3940000000000001</v>
      </c>
      <c r="U528" s="96">
        <f t="shared" si="34"/>
        <v>239.39000000000001</v>
      </c>
      <c r="V528" s="93">
        <v>4.42</v>
      </c>
      <c r="W528" s="97">
        <f t="shared" si="35"/>
        <v>243.81</v>
      </c>
    </row>
    <row r="529" spans="1:23" x14ac:dyDescent="0.25">
      <c r="A529" s="61" t="s">
        <v>622</v>
      </c>
      <c r="B529" s="91">
        <v>42006</v>
      </c>
      <c r="C529" s="92" t="s">
        <v>1854</v>
      </c>
      <c r="D529" s="92" t="s">
        <v>1395</v>
      </c>
      <c r="E529" s="92" t="s">
        <v>1198</v>
      </c>
      <c r="F529" s="92" t="s">
        <v>1235</v>
      </c>
      <c r="G529" s="92" t="s">
        <v>1200</v>
      </c>
      <c r="H529" s="92" t="s">
        <v>1236</v>
      </c>
      <c r="I529" s="92" t="s">
        <v>1248</v>
      </c>
      <c r="J529" s="92" t="s">
        <v>1327</v>
      </c>
      <c r="K529" s="92" t="s">
        <v>1239</v>
      </c>
      <c r="L529" s="92" t="s">
        <v>1260</v>
      </c>
      <c r="M529" s="92" t="s">
        <v>1241</v>
      </c>
      <c r="N529" s="91">
        <v>42008</v>
      </c>
      <c r="O529" s="93">
        <v>19.78</v>
      </c>
      <c r="P529" s="93">
        <v>45.99</v>
      </c>
      <c r="Q529" s="94">
        <v>50</v>
      </c>
      <c r="R529" s="93">
        <f t="shared" si="32"/>
        <v>2299.5</v>
      </c>
      <c r="S529" s="95">
        <v>0</v>
      </c>
      <c r="T529" s="96">
        <f t="shared" si="33"/>
        <v>0</v>
      </c>
      <c r="U529" s="96">
        <f t="shared" si="34"/>
        <v>2299.5</v>
      </c>
      <c r="V529" s="93">
        <v>4.99</v>
      </c>
      <c r="W529" s="97">
        <f t="shared" si="35"/>
        <v>2304.4899999999998</v>
      </c>
    </row>
    <row r="530" spans="1:23" x14ac:dyDescent="0.25">
      <c r="A530" s="61" t="s">
        <v>623</v>
      </c>
      <c r="B530" s="91">
        <v>42006</v>
      </c>
      <c r="C530" s="92" t="s">
        <v>1855</v>
      </c>
      <c r="D530" s="92" t="s">
        <v>1598</v>
      </c>
      <c r="E530" s="92" t="s">
        <v>1198</v>
      </c>
      <c r="F530" s="92" t="s">
        <v>1235</v>
      </c>
      <c r="G530" s="92" t="s">
        <v>1203</v>
      </c>
      <c r="H530" s="92" t="s">
        <v>1471</v>
      </c>
      <c r="I530" s="92" t="s">
        <v>1237</v>
      </c>
      <c r="J530" s="92" t="s">
        <v>1856</v>
      </c>
      <c r="K530" s="92" t="s">
        <v>1243</v>
      </c>
      <c r="L530" s="92" t="s">
        <v>1244</v>
      </c>
      <c r="M530" s="92" t="s">
        <v>1241</v>
      </c>
      <c r="N530" s="91">
        <v>42008</v>
      </c>
      <c r="O530" s="93">
        <v>2.68</v>
      </c>
      <c r="P530" s="93">
        <v>6.08</v>
      </c>
      <c r="Q530" s="94">
        <v>30</v>
      </c>
      <c r="R530" s="93">
        <f t="shared" si="32"/>
        <v>182.4</v>
      </c>
      <c r="S530" s="95">
        <v>0.04</v>
      </c>
      <c r="T530" s="96">
        <f t="shared" si="33"/>
        <v>7.2960000000000003</v>
      </c>
      <c r="U530" s="96">
        <f t="shared" si="34"/>
        <v>182.36</v>
      </c>
      <c r="V530" s="93">
        <v>1.17</v>
      </c>
      <c r="W530" s="97">
        <f t="shared" si="35"/>
        <v>183.53</v>
      </c>
    </row>
    <row r="531" spans="1:23" x14ac:dyDescent="0.25">
      <c r="A531" s="61" t="s">
        <v>624</v>
      </c>
      <c r="B531" s="91">
        <v>42011</v>
      </c>
      <c r="C531" s="92" t="s">
        <v>1819</v>
      </c>
      <c r="D531" s="92" t="s">
        <v>1355</v>
      </c>
      <c r="E531" s="92" t="s">
        <v>1199</v>
      </c>
      <c r="F531" s="92" t="s">
        <v>1254</v>
      </c>
      <c r="G531" s="92" t="s">
        <v>1200</v>
      </c>
      <c r="H531" s="92" t="s">
        <v>1274</v>
      </c>
      <c r="I531" s="92" t="s">
        <v>1237</v>
      </c>
      <c r="J531" s="92" t="s">
        <v>1282</v>
      </c>
      <c r="K531" s="92" t="s">
        <v>1243</v>
      </c>
      <c r="L531" s="92" t="s">
        <v>1260</v>
      </c>
      <c r="M531" s="92" t="s">
        <v>1241</v>
      </c>
      <c r="N531" s="91">
        <v>42013</v>
      </c>
      <c r="O531" s="93">
        <v>5.33</v>
      </c>
      <c r="P531" s="93">
        <v>8.6</v>
      </c>
      <c r="Q531" s="94">
        <v>48</v>
      </c>
      <c r="R531" s="93">
        <f t="shared" si="32"/>
        <v>412.79999999999995</v>
      </c>
      <c r="S531" s="95">
        <v>0.02</v>
      </c>
      <c r="T531" s="96">
        <f t="shared" si="33"/>
        <v>8.2559999999999985</v>
      </c>
      <c r="U531" s="96">
        <f t="shared" si="34"/>
        <v>412.78</v>
      </c>
      <c r="V531" s="93">
        <v>6.19</v>
      </c>
      <c r="W531" s="97">
        <f t="shared" si="35"/>
        <v>418.96999999999997</v>
      </c>
    </row>
    <row r="532" spans="1:23" x14ac:dyDescent="0.25">
      <c r="A532" s="61" t="s">
        <v>625</v>
      </c>
      <c r="B532" s="91">
        <v>42011</v>
      </c>
      <c r="C532" s="92" t="s">
        <v>1616</v>
      </c>
      <c r="D532" s="92" t="s">
        <v>1486</v>
      </c>
      <c r="E532" s="92" t="s">
        <v>1198</v>
      </c>
      <c r="F532" s="92" t="s">
        <v>1235</v>
      </c>
      <c r="G532" s="92" t="s">
        <v>1202</v>
      </c>
      <c r="H532" s="92" t="s">
        <v>1291</v>
      </c>
      <c r="I532" s="92" t="s">
        <v>1256</v>
      </c>
      <c r="J532" s="92" t="s">
        <v>1384</v>
      </c>
      <c r="K532" s="92" t="s">
        <v>1243</v>
      </c>
      <c r="L532" s="92" t="s">
        <v>1260</v>
      </c>
      <c r="M532" s="92" t="s">
        <v>1250</v>
      </c>
      <c r="N532" s="91">
        <v>42013</v>
      </c>
      <c r="O532" s="93">
        <v>4.46</v>
      </c>
      <c r="P532" s="93">
        <v>10.89</v>
      </c>
      <c r="Q532" s="94">
        <v>37</v>
      </c>
      <c r="R532" s="93">
        <f t="shared" si="32"/>
        <v>402.93</v>
      </c>
      <c r="S532" s="95">
        <v>0</v>
      </c>
      <c r="T532" s="96">
        <f t="shared" si="33"/>
        <v>0</v>
      </c>
      <c r="U532" s="96">
        <f t="shared" si="34"/>
        <v>402.93</v>
      </c>
      <c r="V532" s="93">
        <v>4.5</v>
      </c>
      <c r="W532" s="97">
        <f t="shared" si="35"/>
        <v>407.43</v>
      </c>
    </row>
    <row r="533" spans="1:23" x14ac:dyDescent="0.25">
      <c r="A533" s="61" t="s">
        <v>626</v>
      </c>
      <c r="B533" s="91">
        <v>42013</v>
      </c>
      <c r="C533" s="92" t="s">
        <v>1857</v>
      </c>
      <c r="D533" s="92" t="s">
        <v>1430</v>
      </c>
      <c r="E533" s="92" t="s">
        <v>1199</v>
      </c>
      <c r="F533" s="92" t="s">
        <v>1254</v>
      </c>
      <c r="G533" s="92" t="s">
        <v>1202</v>
      </c>
      <c r="H533" s="92" t="s">
        <v>1274</v>
      </c>
      <c r="I533" s="92" t="s">
        <v>1317</v>
      </c>
      <c r="J533" s="92" t="s">
        <v>1301</v>
      </c>
      <c r="K533" s="92" t="s">
        <v>1243</v>
      </c>
      <c r="L533" s="92" t="s">
        <v>1244</v>
      </c>
      <c r="M533" s="92" t="s">
        <v>1241</v>
      </c>
      <c r="N533" s="91">
        <v>42015</v>
      </c>
      <c r="O533" s="93">
        <v>0.87</v>
      </c>
      <c r="P533" s="93">
        <v>1.81</v>
      </c>
      <c r="Q533" s="94">
        <v>9</v>
      </c>
      <c r="R533" s="93">
        <f t="shared" si="32"/>
        <v>16.29</v>
      </c>
      <c r="S533" s="95">
        <v>0.09</v>
      </c>
      <c r="T533" s="96">
        <f t="shared" si="33"/>
        <v>1.4661</v>
      </c>
      <c r="U533" s="96">
        <f t="shared" si="34"/>
        <v>16.2</v>
      </c>
      <c r="V533" s="93">
        <v>0.75</v>
      </c>
      <c r="W533" s="97">
        <f t="shared" si="35"/>
        <v>16.95</v>
      </c>
    </row>
    <row r="534" spans="1:23" x14ac:dyDescent="0.25">
      <c r="A534" s="61" t="s">
        <v>627</v>
      </c>
      <c r="B534" s="91">
        <v>42014</v>
      </c>
      <c r="C534" s="92" t="s">
        <v>1858</v>
      </c>
      <c r="D534" s="92" t="s">
        <v>1461</v>
      </c>
      <c r="E534" s="92" t="s">
        <v>1199</v>
      </c>
      <c r="F534" s="92" t="s">
        <v>1254</v>
      </c>
      <c r="G534" s="92" t="s">
        <v>1203</v>
      </c>
      <c r="H534" s="92" t="s">
        <v>1255</v>
      </c>
      <c r="I534" s="92" t="s">
        <v>1237</v>
      </c>
      <c r="J534" s="92" t="s">
        <v>1338</v>
      </c>
      <c r="K534" s="92" t="s">
        <v>1243</v>
      </c>
      <c r="L534" s="92" t="s">
        <v>1260</v>
      </c>
      <c r="M534" s="92" t="s">
        <v>1241</v>
      </c>
      <c r="N534" s="91">
        <v>42016</v>
      </c>
      <c r="O534" s="93">
        <v>13.88</v>
      </c>
      <c r="P534" s="93">
        <v>22.38</v>
      </c>
      <c r="Q534" s="94">
        <v>50</v>
      </c>
      <c r="R534" s="93">
        <f t="shared" si="32"/>
        <v>1119</v>
      </c>
      <c r="S534" s="95">
        <v>7.0000000000000007E-2</v>
      </c>
      <c r="T534" s="96">
        <f t="shared" si="33"/>
        <v>78.330000000000013</v>
      </c>
      <c r="U534" s="96">
        <f t="shared" si="34"/>
        <v>1118.93</v>
      </c>
      <c r="V534" s="93">
        <v>15.1</v>
      </c>
      <c r="W534" s="97">
        <f t="shared" si="35"/>
        <v>1134.03</v>
      </c>
    </row>
    <row r="535" spans="1:23" x14ac:dyDescent="0.25">
      <c r="A535" s="61" t="s">
        <v>628</v>
      </c>
      <c r="B535" s="91">
        <v>42014</v>
      </c>
      <c r="C535" s="92" t="s">
        <v>1523</v>
      </c>
      <c r="D535" s="92" t="s">
        <v>1281</v>
      </c>
      <c r="E535" s="92" t="s">
        <v>1199</v>
      </c>
      <c r="F535" s="92" t="s">
        <v>1254</v>
      </c>
      <c r="G535" s="92" t="s">
        <v>1202</v>
      </c>
      <c r="H535" s="92" t="s">
        <v>1274</v>
      </c>
      <c r="I535" s="92" t="s">
        <v>1248</v>
      </c>
      <c r="J535" s="92" t="s">
        <v>1266</v>
      </c>
      <c r="K535" s="92" t="s">
        <v>1243</v>
      </c>
      <c r="L535" s="92" t="s">
        <v>1244</v>
      </c>
      <c r="M535" s="92" t="s">
        <v>1241</v>
      </c>
      <c r="N535" s="91">
        <v>42014</v>
      </c>
      <c r="O535" s="93">
        <v>1.31</v>
      </c>
      <c r="P535" s="93">
        <v>2.84</v>
      </c>
      <c r="Q535" s="94">
        <v>21</v>
      </c>
      <c r="R535" s="93">
        <f t="shared" si="32"/>
        <v>59.64</v>
      </c>
      <c r="S535" s="95">
        <v>0</v>
      </c>
      <c r="T535" s="96">
        <f t="shared" si="33"/>
        <v>0</v>
      </c>
      <c r="U535" s="96">
        <f t="shared" si="34"/>
        <v>59.64</v>
      </c>
      <c r="V535" s="93">
        <v>0.93</v>
      </c>
      <c r="W535" s="97">
        <f t="shared" si="35"/>
        <v>60.57</v>
      </c>
    </row>
    <row r="536" spans="1:23" x14ac:dyDescent="0.25">
      <c r="A536" s="61" t="s">
        <v>629</v>
      </c>
      <c r="B536" s="91">
        <v>42015</v>
      </c>
      <c r="C536" s="92" t="s">
        <v>1859</v>
      </c>
      <c r="D536" s="92" t="s">
        <v>1316</v>
      </c>
      <c r="E536" s="92" t="s">
        <v>1199</v>
      </c>
      <c r="F536" s="92" t="s">
        <v>1254</v>
      </c>
      <c r="G536" s="92" t="s">
        <v>1200</v>
      </c>
      <c r="H536" s="92" t="s">
        <v>1274</v>
      </c>
      <c r="I536" s="92" t="s">
        <v>1256</v>
      </c>
      <c r="J536" s="92" t="s">
        <v>1392</v>
      </c>
      <c r="K536" s="92" t="s">
        <v>1239</v>
      </c>
      <c r="L536" s="92" t="s">
        <v>1240</v>
      </c>
      <c r="M536" s="92" t="s">
        <v>1241</v>
      </c>
      <c r="N536" s="91">
        <v>42016</v>
      </c>
      <c r="O536" s="93">
        <v>20.18</v>
      </c>
      <c r="P536" s="93">
        <v>35.409999999999997</v>
      </c>
      <c r="Q536" s="94">
        <v>1</v>
      </c>
      <c r="R536" s="93">
        <f t="shared" si="32"/>
        <v>35.409999999999997</v>
      </c>
      <c r="S536" s="95">
        <v>0</v>
      </c>
      <c r="T536" s="96">
        <f t="shared" si="33"/>
        <v>0</v>
      </c>
      <c r="U536" s="96">
        <f t="shared" si="34"/>
        <v>35.409999999999997</v>
      </c>
      <c r="V536" s="93">
        <v>1.99</v>
      </c>
      <c r="W536" s="97">
        <f t="shared" si="35"/>
        <v>37.4</v>
      </c>
    </row>
    <row r="537" spans="1:23" x14ac:dyDescent="0.25">
      <c r="A537" s="61" t="s">
        <v>630</v>
      </c>
      <c r="B537" s="91">
        <v>42015</v>
      </c>
      <c r="C537" s="92" t="s">
        <v>1721</v>
      </c>
      <c r="D537" s="92" t="s">
        <v>1463</v>
      </c>
      <c r="E537" s="92" t="s">
        <v>1198</v>
      </c>
      <c r="F537" s="92" t="s">
        <v>1235</v>
      </c>
      <c r="G537" s="92" t="s">
        <v>1203</v>
      </c>
      <c r="H537" s="92" t="s">
        <v>1263</v>
      </c>
      <c r="I537" s="92" t="s">
        <v>1256</v>
      </c>
      <c r="J537" s="92" t="s">
        <v>1416</v>
      </c>
      <c r="K537" s="92" t="s">
        <v>1243</v>
      </c>
      <c r="L537" s="92" t="s">
        <v>1244</v>
      </c>
      <c r="M537" s="92" t="s">
        <v>1241</v>
      </c>
      <c r="N537" s="91">
        <v>42017</v>
      </c>
      <c r="O537" s="93">
        <v>0.9</v>
      </c>
      <c r="P537" s="93">
        <v>2.1</v>
      </c>
      <c r="Q537" s="94">
        <v>23</v>
      </c>
      <c r="R537" s="93">
        <f t="shared" si="32"/>
        <v>48.300000000000004</v>
      </c>
      <c r="S537" s="95">
        <v>0.06</v>
      </c>
      <c r="T537" s="96">
        <f t="shared" si="33"/>
        <v>2.8980000000000001</v>
      </c>
      <c r="U537" s="96">
        <f t="shared" si="34"/>
        <v>48.24</v>
      </c>
      <c r="V537" s="93">
        <v>0.7</v>
      </c>
      <c r="W537" s="97">
        <f t="shared" si="35"/>
        <v>48.940000000000005</v>
      </c>
    </row>
    <row r="538" spans="1:23" x14ac:dyDescent="0.25">
      <c r="A538" s="61" t="s">
        <v>631</v>
      </c>
      <c r="B538" s="91">
        <v>42016</v>
      </c>
      <c r="C538" s="92" t="s">
        <v>1860</v>
      </c>
      <c r="D538" s="92" t="s">
        <v>1285</v>
      </c>
      <c r="E538" s="92" t="s">
        <v>1198</v>
      </c>
      <c r="F538" s="92" t="s">
        <v>1235</v>
      </c>
      <c r="G538" s="92" t="s">
        <v>1200</v>
      </c>
      <c r="H538" s="92" t="s">
        <v>1286</v>
      </c>
      <c r="I538" s="92" t="s">
        <v>1256</v>
      </c>
      <c r="J538" s="92" t="s">
        <v>1456</v>
      </c>
      <c r="K538" s="92" t="s">
        <v>1243</v>
      </c>
      <c r="L538" s="92" t="s">
        <v>1260</v>
      </c>
      <c r="M538" s="92" t="s">
        <v>1241</v>
      </c>
      <c r="N538" s="91">
        <v>42018</v>
      </c>
      <c r="O538" s="93">
        <v>3.52</v>
      </c>
      <c r="P538" s="93">
        <v>5.68</v>
      </c>
      <c r="Q538" s="94">
        <v>18</v>
      </c>
      <c r="R538" s="93">
        <f t="shared" si="32"/>
        <v>102.24</v>
      </c>
      <c r="S538" s="95">
        <v>0.06</v>
      </c>
      <c r="T538" s="96">
        <f t="shared" si="33"/>
        <v>6.1343999999999994</v>
      </c>
      <c r="U538" s="96">
        <f t="shared" si="34"/>
        <v>102.17999999999999</v>
      </c>
      <c r="V538" s="93">
        <v>1.39</v>
      </c>
      <c r="W538" s="97">
        <f t="shared" si="35"/>
        <v>103.57</v>
      </c>
    </row>
    <row r="539" spans="1:23" x14ac:dyDescent="0.25">
      <c r="A539" s="61" t="s">
        <v>632</v>
      </c>
      <c r="B539" s="91">
        <v>42016</v>
      </c>
      <c r="C539" s="92" t="s">
        <v>1493</v>
      </c>
      <c r="D539" s="92" t="s">
        <v>1494</v>
      </c>
      <c r="E539" s="92" t="s">
        <v>1198</v>
      </c>
      <c r="F539" s="92" t="s">
        <v>1235</v>
      </c>
      <c r="G539" s="92" t="s">
        <v>1202</v>
      </c>
      <c r="H539" s="92" t="s">
        <v>1236</v>
      </c>
      <c r="I539" s="92" t="s">
        <v>1264</v>
      </c>
      <c r="J539" s="92" t="s">
        <v>1539</v>
      </c>
      <c r="K539" s="92" t="s">
        <v>1243</v>
      </c>
      <c r="L539" s="92" t="s">
        <v>1244</v>
      </c>
      <c r="M539" s="92" t="s">
        <v>1241</v>
      </c>
      <c r="N539" s="91">
        <v>42017</v>
      </c>
      <c r="O539" s="93">
        <v>2.9</v>
      </c>
      <c r="P539" s="93">
        <v>4.76</v>
      </c>
      <c r="Q539" s="94">
        <v>42</v>
      </c>
      <c r="R539" s="93">
        <f t="shared" si="32"/>
        <v>199.92</v>
      </c>
      <c r="S539" s="95">
        <v>7.0000000000000007E-2</v>
      </c>
      <c r="T539" s="96">
        <f t="shared" si="33"/>
        <v>13.994400000000001</v>
      </c>
      <c r="U539" s="96">
        <f t="shared" si="34"/>
        <v>199.85</v>
      </c>
      <c r="V539" s="93">
        <v>0.88</v>
      </c>
      <c r="W539" s="97">
        <f t="shared" si="35"/>
        <v>200.73</v>
      </c>
    </row>
    <row r="540" spans="1:23" x14ac:dyDescent="0.25">
      <c r="A540" s="61" t="s">
        <v>633</v>
      </c>
      <c r="B540" s="91">
        <v>42017</v>
      </c>
      <c r="C540" s="92" t="s">
        <v>1272</v>
      </c>
      <c r="D540" s="92" t="s">
        <v>1273</v>
      </c>
      <c r="E540" s="92" t="s">
        <v>1199</v>
      </c>
      <c r="F540" s="92" t="s">
        <v>1254</v>
      </c>
      <c r="G540" s="92" t="s">
        <v>1202</v>
      </c>
      <c r="H540" s="92" t="s">
        <v>1274</v>
      </c>
      <c r="I540" s="92" t="s">
        <v>1317</v>
      </c>
      <c r="J540" s="92" t="s">
        <v>1853</v>
      </c>
      <c r="K540" s="92" t="s">
        <v>1243</v>
      </c>
      <c r="L540" s="92" t="s">
        <v>1240</v>
      </c>
      <c r="M540" s="92" t="s">
        <v>1241</v>
      </c>
      <c r="N540" s="91">
        <v>42018</v>
      </c>
      <c r="O540" s="93">
        <v>2.87</v>
      </c>
      <c r="P540" s="93">
        <v>6.84</v>
      </c>
      <c r="Q540" s="94">
        <v>26</v>
      </c>
      <c r="R540" s="93">
        <f t="shared" si="32"/>
        <v>177.84</v>
      </c>
      <c r="S540" s="95">
        <v>0.08</v>
      </c>
      <c r="T540" s="96">
        <f t="shared" si="33"/>
        <v>14.2272</v>
      </c>
      <c r="U540" s="96">
        <f t="shared" si="34"/>
        <v>177.76</v>
      </c>
      <c r="V540" s="93">
        <v>4.42</v>
      </c>
      <c r="W540" s="97">
        <f t="shared" si="35"/>
        <v>182.17999999999998</v>
      </c>
    </row>
    <row r="541" spans="1:23" x14ac:dyDescent="0.25">
      <c r="A541" s="61" t="s">
        <v>634</v>
      </c>
      <c r="B541" s="91">
        <v>42017</v>
      </c>
      <c r="C541" s="92" t="s">
        <v>1858</v>
      </c>
      <c r="D541" s="92" t="s">
        <v>1461</v>
      </c>
      <c r="E541" s="92" t="s">
        <v>1199</v>
      </c>
      <c r="F541" s="92" t="s">
        <v>1254</v>
      </c>
      <c r="G541" s="92" t="s">
        <v>1203</v>
      </c>
      <c r="H541" s="92" t="s">
        <v>1255</v>
      </c>
      <c r="I541" s="92" t="s">
        <v>1256</v>
      </c>
      <c r="J541" s="92" t="s">
        <v>1416</v>
      </c>
      <c r="K541" s="92" t="s">
        <v>1243</v>
      </c>
      <c r="L541" s="92" t="s">
        <v>1244</v>
      </c>
      <c r="M541" s="92" t="s">
        <v>1241</v>
      </c>
      <c r="N541" s="91">
        <v>42019</v>
      </c>
      <c r="O541" s="93">
        <v>0.9</v>
      </c>
      <c r="P541" s="93">
        <v>2.1</v>
      </c>
      <c r="Q541" s="94">
        <v>34</v>
      </c>
      <c r="R541" s="93">
        <f t="shared" si="32"/>
        <v>71.400000000000006</v>
      </c>
      <c r="S541" s="95">
        <v>0.02</v>
      </c>
      <c r="T541" s="96">
        <f t="shared" si="33"/>
        <v>1.4280000000000002</v>
      </c>
      <c r="U541" s="96">
        <f t="shared" si="34"/>
        <v>71.38000000000001</v>
      </c>
      <c r="V541" s="93">
        <v>0.7</v>
      </c>
      <c r="W541" s="97">
        <f t="shared" si="35"/>
        <v>72.080000000000013</v>
      </c>
    </row>
    <row r="542" spans="1:23" x14ac:dyDescent="0.25">
      <c r="A542" s="61" t="s">
        <v>635</v>
      </c>
      <c r="B542" s="91">
        <v>42018</v>
      </c>
      <c r="C542" s="92" t="s">
        <v>1666</v>
      </c>
      <c r="D542" s="92" t="s">
        <v>1425</v>
      </c>
      <c r="E542" s="92" t="s">
        <v>1198</v>
      </c>
      <c r="F542" s="92" t="s">
        <v>1235</v>
      </c>
      <c r="G542" s="92" t="s">
        <v>1200</v>
      </c>
      <c r="H542" s="92" t="s">
        <v>1409</v>
      </c>
      <c r="I542" s="92" t="s">
        <v>1264</v>
      </c>
      <c r="J542" s="92" t="s">
        <v>1338</v>
      </c>
      <c r="K542" s="92" t="s">
        <v>1243</v>
      </c>
      <c r="L542" s="92" t="s">
        <v>1260</v>
      </c>
      <c r="M542" s="92" t="s">
        <v>1241</v>
      </c>
      <c r="N542" s="91">
        <v>42019</v>
      </c>
      <c r="O542" s="93">
        <v>13.88</v>
      </c>
      <c r="P542" s="93">
        <v>22.38</v>
      </c>
      <c r="Q542" s="94">
        <v>39</v>
      </c>
      <c r="R542" s="93">
        <f t="shared" si="32"/>
        <v>872.81999999999994</v>
      </c>
      <c r="S542" s="95">
        <v>7.0000000000000007E-2</v>
      </c>
      <c r="T542" s="96">
        <f t="shared" si="33"/>
        <v>61.0974</v>
      </c>
      <c r="U542" s="96">
        <f t="shared" si="34"/>
        <v>872.74999999999989</v>
      </c>
      <c r="V542" s="93">
        <v>15.1</v>
      </c>
      <c r="W542" s="97">
        <f t="shared" si="35"/>
        <v>887.84999999999991</v>
      </c>
    </row>
    <row r="543" spans="1:23" x14ac:dyDescent="0.25">
      <c r="A543" s="61" t="s">
        <v>636</v>
      </c>
      <c r="B543" s="91">
        <v>42019</v>
      </c>
      <c r="C543" s="92" t="s">
        <v>1861</v>
      </c>
      <c r="D543" s="92" t="s">
        <v>1330</v>
      </c>
      <c r="E543" s="92" t="s">
        <v>1199</v>
      </c>
      <c r="F543" s="92" t="s">
        <v>1254</v>
      </c>
      <c r="G543" s="92" t="s">
        <v>1200</v>
      </c>
      <c r="H543" s="92" t="s">
        <v>1255</v>
      </c>
      <c r="I543" s="92" t="s">
        <v>1264</v>
      </c>
      <c r="J543" s="92" t="s">
        <v>1773</v>
      </c>
      <c r="K543" s="92" t="s">
        <v>1243</v>
      </c>
      <c r="L543" s="92" t="s">
        <v>1260</v>
      </c>
      <c r="M543" s="92" t="s">
        <v>1241</v>
      </c>
      <c r="N543" s="91">
        <v>42021</v>
      </c>
      <c r="O543" s="93">
        <v>1.84</v>
      </c>
      <c r="P543" s="93">
        <v>2.88</v>
      </c>
      <c r="Q543" s="94">
        <v>27</v>
      </c>
      <c r="R543" s="93">
        <f t="shared" si="32"/>
        <v>77.759999999999991</v>
      </c>
      <c r="S543" s="95">
        <v>0.06</v>
      </c>
      <c r="T543" s="96">
        <f t="shared" si="33"/>
        <v>4.6655999999999995</v>
      </c>
      <c r="U543" s="96">
        <f t="shared" si="34"/>
        <v>77.699999999999989</v>
      </c>
      <c r="V543" s="93">
        <v>0.99</v>
      </c>
      <c r="W543" s="97">
        <f t="shared" si="35"/>
        <v>78.689999999999984</v>
      </c>
    </row>
    <row r="544" spans="1:23" x14ac:dyDescent="0.25">
      <c r="A544" s="61" t="s">
        <v>637</v>
      </c>
      <c r="B544" s="91">
        <v>42020</v>
      </c>
      <c r="C544" s="92" t="s">
        <v>1786</v>
      </c>
      <c r="D544" s="92" t="s">
        <v>1355</v>
      </c>
      <c r="E544" s="92" t="s">
        <v>1199</v>
      </c>
      <c r="F544" s="92" t="s">
        <v>1254</v>
      </c>
      <c r="G544" s="92" t="s">
        <v>1200</v>
      </c>
      <c r="H544" s="92" t="s">
        <v>1274</v>
      </c>
      <c r="I544" s="92" t="s">
        <v>1317</v>
      </c>
      <c r="J544" s="92" t="s">
        <v>1736</v>
      </c>
      <c r="K544" s="92" t="s">
        <v>1239</v>
      </c>
      <c r="L544" s="92" t="s">
        <v>1319</v>
      </c>
      <c r="M544" s="92" t="s">
        <v>1320</v>
      </c>
      <c r="N544" s="91">
        <v>42021</v>
      </c>
      <c r="O544" s="93">
        <v>315.61</v>
      </c>
      <c r="P544" s="93">
        <v>500.97</v>
      </c>
      <c r="Q544" s="94">
        <v>37</v>
      </c>
      <c r="R544" s="93">
        <f t="shared" si="32"/>
        <v>18535.89</v>
      </c>
      <c r="S544" s="95">
        <v>0</v>
      </c>
      <c r="T544" s="96">
        <f t="shared" si="33"/>
        <v>0</v>
      </c>
      <c r="U544" s="96">
        <f t="shared" si="34"/>
        <v>18535.89</v>
      </c>
      <c r="V544" s="93">
        <v>69.3</v>
      </c>
      <c r="W544" s="97">
        <f t="shared" si="35"/>
        <v>18605.189999999999</v>
      </c>
    </row>
    <row r="545" spans="1:23" x14ac:dyDescent="0.25">
      <c r="A545" s="61" t="s">
        <v>638</v>
      </c>
      <c r="B545" s="91">
        <v>42021</v>
      </c>
      <c r="C545" s="92" t="s">
        <v>1438</v>
      </c>
      <c r="D545" s="92" t="s">
        <v>1439</v>
      </c>
      <c r="E545" s="92" t="s">
        <v>1198</v>
      </c>
      <c r="F545" s="92" t="s">
        <v>1235</v>
      </c>
      <c r="G545" s="92" t="s">
        <v>1203</v>
      </c>
      <c r="H545" s="92" t="s">
        <v>1440</v>
      </c>
      <c r="I545" s="92" t="s">
        <v>1317</v>
      </c>
      <c r="J545" s="92" t="s">
        <v>1238</v>
      </c>
      <c r="K545" s="92" t="s">
        <v>1239</v>
      </c>
      <c r="L545" s="92" t="s">
        <v>1240</v>
      </c>
      <c r="M545" s="92" t="s">
        <v>1241</v>
      </c>
      <c r="N545" s="91">
        <v>42022</v>
      </c>
      <c r="O545" s="93">
        <v>1.87</v>
      </c>
      <c r="P545" s="93">
        <v>8.1199999999999992</v>
      </c>
      <c r="Q545" s="94">
        <v>47</v>
      </c>
      <c r="R545" s="93">
        <f t="shared" si="32"/>
        <v>381.64</v>
      </c>
      <c r="S545" s="95">
        <v>7.0000000000000007E-2</v>
      </c>
      <c r="T545" s="96">
        <f t="shared" si="33"/>
        <v>26.7148</v>
      </c>
      <c r="U545" s="96">
        <f t="shared" si="34"/>
        <v>381.57</v>
      </c>
      <c r="V545" s="93">
        <v>2.83</v>
      </c>
      <c r="W545" s="97">
        <f t="shared" si="35"/>
        <v>384.4</v>
      </c>
    </row>
    <row r="546" spans="1:23" x14ac:dyDescent="0.25">
      <c r="A546" s="61" t="s">
        <v>639</v>
      </c>
      <c r="B546" s="91">
        <v>42021</v>
      </c>
      <c r="C546" s="92" t="s">
        <v>1862</v>
      </c>
      <c r="D546" s="92" t="s">
        <v>1312</v>
      </c>
      <c r="E546" s="92" t="s">
        <v>1198</v>
      </c>
      <c r="F546" s="92" t="s">
        <v>1235</v>
      </c>
      <c r="G546" s="92" t="s">
        <v>1203</v>
      </c>
      <c r="H546" s="92" t="s">
        <v>1313</v>
      </c>
      <c r="I546" s="92" t="s">
        <v>1237</v>
      </c>
      <c r="J546" s="92" t="s">
        <v>1421</v>
      </c>
      <c r="K546" s="92" t="s">
        <v>1243</v>
      </c>
      <c r="L546" s="92" t="s">
        <v>1260</v>
      </c>
      <c r="M546" s="92" t="s">
        <v>1250</v>
      </c>
      <c r="N546" s="91">
        <v>42023</v>
      </c>
      <c r="O546" s="93">
        <v>99.39</v>
      </c>
      <c r="P546" s="93">
        <v>162.93</v>
      </c>
      <c r="Q546" s="94">
        <v>48</v>
      </c>
      <c r="R546" s="93">
        <f t="shared" si="32"/>
        <v>7820.64</v>
      </c>
      <c r="S546" s="95">
        <v>0.04</v>
      </c>
      <c r="T546" s="96">
        <f t="shared" si="33"/>
        <v>312.82560000000001</v>
      </c>
      <c r="U546" s="96">
        <f t="shared" si="34"/>
        <v>7820.6</v>
      </c>
      <c r="V546" s="93">
        <v>19.989999999999998</v>
      </c>
      <c r="W546" s="97">
        <f t="shared" si="35"/>
        <v>7840.59</v>
      </c>
    </row>
    <row r="547" spans="1:23" x14ac:dyDescent="0.25">
      <c r="A547" s="61" t="s">
        <v>640</v>
      </c>
      <c r="B547" s="91">
        <v>42025</v>
      </c>
      <c r="C547" s="92" t="s">
        <v>1863</v>
      </c>
      <c r="D547" s="92" t="s">
        <v>1451</v>
      </c>
      <c r="E547" s="92" t="s">
        <v>1198</v>
      </c>
      <c r="F547" s="92" t="s">
        <v>1235</v>
      </c>
      <c r="G547" s="92" t="s">
        <v>1201</v>
      </c>
      <c r="H547" s="92" t="s">
        <v>1291</v>
      </c>
      <c r="I547" s="92" t="s">
        <v>1317</v>
      </c>
      <c r="J547" s="92" t="s">
        <v>1515</v>
      </c>
      <c r="K547" s="92" t="s">
        <v>1243</v>
      </c>
      <c r="L547" s="92" t="s">
        <v>1260</v>
      </c>
      <c r="M547" s="92" t="s">
        <v>1241</v>
      </c>
      <c r="N547" s="91">
        <v>42027</v>
      </c>
      <c r="O547" s="93">
        <v>2.25</v>
      </c>
      <c r="P547" s="93">
        <v>3.69</v>
      </c>
      <c r="Q547" s="94">
        <v>13</v>
      </c>
      <c r="R547" s="93">
        <f t="shared" si="32"/>
        <v>47.97</v>
      </c>
      <c r="S547" s="95">
        <v>0.05</v>
      </c>
      <c r="T547" s="96">
        <f t="shared" si="33"/>
        <v>2.3985000000000003</v>
      </c>
      <c r="U547" s="96">
        <f t="shared" si="34"/>
        <v>47.92</v>
      </c>
      <c r="V547" s="93">
        <v>2.5</v>
      </c>
      <c r="W547" s="97">
        <f t="shared" si="35"/>
        <v>50.42</v>
      </c>
    </row>
    <row r="548" spans="1:23" x14ac:dyDescent="0.25">
      <c r="A548" s="61" t="s">
        <v>641</v>
      </c>
      <c r="B548" s="91">
        <v>42027</v>
      </c>
      <c r="C548" s="92" t="s">
        <v>1261</v>
      </c>
      <c r="D548" s="92" t="s">
        <v>1262</v>
      </c>
      <c r="E548" s="92" t="s">
        <v>1198</v>
      </c>
      <c r="F548" s="92" t="s">
        <v>1235</v>
      </c>
      <c r="G548" s="92" t="s">
        <v>1202</v>
      </c>
      <c r="H548" s="92" t="s">
        <v>1263</v>
      </c>
      <c r="I548" s="92" t="s">
        <v>1256</v>
      </c>
      <c r="J548" s="92" t="s">
        <v>1410</v>
      </c>
      <c r="K548" s="92" t="s">
        <v>1243</v>
      </c>
      <c r="L548" s="92" t="s">
        <v>1244</v>
      </c>
      <c r="M548" s="92" t="s">
        <v>1241</v>
      </c>
      <c r="N548" s="91">
        <v>42029</v>
      </c>
      <c r="O548" s="93">
        <v>2.41</v>
      </c>
      <c r="P548" s="93">
        <v>3.71</v>
      </c>
      <c r="Q548" s="94">
        <v>14</v>
      </c>
      <c r="R548" s="93">
        <f t="shared" si="32"/>
        <v>51.94</v>
      </c>
      <c r="S548" s="95">
        <v>0.09</v>
      </c>
      <c r="T548" s="96">
        <f t="shared" si="33"/>
        <v>4.6745999999999999</v>
      </c>
      <c r="U548" s="96">
        <f t="shared" si="34"/>
        <v>51.849999999999994</v>
      </c>
      <c r="V548" s="93">
        <v>1.93</v>
      </c>
      <c r="W548" s="97">
        <f t="shared" si="35"/>
        <v>53.779999999999994</v>
      </c>
    </row>
    <row r="549" spans="1:23" x14ac:dyDescent="0.25">
      <c r="A549" s="61" t="s">
        <v>642</v>
      </c>
      <c r="B549" s="91">
        <v>42030</v>
      </c>
      <c r="C549" s="92" t="s">
        <v>1638</v>
      </c>
      <c r="D549" s="92" t="s">
        <v>1246</v>
      </c>
      <c r="E549" s="92" t="s">
        <v>1198</v>
      </c>
      <c r="F549" s="92" t="s">
        <v>1235</v>
      </c>
      <c r="G549" s="92" t="s">
        <v>1202</v>
      </c>
      <c r="H549" s="92" t="s">
        <v>1247</v>
      </c>
      <c r="I549" s="92" t="s">
        <v>1256</v>
      </c>
      <c r="J549" s="92" t="s">
        <v>1393</v>
      </c>
      <c r="K549" s="92" t="s">
        <v>1243</v>
      </c>
      <c r="L549" s="92" t="s">
        <v>1244</v>
      </c>
      <c r="M549" s="92" t="s">
        <v>1241</v>
      </c>
      <c r="N549" s="91">
        <v>42032</v>
      </c>
      <c r="O549" s="93">
        <v>0.71</v>
      </c>
      <c r="P549" s="93">
        <v>1.1399999999999999</v>
      </c>
      <c r="Q549" s="94">
        <v>42</v>
      </c>
      <c r="R549" s="93">
        <f t="shared" si="32"/>
        <v>47.879999999999995</v>
      </c>
      <c r="S549" s="95">
        <v>0.06</v>
      </c>
      <c r="T549" s="96">
        <f t="shared" si="33"/>
        <v>2.8727999999999998</v>
      </c>
      <c r="U549" s="96">
        <f t="shared" si="34"/>
        <v>47.819999999999993</v>
      </c>
      <c r="V549" s="93">
        <v>0.7</v>
      </c>
      <c r="W549" s="97">
        <f t="shared" si="35"/>
        <v>48.519999999999996</v>
      </c>
    </row>
    <row r="550" spans="1:23" x14ac:dyDescent="0.25">
      <c r="A550" s="61" t="s">
        <v>643</v>
      </c>
      <c r="B550" s="91">
        <v>42032</v>
      </c>
      <c r="C550" s="92" t="s">
        <v>1661</v>
      </c>
      <c r="D550" s="92" t="s">
        <v>1458</v>
      </c>
      <c r="E550" s="92" t="s">
        <v>1198</v>
      </c>
      <c r="F550" s="92" t="s">
        <v>1235</v>
      </c>
      <c r="G550" s="92" t="s">
        <v>1201</v>
      </c>
      <c r="H550" s="92" t="s">
        <v>1404</v>
      </c>
      <c r="I550" s="92" t="s">
        <v>1237</v>
      </c>
      <c r="J550" s="92" t="s">
        <v>1373</v>
      </c>
      <c r="K550" s="92" t="s">
        <v>1243</v>
      </c>
      <c r="L550" s="92" t="s">
        <v>1260</v>
      </c>
      <c r="M550" s="92" t="s">
        <v>1241</v>
      </c>
      <c r="N550" s="91">
        <v>42033</v>
      </c>
      <c r="O550" s="93">
        <v>2.29</v>
      </c>
      <c r="P550" s="93">
        <v>3.69</v>
      </c>
      <c r="Q550" s="94">
        <v>4</v>
      </c>
      <c r="R550" s="93">
        <f t="shared" si="32"/>
        <v>14.76</v>
      </c>
      <c r="S550" s="95">
        <v>0.01</v>
      </c>
      <c r="T550" s="96">
        <f t="shared" si="33"/>
        <v>0.14760000000000001</v>
      </c>
      <c r="U550" s="96">
        <f t="shared" si="34"/>
        <v>14.75</v>
      </c>
      <c r="V550" s="93">
        <v>0.5</v>
      </c>
      <c r="W550" s="97">
        <f t="shared" si="35"/>
        <v>15.25</v>
      </c>
    </row>
    <row r="551" spans="1:23" x14ac:dyDescent="0.25">
      <c r="A551" s="61" t="s">
        <v>644</v>
      </c>
      <c r="B551" s="91">
        <v>42034</v>
      </c>
      <c r="C551" s="92" t="s">
        <v>1576</v>
      </c>
      <c r="D551" s="92" t="s">
        <v>1577</v>
      </c>
      <c r="E551" s="92" t="s">
        <v>1198</v>
      </c>
      <c r="F551" s="92" t="s">
        <v>1235</v>
      </c>
      <c r="G551" s="92" t="s">
        <v>1200</v>
      </c>
      <c r="H551" s="92" t="s">
        <v>1404</v>
      </c>
      <c r="I551" s="92" t="s">
        <v>1256</v>
      </c>
      <c r="J551" s="92" t="s">
        <v>1391</v>
      </c>
      <c r="K551" s="92" t="s">
        <v>1239</v>
      </c>
      <c r="L551" s="92" t="s">
        <v>1260</v>
      </c>
      <c r="M551" s="92" t="s">
        <v>1241</v>
      </c>
      <c r="N551" s="91">
        <v>42035</v>
      </c>
      <c r="O551" s="93">
        <v>32.020000000000003</v>
      </c>
      <c r="P551" s="93">
        <v>152.47999999999999</v>
      </c>
      <c r="Q551" s="94">
        <v>21</v>
      </c>
      <c r="R551" s="93">
        <f t="shared" si="32"/>
        <v>3202.08</v>
      </c>
      <c r="S551" s="95">
        <v>0.03</v>
      </c>
      <c r="T551" s="96">
        <f t="shared" si="33"/>
        <v>96.062399999999997</v>
      </c>
      <c r="U551" s="96">
        <f t="shared" si="34"/>
        <v>3202.0499999999997</v>
      </c>
      <c r="V551" s="93">
        <v>4</v>
      </c>
      <c r="W551" s="97">
        <f t="shared" si="35"/>
        <v>3206.0499999999997</v>
      </c>
    </row>
    <row r="552" spans="1:23" x14ac:dyDescent="0.25">
      <c r="A552" s="61" t="s">
        <v>645</v>
      </c>
      <c r="B552" s="91">
        <v>42035</v>
      </c>
      <c r="C552" s="92" t="s">
        <v>1722</v>
      </c>
      <c r="D552" s="92" t="s">
        <v>1636</v>
      </c>
      <c r="E552" s="92" t="s">
        <v>1198</v>
      </c>
      <c r="F552" s="92" t="s">
        <v>1235</v>
      </c>
      <c r="G552" s="92" t="s">
        <v>1200</v>
      </c>
      <c r="H552" s="92" t="s">
        <v>1409</v>
      </c>
      <c r="I552" s="92" t="s">
        <v>1317</v>
      </c>
      <c r="J552" s="92" t="s">
        <v>1318</v>
      </c>
      <c r="K552" s="92" t="s">
        <v>1239</v>
      </c>
      <c r="L552" s="92" t="s">
        <v>1319</v>
      </c>
      <c r="M552" s="92" t="s">
        <v>1320</v>
      </c>
      <c r="N552" s="91">
        <v>42037</v>
      </c>
      <c r="O552" s="93">
        <v>278.99</v>
      </c>
      <c r="P552" s="93">
        <v>449.99</v>
      </c>
      <c r="Q552" s="94">
        <v>25</v>
      </c>
      <c r="R552" s="93">
        <f t="shared" si="32"/>
        <v>11249.75</v>
      </c>
      <c r="S552" s="95">
        <v>0.01</v>
      </c>
      <c r="T552" s="96">
        <f t="shared" si="33"/>
        <v>112.4975</v>
      </c>
      <c r="U552" s="96">
        <f t="shared" si="34"/>
        <v>11249.74</v>
      </c>
      <c r="V552" s="93">
        <v>49</v>
      </c>
      <c r="W552" s="97">
        <f t="shared" si="35"/>
        <v>11298.74</v>
      </c>
    </row>
    <row r="553" spans="1:23" x14ac:dyDescent="0.25">
      <c r="A553" s="61" t="s">
        <v>646</v>
      </c>
      <c r="B553" s="91">
        <v>42036</v>
      </c>
      <c r="C553" s="92" t="s">
        <v>1864</v>
      </c>
      <c r="D553" s="92" t="s">
        <v>1425</v>
      </c>
      <c r="E553" s="92" t="s">
        <v>1198</v>
      </c>
      <c r="F553" s="92" t="s">
        <v>1235</v>
      </c>
      <c r="G553" s="92" t="s">
        <v>1203</v>
      </c>
      <c r="H553" s="92" t="s">
        <v>1409</v>
      </c>
      <c r="I553" s="92" t="s">
        <v>1317</v>
      </c>
      <c r="J553" s="92" t="s">
        <v>1381</v>
      </c>
      <c r="K553" s="92" t="s">
        <v>1382</v>
      </c>
      <c r="L553" s="92" t="s">
        <v>1296</v>
      </c>
      <c r="M553" s="92" t="s">
        <v>1241</v>
      </c>
      <c r="N553" s="91">
        <v>42038</v>
      </c>
      <c r="O553" s="93">
        <v>56.16</v>
      </c>
      <c r="P553" s="93">
        <v>136.97999999999999</v>
      </c>
      <c r="Q553" s="94">
        <v>2</v>
      </c>
      <c r="R553" s="93">
        <f t="shared" si="32"/>
        <v>273.95999999999998</v>
      </c>
      <c r="S553" s="95">
        <v>0.08</v>
      </c>
      <c r="T553" s="96">
        <f t="shared" si="33"/>
        <v>21.916799999999999</v>
      </c>
      <c r="U553" s="96">
        <f t="shared" si="34"/>
        <v>273.88</v>
      </c>
      <c r="V553" s="93">
        <v>24.49</v>
      </c>
      <c r="W553" s="97">
        <f t="shared" si="35"/>
        <v>298.37</v>
      </c>
    </row>
    <row r="554" spans="1:23" x14ac:dyDescent="0.25">
      <c r="A554" s="61" t="s">
        <v>647</v>
      </c>
      <c r="B554" s="91">
        <v>42036</v>
      </c>
      <c r="C554" s="92" t="s">
        <v>1307</v>
      </c>
      <c r="D554" s="92" t="s">
        <v>1308</v>
      </c>
      <c r="E554" s="92" t="s">
        <v>1198</v>
      </c>
      <c r="F554" s="92" t="s">
        <v>1235</v>
      </c>
      <c r="G554" s="92" t="s">
        <v>1202</v>
      </c>
      <c r="H554" s="92" t="s">
        <v>1247</v>
      </c>
      <c r="I554" s="92" t="s">
        <v>1264</v>
      </c>
      <c r="J554" s="92" t="s">
        <v>1586</v>
      </c>
      <c r="K554" s="92" t="s">
        <v>1243</v>
      </c>
      <c r="L554" s="92" t="s">
        <v>1260</v>
      </c>
      <c r="M554" s="92" t="s">
        <v>1241</v>
      </c>
      <c r="N554" s="91">
        <v>42038</v>
      </c>
      <c r="O554" s="93">
        <v>18.38</v>
      </c>
      <c r="P554" s="93">
        <v>29.17</v>
      </c>
      <c r="Q554" s="94">
        <v>43</v>
      </c>
      <c r="R554" s="93">
        <f t="shared" si="32"/>
        <v>1254.3100000000002</v>
      </c>
      <c r="S554" s="95">
        <v>0.05</v>
      </c>
      <c r="T554" s="96">
        <f t="shared" si="33"/>
        <v>62.715500000000013</v>
      </c>
      <c r="U554" s="96">
        <f t="shared" si="34"/>
        <v>1254.2600000000002</v>
      </c>
      <c r="V554" s="93">
        <v>6.27</v>
      </c>
      <c r="W554" s="97">
        <f t="shared" si="35"/>
        <v>1260.5300000000002</v>
      </c>
    </row>
    <row r="555" spans="1:23" x14ac:dyDescent="0.25">
      <c r="A555" s="61" t="s">
        <v>648</v>
      </c>
      <c r="B555" s="91">
        <v>42037</v>
      </c>
      <c r="C555" s="92" t="s">
        <v>1865</v>
      </c>
      <c r="D555" s="92" t="s">
        <v>1636</v>
      </c>
      <c r="E555" s="92" t="s">
        <v>1198</v>
      </c>
      <c r="F555" s="92" t="s">
        <v>1235</v>
      </c>
      <c r="G555" s="92" t="s">
        <v>1200</v>
      </c>
      <c r="H555" s="92" t="s">
        <v>1409</v>
      </c>
      <c r="I555" s="92" t="s">
        <v>1264</v>
      </c>
      <c r="J555" s="92" t="s">
        <v>1318</v>
      </c>
      <c r="K555" s="92" t="s">
        <v>1239</v>
      </c>
      <c r="L555" s="92" t="s">
        <v>1319</v>
      </c>
      <c r="M555" s="92" t="s">
        <v>1320</v>
      </c>
      <c r="N555" s="91">
        <v>42038</v>
      </c>
      <c r="O555" s="93">
        <v>278.99</v>
      </c>
      <c r="P555" s="93">
        <v>449.99</v>
      </c>
      <c r="Q555" s="94">
        <v>16</v>
      </c>
      <c r="R555" s="93">
        <f t="shared" si="32"/>
        <v>7199.84</v>
      </c>
      <c r="S555" s="95">
        <v>0.09</v>
      </c>
      <c r="T555" s="96">
        <f t="shared" si="33"/>
        <v>647.98559999999998</v>
      </c>
      <c r="U555" s="96">
        <f t="shared" si="34"/>
        <v>7199.75</v>
      </c>
      <c r="V555" s="93">
        <v>49</v>
      </c>
      <c r="W555" s="97">
        <f t="shared" si="35"/>
        <v>7248.75</v>
      </c>
    </row>
    <row r="556" spans="1:23" x14ac:dyDescent="0.25">
      <c r="A556" s="61" t="s">
        <v>649</v>
      </c>
      <c r="B556" s="91">
        <v>42038</v>
      </c>
      <c r="C556" s="92" t="s">
        <v>1866</v>
      </c>
      <c r="D556" s="92" t="s">
        <v>1439</v>
      </c>
      <c r="E556" s="92" t="s">
        <v>1198</v>
      </c>
      <c r="F556" s="92" t="s">
        <v>1235</v>
      </c>
      <c r="G556" s="92" t="s">
        <v>1201</v>
      </c>
      <c r="H556" s="92" t="s">
        <v>1440</v>
      </c>
      <c r="I556" s="92" t="s">
        <v>1317</v>
      </c>
      <c r="J556" s="92" t="s">
        <v>1257</v>
      </c>
      <c r="K556" s="92" t="s">
        <v>1239</v>
      </c>
      <c r="L556" s="92" t="s">
        <v>1258</v>
      </c>
      <c r="M556" s="92" t="s">
        <v>1241</v>
      </c>
      <c r="N556" s="91">
        <v>42041</v>
      </c>
      <c r="O556" s="93">
        <v>8.82</v>
      </c>
      <c r="P556" s="93">
        <v>20.99</v>
      </c>
      <c r="Q556" s="94">
        <v>23</v>
      </c>
      <c r="R556" s="93">
        <f t="shared" si="32"/>
        <v>482.77</v>
      </c>
      <c r="S556" s="95">
        <v>0.1</v>
      </c>
      <c r="T556" s="96">
        <f t="shared" si="33"/>
        <v>48.277000000000001</v>
      </c>
      <c r="U556" s="96">
        <f t="shared" si="34"/>
        <v>482.66999999999996</v>
      </c>
      <c r="V556" s="93">
        <v>4.8099999999999996</v>
      </c>
      <c r="W556" s="97">
        <f t="shared" si="35"/>
        <v>487.47999999999996</v>
      </c>
    </row>
    <row r="557" spans="1:23" x14ac:dyDescent="0.25">
      <c r="A557" s="61" t="s">
        <v>650</v>
      </c>
      <c r="B557" s="91">
        <v>42038</v>
      </c>
      <c r="C557" s="92" t="s">
        <v>1867</v>
      </c>
      <c r="D557" s="92" t="s">
        <v>1624</v>
      </c>
      <c r="E557" s="92" t="s">
        <v>1198</v>
      </c>
      <c r="F557" s="92" t="s">
        <v>1235</v>
      </c>
      <c r="G557" s="92" t="s">
        <v>1203</v>
      </c>
      <c r="H557" s="92" t="s">
        <v>1440</v>
      </c>
      <c r="I557" s="92" t="s">
        <v>1237</v>
      </c>
      <c r="J557" s="92" t="s">
        <v>1527</v>
      </c>
      <c r="K557" s="92" t="s">
        <v>1243</v>
      </c>
      <c r="L557" s="92" t="s">
        <v>1244</v>
      </c>
      <c r="M557" s="92" t="s">
        <v>1250</v>
      </c>
      <c r="N557" s="91">
        <v>42038</v>
      </c>
      <c r="O557" s="93">
        <v>1.76</v>
      </c>
      <c r="P557" s="93">
        <v>3.38</v>
      </c>
      <c r="Q557" s="94">
        <v>5</v>
      </c>
      <c r="R557" s="93">
        <f t="shared" si="32"/>
        <v>16.899999999999999</v>
      </c>
      <c r="S557" s="95">
        <v>0.08</v>
      </c>
      <c r="T557" s="96">
        <f t="shared" si="33"/>
        <v>1.3519999999999999</v>
      </c>
      <c r="U557" s="96">
        <f t="shared" si="34"/>
        <v>16.82</v>
      </c>
      <c r="V557" s="93">
        <v>0.85</v>
      </c>
      <c r="W557" s="97">
        <f t="shared" si="35"/>
        <v>17.670000000000002</v>
      </c>
    </row>
    <row r="558" spans="1:23" x14ac:dyDescent="0.25">
      <c r="A558" s="61" t="s">
        <v>651</v>
      </c>
      <c r="B558" s="91">
        <v>42038</v>
      </c>
      <c r="C558" s="92" t="s">
        <v>1868</v>
      </c>
      <c r="D558" s="92" t="s">
        <v>1585</v>
      </c>
      <c r="E558" s="92" t="s">
        <v>1198</v>
      </c>
      <c r="F558" s="92" t="s">
        <v>1235</v>
      </c>
      <c r="G558" s="92" t="s">
        <v>1200</v>
      </c>
      <c r="H558" s="92" t="s">
        <v>1291</v>
      </c>
      <c r="I558" s="92" t="s">
        <v>1248</v>
      </c>
      <c r="J558" s="92" t="s">
        <v>1477</v>
      </c>
      <c r="K558" s="92" t="s">
        <v>1243</v>
      </c>
      <c r="L558" s="92" t="s">
        <v>1240</v>
      </c>
      <c r="M558" s="92" t="s">
        <v>1241</v>
      </c>
      <c r="N558" s="91">
        <v>42065</v>
      </c>
      <c r="O558" s="93">
        <v>4.79</v>
      </c>
      <c r="P558" s="93">
        <v>11.97</v>
      </c>
      <c r="Q558" s="94">
        <v>17</v>
      </c>
      <c r="R558" s="93">
        <f t="shared" si="32"/>
        <v>203.49</v>
      </c>
      <c r="S558" s="95">
        <v>0.03</v>
      </c>
      <c r="T558" s="96">
        <f t="shared" si="33"/>
        <v>6.1047000000000002</v>
      </c>
      <c r="U558" s="96">
        <f t="shared" si="34"/>
        <v>203.46</v>
      </c>
      <c r="V558" s="93">
        <v>5.81</v>
      </c>
      <c r="W558" s="97">
        <f t="shared" si="35"/>
        <v>209.27</v>
      </c>
    </row>
    <row r="559" spans="1:23" x14ac:dyDescent="0.25">
      <c r="A559" s="61" t="s">
        <v>652</v>
      </c>
      <c r="B559" s="91">
        <v>42039</v>
      </c>
      <c r="C559" s="92" t="s">
        <v>1497</v>
      </c>
      <c r="D559" s="92" t="s">
        <v>1278</v>
      </c>
      <c r="E559" s="92" t="s">
        <v>1198</v>
      </c>
      <c r="F559" s="92" t="s">
        <v>1235</v>
      </c>
      <c r="G559" s="92" t="s">
        <v>1203</v>
      </c>
      <c r="H559" s="92" t="s">
        <v>1236</v>
      </c>
      <c r="I559" s="92" t="s">
        <v>1237</v>
      </c>
      <c r="J559" s="92" t="s">
        <v>1492</v>
      </c>
      <c r="K559" s="92" t="s">
        <v>1243</v>
      </c>
      <c r="L559" s="92" t="s">
        <v>1244</v>
      </c>
      <c r="M559" s="92" t="s">
        <v>1241</v>
      </c>
      <c r="N559" s="91">
        <v>42041</v>
      </c>
      <c r="O559" s="93">
        <v>21.56</v>
      </c>
      <c r="P559" s="93">
        <v>36.549999999999997</v>
      </c>
      <c r="Q559" s="94">
        <v>34</v>
      </c>
      <c r="R559" s="93">
        <f t="shared" si="32"/>
        <v>1242.6999999999998</v>
      </c>
      <c r="S559" s="95">
        <v>0.03</v>
      </c>
      <c r="T559" s="96">
        <f t="shared" si="33"/>
        <v>37.280999999999992</v>
      </c>
      <c r="U559" s="96">
        <f t="shared" si="34"/>
        <v>1242.6699999999998</v>
      </c>
      <c r="V559" s="93">
        <v>13.89</v>
      </c>
      <c r="W559" s="97">
        <f t="shared" si="35"/>
        <v>1256.56</v>
      </c>
    </row>
    <row r="560" spans="1:23" x14ac:dyDescent="0.25">
      <c r="A560" s="61" t="s">
        <v>653</v>
      </c>
      <c r="B560" s="91">
        <v>42039</v>
      </c>
      <c r="C560" s="92" t="s">
        <v>1869</v>
      </c>
      <c r="D560" s="92" t="s">
        <v>1532</v>
      </c>
      <c r="E560" s="92" t="s">
        <v>1198</v>
      </c>
      <c r="F560" s="92" t="s">
        <v>1235</v>
      </c>
      <c r="G560" s="92" t="s">
        <v>1201</v>
      </c>
      <c r="H560" s="92" t="s">
        <v>1263</v>
      </c>
      <c r="I560" s="92" t="s">
        <v>1264</v>
      </c>
      <c r="J560" s="92" t="s">
        <v>1334</v>
      </c>
      <c r="K560" s="92" t="s">
        <v>1243</v>
      </c>
      <c r="L560" s="92" t="s">
        <v>1244</v>
      </c>
      <c r="M560" s="92" t="s">
        <v>1241</v>
      </c>
      <c r="N560" s="91">
        <v>42041</v>
      </c>
      <c r="O560" s="93">
        <v>2.31</v>
      </c>
      <c r="P560" s="93">
        <v>3.78</v>
      </c>
      <c r="Q560" s="94">
        <v>34</v>
      </c>
      <c r="R560" s="93">
        <f t="shared" si="32"/>
        <v>128.51999999999998</v>
      </c>
      <c r="S560" s="95">
        <v>0.03</v>
      </c>
      <c r="T560" s="96">
        <f t="shared" si="33"/>
        <v>3.8555999999999995</v>
      </c>
      <c r="U560" s="96">
        <f t="shared" si="34"/>
        <v>128.48999999999998</v>
      </c>
      <c r="V560" s="93">
        <v>0.71</v>
      </c>
      <c r="W560" s="97">
        <f t="shared" si="35"/>
        <v>129.19999999999999</v>
      </c>
    </row>
    <row r="561" spans="1:23" x14ac:dyDescent="0.25">
      <c r="A561" s="61" t="s">
        <v>654</v>
      </c>
      <c r="B561" s="91">
        <v>42042</v>
      </c>
      <c r="C561" s="92" t="s">
        <v>1870</v>
      </c>
      <c r="D561" s="92" t="s">
        <v>1763</v>
      </c>
      <c r="E561" s="92" t="s">
        <v>1198</v>
      </c>
      <c r="F561" s="92" t="s">
        <v>1235</v>
      </c>
      <c r="G561" s="92" t="s">
        <v>1201</v>
      </c>
      <c r="H561" s="92" t="s">
        <v>1471</v>
      </c>
      <c r="I561" s="92" t="s">
        <v>1237</v>
      </c>
      <c r="J561" s="92" t="s">
        <v>1522</v>
      </c>
      <c r="K561" s="92" t="s">
        <v>1239</v>
      </c>
      <c r="L561" s="92" t="s">
        <v>1260</v>
      </c>
      <c r="M561" s="92" t="s">
        <v>1241</v>
      </c>
      <c r="N561" s="91">
        <v>42053</v>
      </c>
      <c r="O561" s="93">
        <v>60.59</v>
      </c>
      <c r="P561" s="93">
        <v>100.98</v>
      </c>
      <c r="Q561" s="94">
        <v>13</v>
      </c>
      <c r="R561" s="93">
        <f t="shared" si="32"/>
        <v>1312.74</v>
      </c>
      <c r="S561" s="95">
        <v>0.04</v>
      </c>
      <c r="T561" s="96">
        <f t="shared" si="33"/>
        <v>52.509599999999999</v>
      </c>
      <c r="U561" s="96">
        <f t="shared" si="34"/>
        <v>1312.7</v>
      </c>
      <c r="V561" s="93">
        <v>7.18</v>
      </c>
      <c r="W561" s="97">
        <f t="shared" si="35"/>
        <v>1319.88</v>
      </c>
    </row>
    <row r="562" spans="1:23" x14ac:dyDescent="0.25">
      <c r="A562" s="61" t="s">
        <v>655</v>
      </c>
      <c r="B562" s="91">
        <v>42043</v>
      </c>
      <c r="C562" s="92" t="s">
        <v>1871</v>
      </c>
      <c r="D562" s="92" t="s">
        <v>1281</v>
      </c>
      <c r="E562" s="92" t="s">
        <v>1199</v>
      </c>
      <c r="F562" s="92" t="s">
        <v>1254</v>
      </c>
      <c r="G562" s="92" t="s">
        <v>1201</v>
      </c>
      <c r="H562" s="92" t="s">
        <v>1274</v>
      </c>
      <c r="I562" s="92" t="s">
        <v>1237</v>
      </c>
      <c r="J562" s="92" t="s">
        <v>1421</v>
      </c>
      <c r="K562" s="92" t="s">
        <v>1243</v>
      </c>
      <c r="L562" s="92" t="s">
        <v>1260</v>
      </c>
      <c r="M562" s="92" t="s">
        <v>1241</v>
      </c>
      <c r="N562" s="91">
        <v>42045</v>
      </c>
      <c r="O562" s="93">
        <v>99.39</v>
      </c>
      <c r="P562" s="93">
        <v>162.93</v>
      </c>
      <c r="Q562" s="94">
        <v>39</v>
      </c>
      <c r="R562" s="93">
        <f t="shared" si="32"/>
        <v>6354.27</v>
      </c>
      <c r="S562" s="95">
        <v>0.03</v>
      </c>
      <c r="T562" s="96">
        <f t="shared" si="33"/>
        <v>190.62810000000002</v>
      </c>
      <c r="U562" s="96">
        <f t="shared" si="34"/>
        <v>6354.2400000000007</v>
      </c>
      <c r="V562" s="93">
        <v>19.989999999999998</v>
      </c>
      <c r="W562" s="97">
        <f t="shared" si="35"/>
        <v>6374.2300000000005</v>
      </c>
    </row>
    <row r="563" spans="1:23" x14ac:dyDescent="0.25">
      <c r="A563" s="61" t="s">
        <v>656</v>
      </c>
      <c r="B563" s="91">
        <v>42044</v>
      </c>
      <c r="C563" s="92" t="s">
        <v>1844</v>
      </c>
      <c r="D563" s="92" t="s">
        <v>1337</v>
      </c>
      <c r="E563" s="92" t="s">
        <v>1198</v>
      </c>
      <c r="F563" s="92" t="s">
        <v>1235</v>
      </c>
      <c r="G563" s="92" t="s">
        <v>1202</v>
      </c>
      <c r="H563" s="92" t="s">
        <v>1247</v>
      </c>
      <c r="I563" s="92" t="s">
        <v>1248</v>
      </c>
      <c r="J563" s="92" t="s">
        <v>1249</v>
      </c>
      <c r="K563" s="92" t="s">
        <v>1243</v>
      </c>
      <c r="L563" s="92" t="s">
        <v>1244</v>
      </c>
      <c r="M563" s="92" t="s">
        <v>1250</v>
      </c>
      <c r="N563" s="91">
        <v>42051</v>
      </c>
      <c r="O563" s="93">
        <v>3.32</v>
      </c>
      <c r="P563" s="93">
        <v>5.18</v>
      </c>
      <c r="Q563" s="94">
        <v>11</v>
      </c>
      <c r="R563" s="93">
        <f t="shared" si="32"/>
        <v>56.98</v>
      </c>
      <c r="S563" s="95">
        <v>0.06</v>
      </c>
      <c r="T563" s="96">
        <f t="shared" si="33"/>
        <v>3.4187999999999996</v>
      </c>
      <c r="U563" s="96">
        <f t="shared" si="34"/>
        <v>56.919999999999995</v>
      </c>
      <c r="V563" s="93">
        <v>2.04</v>
      </c>
      <c r="W563" s="97">
        <f t="shared" si="35"/>
        <v>58.959999999999994</v>
      </c>
    </row>
    <row r="564" spans="1:23" x14ac:dyDescent="0.25">
      <c r="A564" s="61" t="s">
        <v>657</v>
      </c>
      <c r="B564" s="91">
        <v>42047</v>
      </c>
      <c r="C564" s="92" t="s">
        <v>1749</v>
      </c>
      <c r="D564" s="92" t="s">
        <v>1514</v>
      </c>
      <c r="E564" s="92" t="s">
        <v>1198</v>
      </c>
      <c r="F564" s="92" t="s">
        <v>1235</v>
      </c>
      <c r="G564" s="92" t="s">
        <v>1200</v>
      </c>
      <c r="H564" s="92" t="s">
        <v>1291</v>
      </c>
      <c r="I564" s="92" t="s">
        <v>1248</v>
      </c>
      <c r="J564" s="92" t="s">
        <v>1331</v>
      </c>
      <c r="K564" s="92" t="s">
        <v>1243</v>
      </c>
      <c r="L564" s="92" t="s">
        <v>1240</v>
      </c>
      <c r="M564" s="92" t="s">
        <v>1241</v>
      </c>
      <c r="N564" s="91">
        <v>42047</v>
      </c>
      <c r="O564" s="93">
        <v>5.19</v>
      </c>
      <c r="P564" s="93">
        <v>12.98</v>
      </c>
      <c r="Q564" s="94">
        <v>50</v>
      </c>
      <c r="R564" s="93">
        <f t="shared" si="32"/>
        <v>649</v>
      </c>
      <c r="S564" s="95">
        <v>0.08</v>
      </c>
      <c r="T564" s="96">
        <f t="shared" si="33"/>
        <v>51.92</v>
      </c>
      <c r="U564" s="96">
        <f t="shared" si="34"/>
        <v>648.91999999999996</v>
      </c>
      <c r="V564" s="93">
        <v>3.14</v>
      </c>
      <c r="W564" s="97">
        <f t="shared" si="35"/>
        <v>652.05999999999995</v>
      </c>
    </row>
    <row r="565" spans="1:23" x14ac:dyDescent="0.25">
      <c r="A565" s="61" t="s">
        <v>658</v>
      </c>
      <c r="B565" s="91">
        <v>42047</v>
      </c>
      <c r="C565" s="92" t="s">
        <v>1800</v>
      </c>
      <c r="D565" s="92" t="s">
        <v>1337</v>
      </c>
      <c r="E565" s="92" t="s">
        <v>1198</v>
      </c>
      <c r="F565" s="92" t="s">
        <v>1235</v>
      </c>
      <c r="G565" s="92" t="s">
        <v>1203</v>
      </c>
      <c r="H565" s="92" t="s">
        <v>1247</v>
      </c>
      <c r="I565" s="92" t="s">
        <v>1256</v>
      </c>
      <c r="J565" s="92" t="s">
        <v>1512</v>
      </c>
      <c r="K565" s="92" t="s">
        <v>1239</v>
      </c>
      <c r="L565" s="92" t="s">
        <v>1260</v>
      </c>
      <c r="M565" s="92" t="s">
        <v>1241</v>
      </c>
      <c r="N565" s="91">
        <v>42048</v>
      </c>
      <c r="O565" s="93">
        <v>156.5</v>
      </c>
      <c r="P565" s="93">
        <v>300.97000000000003</v>
      </c>
      <c r="Q565" s="94">
        <v>41</v>
      </c>
      <c r="R565" s="93">
        <f t="shared" si="32"/>
        <v>12339.77</v>
      </c>
      <c r="S565" s="95">
        <v>0.1</v>
      </c>
      <c r="T565" s="96">
        <f t="shared" si="33"/>
        <v>1233.9770000000001</v>
      </c>
      <c r="U565" s="96">
        <f t="shared" si="34"/>
        <v>12339.67</v>
      </c>
      <c r="V565" s="93">
        <v>7.18</v>
      </c>
      <c r="W565" s="97">
        <f t="shared" si="35"/>
        <v>12346.85</v>
      </c>
    </row>
    <row r="566" spans="1:23" x14ac:dyDescent="0.25">
      <c r="A566" s="61" t="s">
        <v>659</v>
      </c>
      <c r="B566" s="91">
        <v>42049</v>
      </c>
      <c r="C566" s="92" t="s">
        <v>1872</v>
      </c>
      <c r="D566" s="92" t="s">
        <v>1744</v>
      </c>
      <c r="E566" s="92" t="s">
        <v>1198</v>
      </c>
      <c r="F566" s="92" t="s">
        <v>1235</v>
      </c>
      <c r="G566" s="92" t="s">
        <v>1202</v>
      </c>
      <c r="H566" s="92" t="s">
        <v>1471</v>
      </c>
      <c r="I566" s="92" t="s">
        <v>1237</v>
      </c>
      <c r="J566" s="92" t="s">
        <v>1405</v>
      </c>
      <c r="K566" s="92" t="s">
        <v>1243</v>
      </c>
      <c r="L566" s="92" t="s">
        <v>1260</v>
      </c>
      <c r="M566" s="92" t="s">
        <v>1250</v>
      </c>
      <c r="N566" s="91">
        <v>42050</v>
      </c>
      <c r="O566" s="93">
        <v>4.59</v>
      </c>
      <c r="P566" s="93">
        <v>7.28</v>
      </c>
      <c r="Q566" s="94">
        <v>5</v>
      </c>
      <c r="R566" s="93">
        <f t="shared" si="32"/>
        <v>36.4</v>
      </c>
      <c r="S566" s="95">
        <v>0.05</v>
      </c>
      <c r="T566" s="96">
        <f t="shared" si="33"/>
        <v>1.82</v>
      </c>
      <c r="U566" s="96">
        <f t="shared" si="34"/>
        <v>36.35</v>
      </c>
      <c r="V566" s="93">
        <v>11.15</v>
      </c>
      <c r="W566" s="97">
        <f t="shared" si="35"/>
        <v>47.5</v>
      </c>
    </row>
    <row r="567" spans="1:23" x14ac:dyDescent="0.25">
      <c r="A567" s="61" t="s">
        <v>660</v>
      </c>
      <c r="B567" s="91">
        <v>42052</v>
      </c>
      <c r="C567" s="92" t="s">
        <v>1643</v>
      </c>
      <c r="D567" s="92" t="s">
        <v>1463</v>
      </c>
      <c r="E567" s="92" t="s">
        <v>1198</v>
      </c>
      <c r="F567" s="92" t="s">
        <v>1235</v>
      </c>
      <c r="G567" s="92" t="s">
        <v>1200</v>
      </c>
      <c r="H567" s="92" t="s">
        <v>1263</v>
      </c>
      <c r="I567" s="92" t="s">
        <v>1237</v>
      </c>
      <c r="J567" s="92" t="s">
        <v>1477</v>
      </c>
      <c r="K567" s="92" t="s">
        <v>1243</v>
      </c>
      <c r="L567" s="92" t="s">
        <v>1240</v>
      </c>
      <c r="M567" s="92" t="s">
        <v>1241</v>
      </c>
      <c r="N567" s="91">
        <v>42054</v>
      </c>
      <c r="O567" s="93">
        <v>4.79</v>
      </c>
      <c r="P567" s="93">
        <v>11.97</v>
      </c>
      <c r="Q567" s="94">
        <v>30</v>
      </c>
      <c r="R567" s="93">
        <f t="shared" si="32"/>
        <v>359.1</v>
      </c>
      <c r="S567" s="95">
        <v>0.08</v>
      </c>
      <c r="T567" s="96">
        <f t="shared" si="33"/>
        <v>28.728000000000002</v>
      </c>
      <c r="U567" s="96">
        <f t="shared" si="34"/>
        <v>359.02000000000004</v>
      </c>
      <c r="V567" s="93">
        <v>5.81</v>
      </c>
      <c r="W567" s="97">
        <f t="shared" si="35"/>
        <v>364.83000000000004</v>
      </c>
    </row>
    <row r="568" spans="1:23" x14ac:dyDescent="0.25">
      <c r="A568" s="61" t="s">
        <v>661</v>
      </c>
      <c r="B568" s="91">
        <v>42053</v>
      </c>
      <c r="C568" s="92" t="s">
        <v>1873</v>
      </c>
      <c r="D568" s="92" t="s">
        <v>1532</v>
      </c>
      <c r="E568" s="92" t="s">
        <v>1198</v>
      </c>
      <c r="F568" s="92" t="s">
        <v>1235</v>
      </c>
      <c r="G568" s="92" t="s">
        <v>1200</v>
      </c>
      <c r="H568" s="92" t="s">
        <v>1263</v>
      </c>
      <c r="I568" s="92" t="s">
        <v>1317</v>
      </c>
      <c r="J568" s="92" t="s">
        <v>1270</v>
      </c>
      <c r="K568" s="92" t="s">
        <v>1243</v>
      </c>
      <c r="L568" s="92" t="s">
        <v>1260</v>
      </c>
      <c r="M568" s="92" t="s">
        <v>1241</v>
      </c>
      <c r="N568" s="91">
        <v>42055</v>
      </c>
      <c r="O568" s="93">
        <v>1.84</v>
      </c>
      <c r="P568" s="93">
        <v>2.88</v>
      </c>
      <c r="Q568" s="94">
        <v>22</v>
      </c>
      <c r="R568" s="93">
        <f t="shared" si="32"/>
        <v>63.36</v>
      </c>
      <c r="S568" s="95">
        <v>0.1</v>
      </c>
      <c r="T568" s="96">
        <f t="shared" si="33"/>
        <v>6.3360000000000003</v>
      </c>
      <c r="U568" s="96">
        <f t="shared" si="34"/>
        <v>63.26</v>
      </c>
      <c r="V568" s="93">
        <v>1.49</v>
      </c>
      <c r="W568" s="97">
        <f t="shared" si="35"/>
        <v>64.75</v>
      </c>
    </row>
    <row r="569" spans="1:23" x14ac:dyDescent="0.25">
      <c r="A569" s="61" t="s">
        <v>662</v>
      </c>
      <c r="B569" s="91">
        <v>42058</v>
      </c>
      <c r="C569" s="92" t="s">
        <v>1874</v>
      </c>
      <c r="D569" s="92" t="s">
        <v>1875</v>
      </c>
      <c r="E569" s="92" t="s">
        <v>1198</v>
      </c>
      <c r="F569" s="92" t="s">
        <v>1235</v>
      </c>
      <c r="G569" s="92" t="s">
        <v>1203</v>
      </c>
      <c r="H569" s="92" t="s">
        <v>1304</v>
      </c>
      <c r="I569" s="92" t="s">
        <v>1264</v>
      </c>
      <c r="J569" s="92" t="s">
        <v>1431</v>
      </c>
      <c r="K569" s="92" t="s">
        <v>1243</v>
      </c>
      <c r="L569" s="92" t="s">
        <v>1260</v>
      </c>
      <c r="M569" s="92" t="s">
        <v>1241</v>
      </c>
      <c r="N569" s="91">
        <v>42061</v>
      </c>
      <c r="O569" s="93">
        <v>4.8899999999999997</v>
      </c>
      <c r="P569" s="93">
        <v>7.64</v>
      </c>
      <c r="Q569" s="94">
        <v>32</v>
      </c>
      <c r="R569" s="93">
        <f t="shared" si="32"/>
        <v>244.48</v>
      </c>
      <c r="S569" s="95">
        <v>0.06</v>
      </c>
      <c r="T569" s="96">
        <f t="shared" si="33"/>
        <v>14.668799999999999</v>
      </c>
      <c r="U569" s="96">
        <f t="shared" si="34"/>
        <v>244.42</v>
      </c>
      <c r="V569" s="93">
        <v>1.39</v>
      </c>
      <c r="W569" s="97">
        <f t="shared" si="35"/>
        <v>245.80999999999997</v>
      </c>
    </row>
    <row r="570" spans="1:23" x14ac:dyDescent="0.25">
      <c r="A570" s="61" t="s">
        <v>663</v>
      </c>
      <c r="B570" s="91">
        <v>42059</v>
      </c>
      <c r="C570" s="92" t="s">
        <v>1876</v>
      </c>
      <c r="D570" s="92" t="s">
        <v>1253</v>
      </c>
      <c r="E570" s="92" t="s">
        <v>1199</v>
      </c>
      <c r="F570" s="92" t="s">
        <v>1254</v>
      </c>
      <c r="G570" s="92" t="s">
        <v>1201</v>
      </c>
      <c r="H570" s="92" t="s">
        <v>1255</v>
      </c>
      <c r="I570" s="92" t="s">
        <v>1264</v>
      </c>
      <c r="J570" s="92" t="s">
        <v>1373</v>
      </c>
      <c r="K570" s="92" t="s">
        <v>1243</v>
      </c>
      <c r="L570" s="92" t="s">
        <v>1260</v>
      </c>
      <c r="M570" s="92" t="s">
        <v>1241</v>
      </c>
      <c r="N570" s="91">
        <v>42059</v>
      </c>
      <c r="O570" s="93">
        <v>2.29</v>
      </c>
      <c r="P570" s="93">
        <v>3.69</v>
      </c>
      <c r="Q570" s="94">
        <v>12</v>
      </c>
      <c r="R570" s="93">
        <f t="shared" si="32"/>
        <v>44.28</v>
      </c>
      <c r="S570" s="95">
        <v>0.02</v>
      </c>
      <c r="T570" s="96">
        <f t="shared" si="33"/>
        <v>0.88560000000000005</v>
      </c>
      <c r="U570" s="96">
        <f t="shared" si="34"/>
        <v>44.26</v>
      </c>
      <c r="V570" s="93">
        <v>0.5</v>
      </c>
      <c r="W570" s="97">
        <f t="shared" si="35"/>
        <v>44.76</v>
      </c>
    </row>
    <row r="571" spans="1:23" x14ac:dyDescent="0.25">
      <c r="A571" s="61" t="s">
        <v>664</v>
      </c>
      <c r="B571" s="91">
        <v>42062</v>
      </c>
      <c r="C571" s="92" t="s">
        <v>1877</v>
      </c>
      <c r="D571" s="92" t="s">
        <v>1465</v>
      </c>
      <c r="E571" s="92" t="s">
        <v>1198</v>
      </c>
      <c r="F571" s="92" t="s">
        <v>1235</v>
      </c>
      <c r="G571" s="92" t="s">
        <v>1202</v>
      </c>
      <c r="H571" s="92" t="s">
        <v>1247</v>
      </c>
      <c r="I571" s="92" t="s">
        <v>1317</v>
      </c>
      <c r="J571" s="92" t="s">
        <v>1773</v>
      </c>
      <c r="K571" s="92" t="s">
        <v>1243</v>
      </c>
      <c r="L571" s="92" t="s">
        <v>1260</v>
      </c>
      <c r="M571" s="92" t="s">
        <v>1250</v>
      </c>
      <c r="N571" s="91">
        <v>42063</v>
      </c>
      <c r="O571" s="93">
        <v>1.84</v>
      </c>
      <c r="P571" s="93">
        <v>2.88</v>
      </c>
      <c r="Q571" s="94">
        <v>9</v>
      </c>
      <c r="R571" s="93">
        <f t="shared" si="32"/>
        <v>25.919999999999998</v>
      </c>
      <c r="S571" s="95">
        <v>0</v>
      </c>
      <c r="T571" s="96">
        <f t="shared" si="33"/>
        <v>0</v>
      </c>
      <c r="U571" s="96">
        <f t="shared" si="34"/>
        <v>25.919999999999998</v>
      </c>
      <c r="V571" s="93">
        <v>0.99</v>
      </c>
      <c r="W571" s="97">
        <f t="shared" si="35"/>
        <v>26.909999999999997</v>
      </c>
    </row>
    <row r="572" spans="1:23" x14ac:dyDescent="0.25">
      <c r="A572" s="61" t="s">
        <v>665</v>
      </c>
      <c r="B572" s="91">
        <v>42064</v>
      </c>
      <c r="C572" s="92" t="s">
        <v>1878</v>
      </c>
      <c r="D572" s="92" t="s">
        <v>1776</v>
      </c>
      <c r="E572" s="92" t="s">
        <v>1198</v>
      </c>
      <c r="F572" s="92" t="s">
        <v>1235</v>
      </c>
      <c r="G572" s="92" t="s">
        <v>1202</v>
      </c>
      <c r="H572" s="92" t="s">
        <v>1471</v>
      </c>
      <c r="I572" s="92" t="s">
        <v>1248</v>
      </c>
      <c r="J572" s="92" t="s">
        <v>1475</v>
      </c>
      <c r="K572" s="92" t="s">
        <v>1239</v>
      </c>
      <c r="L572" s="92" t="s">
        <v>1260</v>
      </c>
      <c r="M572" s="92" t="s">
        <v>1241</v>
      </c>
      <c r="N572" s="91">
        <v>42064</v>
      </c>
      <c r="O572" s="93">
        <v>10.07</v>
      </c>
      <c r="P572" s="93">
        <v>15.98</v>
      </c>
      <c r="Q572" s="94">
        <v>26</v>
      </c>
      <c r="R572" s="93">
        <f t="shared" si="32"/>
        <v>415.48</v>
      </c>
      <c r="S572" s="95">
        <v>0.01</v>
      </c>
      <c r="T572" s="96">
        <f t="shared" si="33"/>
        <v>4.1547999999999998</v>
      </c>
      <c r="U572" s="96">
        <f t="shared" si="34"/>
        <v>415.47</v>
      </c>
      <c r="V572" s="93">
        <v>4</v>
      </c>
      <c r="W572" s="97">
        <f t="shared" si="35"/>
        <v>419.47</v>
      </c>
    </row>
    <row r="573" spans="1:23" x14ac:dyDescent="0.25">
      <c r="A573" s="61" t="s">
        <v>666</v>
      </c>
      <c r="B573" s="91">
        <v>42065</v>
      </c>
      <c r="C573" s="92" t="s">
        <v>1879</v>
      </c>
      <c r="D573" s="92" t="s">
        <v>1290</v>
      </c>
      <c r="E573" s="92" t="s">
        <v>1198</v>
      </c>
      <c r="F573" s="92" t="s">
        <v>1235</v>
      </c>
      <c r="G573" s="92" t="s">
        <v>1200</v>
      </c>
      <c r="H573" s="92" t="s">
        <v>1291</v>
      </c>
      <c r="I573" s="92" t="s">
        <v>1237</v>
      </c>
      <c r="J573" s="92" t="s">
        <v>1880</v>
      </c>
      <c r="K573" s="92" t="s">
        <v>1243</v>
      </c>
      <c r="L573" s="92" t="s">
        <v>1260</v>
      </c>
      <c r="M573" s="92" t="s">
        <v>1250</v>
      </c>
      <c r="N573" s="91">
        <v>42066</v>
      </c>
      <c r="O573" s="93">
        <v>3.99</v>
      </c>
      <c r="P573" s="93">
        <v>6.23</v>
      </c>
      <c r="Q573" s="94">
        <v>4</v>
      </c>
      <c r="R573" s="93">
        <f t="shared" si="32"/>
        <v>24.92</v>
      </c>
      <c r="S573" s="95">
        <v>0.1</v>
      </c>
      <c r="T573" s="96">
        <f t="shared" si="33"/>
        <v>2.4920000000000004</v>
      </c>
      <c r="U573" s="96">
        <f t="shared" si="34"/>
        <v>24.82</v>
      </c>
      <c r="V573" s="93">
        <v>6.97</v>
      </c>
      <c r="W573" s="97">
        <f t="shared" si="35"/>
        <v>31.79</v>
      </c>
    </row>
    <row r="574" spans="1:23" x14ac:dyDescent="0.25">
      <c r="A574" s="61" t="s">
        <v>667</v>
      </c>
      <c r="B574" s="91">
        <v>42065</v>
      </c>
      <c r="C574" s="92" t="s">
        <v>1881</v>
      </c>
      <c r="D574" s="92" t="s">
        <v>1294</v>
      </c>
      <c r="E574" s="92" t="s">
        <v>1199</v>
      </c>
      <c r="F574" s="92" t="s">
        <v>1254</v>
      </c>
      <c r="G574" s="92" t="s">
        <v>1202</v>
      </c>
      <c r="H574" s="92" t="s">
        <v>1274</v>
      </c>
      <c r="I574" s="92" t="s">
        <v>1264</v>
      </c>
      <c r="J574" s="92" t="s">
        <v>1368</v>
      </c>
      <c r="K574" s="92" t="s">
        <v>1243</v>
      </c>
      <c r="L574" s="92" t="s">
        <v>1244</v>
      </c>
      <c r="M574" s="92" t="s">
        <v>1241</v>
      </c>
      <c r="N574" s="91">
        <v>42067</v>
      </c>
      <c r="O574" s="93">
        <v>1.3</v>
      </c>
      <c r="P574" s="93">
        <v>2.88</v>
      </c>
      <c r="Q574" s="94">
        <v>43</v>
      </c>
      <c r="R574" s="93">
        <f t="shared" si="32"/>
        <v>123.83999999999999</v>
      </c>
      <c r="S574" s="95">
        <v>0.1</v>
      </c>
      <c r="T574" s="96">
        <f t="shared" si="33"/>
        <v>12.384</v>
      </c>
      <c r="U574" s="96">
        <f t="shared" si="34"/>
        <v>123.74</v>
      </c>
      <c r="V574" s="93">
        <v>1.01</v>
      </c>
      <c r="W574" s="97">
        <f t="shared" si="35"/>
        <v>124.75</v>
      </c>
    </row>
    <row r="575" spans="1:23" x14ac:dyDescent="0.25">
      <c r="A575" s="61" t="s">
        <v>668</v>
      </c>
      <c r="B575" s="91">
        <v>42066</v>
      </c>
      <c r="C575" s="92" t="s">
        <v>1882</v>
      </c>
      <c r="D575" s="92" t="s">
        <v>1514</v>
      </c>
      <c r="E575" s="92" t="s">
        <v>1198</v>
      </c>
      <c r="F575" s="92" t="s">
        <v>1235</v>
      </c>
      <c r="G575" s="92" t="s">
        <v>1203</v>
      </c>
      <c r="H575" s="92" t="s">
        <v>1291</v>
      </c>
      <c r="I575" s="92" t="s">
        <v>1317</v>
      </c>
      <c r="J575" s="92" t="s">
        <v>1377</v>
      </c>
      <c r="K575" s="92" t="s">
        <v>1243</v>
      </c>
      <c r="L575" s="92" t="s">
        <v>1244</v>
      </c>
      <c r="M575" s="92" t="s">
        <v>1241</v>
      </c>
      <c r="N575" s="91">
        <v>42067</v>
      </c>
      <c r="O575" s="93">
        <v>5.22</v>
      </c>
      <c r="P575" s="93">
        <v>9.85</v>
      </c>
      <c r="Q575" s="94">
        <v>41</v>
      </c>
      <c r="R575" s="93">
        <f t="shared" si="32"/>
        <v>403.84999999999997</v>
      </c>
      <c r="S575" s="95">
        <v>0.05</v>
      </c>
      <c r="T575" s="96">
        <f t="shared" si="33"/>
        <v>20.192499999999999</v>
      </c>
      <c r="U575" s="96">
        <f t="shared" si="34"/>
        <v>403.79999999999995</v>
      </c>
      <c r="V575" s="93">
        <v>4.82</v>
      </c>
      <c r="W575" s="97">
        <f t="shared" si="35"/>
        <v>408.61999999999995</v>
      </c>
    </row>
    <row r="576" spans="1:23" x14ac:dyDescent="0.25">
      <c r="A576" s="61" t="s">
        <v>669</v>
      </c>
      <c r="B576" s="91">
        <v>42067</v>
      </c>
      <c r="C576" s="92" t="s">
        <v>1883</v>
      </c>
      <c r="D576" s="92" t="s">
        <v>1776</v>
      </c>
      <c r="E576" s="92" t="s">
        <v>1198</v>
      </c>
      <c r="F576" s="92" t="s">
        <v>1235</v>
      </c>
      <c r="G576" s="92" t="s">
        <v>1200</v>
      </c>
      <c r="H576" s="92" t="s">
        <v>1471</v>
      </c>
      <c r="I576" s="92" t="s">
        <v>1317</v>
      </c>
      <c r="J576" s="92" t="s">
        <v>1342</v>
      </c>
      <c r="K576" s="92" t="s">
        <v>1243</v>
      </c>
      <c r="L576" s="92" t="s">
        <v>1244</v>
      </c>
      <c r="M576" s="92" t="s">
        <v>1241</v>
      </c>
      <c r="N576" s="91">
        <v>42069</v>
      </c>
      <c r="O576" s="93">
        <v>2.16</v>
      </c>
      <c r="P576" s="93">
        <v>3.85</v>
      </c>
      <c r="Q576" s="94">
        <v>4</v>
      </c>
      <c r="R576" s="93">
        <f t="shared" si="32"/>
        <v>15.4</v>
      </c>
      <c r="S576" s="95">
        <v>0.09</v>
      </c>
      <c r="T576" s="96">
        <f t="shared" si="33"/>
        <v>1.3859999999999999</v>
      </c>
      <c r="U576" s="96">
        <f t="shared" si="34"/>
        <v>15.31</v>
      </c>
      <c r="V576" s="93">
        <v>0.7</v>
      </c>
      <c r="W576" s="97">
        <f t="shared" si="35"/>
        <v>16.010000000000002</v>
      </c>
    </row>
    <row r="577" spans="1:23" x14ac:dyDescent="0.25">
      <c r="A577" s="61" t="s">
        <v>670</v>
      </c>
      <c r="B577" s="91">
        <v>42069</v>
      </c>
      <c r="C577" s="92" t="s">
        <v>1667</v>
      </c>
      <c r="D577" s="92" t="s">
        <v>1253</v>
      </c>
      <c r="E577" s="92" t="s">
        <v>1199</v>
      </c>
      <c r="F577" s="92" t="s">
        <v>1254</v>
      </c>
      <c r="G577" s="92" t="s">
        <v>1201</v>
      </c>
      <c r="H577" s="92" t="s">
        <v>1255</v>
      </c>
      <c r="I577" s="92" t="s">
        <v>1317</v>
      </c>
      <c r="J577" s="92" t="s">
        <v>1282</v>
      </c>
      <c r="K577" s="92" t="s">
        <v>1243</v>
      </c>
      <c r="L577" s="92" t="s">
        <v>1260</v>
      </c>
      <c r="M577" s="92" t="s">
        <v>1241</v>
      </c>
      <c r="N577" s="91">
        <v>42070</v>
      </c>
      <c r="O577" s="93">
        <v>5.33</v>
      </c>
      <c r="P577" s="93">
        <v>8.6</v>
      </c>
      <c r="Q577" s="94">
        <v>2</v>
      </c>
      <c r="R577" s="93">
        <f t="shared" si="32"/>
        <v>17.2</v>
      </c>
      <c r="S577" s="95">
        <v>0.05</v>
      </c>
      <c r="T577" s="96">
        <f t="shared" si="33"/>
        <v>0.86</v>
      </c>
      <c r="U577" s="96">
        <f t="shared" si="34"/>
        <v>17.149999999999999</v>
      </c>
      <c r="V577" s="93">
        <v>6.19</v>
      </c>
      <c r="W577" s="97">
        <f t="shared" si="35"/>
        <v>23.34</v>
      </c>
    </row>
    <row r="578" spans="1:23" x14ac:dyDescent="0.25">
      <c r="A578" s="61" t="s">
        <v>671</v>
      </c>
      <c r="B578" s="91">
        <v>42074</v>
      </c>
      <c r="C578" s="92" t="s">
        <v>1884</v>
      </c>
      <c r="D578" s="92" t="s">
        <v>1494</v>
      </c>
      <c r="E578" s="92" t="s">
        <v>1198</v>
      </c>
      <c r="F578" s="92" t="s">
        <v>1235</v>
      </c>
      <c r="G578" s="92" t="s">
        <v>1201</v>
      </c>
      <c r="H578" s="92" t="s">
        <v>1236</v>
      </c>
      <c r="I578" s="92" t="s">
        <v>1317</v>
      </c>
      <c r="J578" s="92" t="s">
        <v>1499</v>
      </c>
      <c r="K578" s="92" t="s">
        <v>1243</v>
      </c>
      <c r="L578" s="92" t="s">
        <v>1244</v>
      </c>
      <c r="M578" s="92" t="s">
        <v>1241</v>
      </c>
      <c r="N578" s="91">
        <v>42075</v>
      </c>
      <c r="O578" s="93">
        <v>3.75</v>
      </c>
      <c r="P578" s="93">
        <v>7.08</v>
      </c>
      <c r="Q578" s="94">
        <v>12</v>
      </c>
      <c r="R578" s="93">
        <f t="shared" si="32"/>
        <v>84.960000000000008</v>
      </c>
      <c r="S578" s="95">
        <v>0.1</v>
      </c>
      <c r="T578" s="96">
        <f t="shared" si="33"/>
        <v>8.4960000000000004</v>
      </c>
      <c r="U578" s="96">
        <f t="shared" si="34"/>
        <v>84.860000000000014</v>
      </c>
      <c r="V578" s="93">
        <v>2.35</v>
      </c>
      <c r="W578" s="97">
        <f t="shared" si="35"/>
        <v>87.210000000000008</v>
      </c>
    </row>
    <row r="579" spans="1:23" x14ac:dyDescent="0.25">
      <c r="A579" s="61" t="s">
        <v>672</v>
      </c>
      <c r="B579" s="91">
        <v>42075</v>
      </c>
      <c r="C579" s="92" t="s">
        <v>1885</v>
      </c>
      <c r="D579" s="92" t="s">
        <v>1390</v>
      </c>
      <c r="E579" s="92" t="s">
        <v>1198</v>
      </c>
      <c r="F579" s="92" t="s">
        <v>1235</v>
      </c>
      <c r="G579" s="92" t="s">
        <v>1203</v>
      </c>
      <c r="H579" s="92" t="s">
        <v>1247</v>
      </c>
      <c r="I579" s="92" t="s">
        <v>1264</v>
      </c>
      <c r="J579" s="92" t="s">
        <v>1575</v>
      </c>
      <c r="K579" s="92" t="s">
        <v>1243</v>
      </c>
      <c r="L579" s="92" t="s">
        <v>1260</v>
      </c>
      <c r="M579" s="92" t="s">
        <v>1241</v>
      </c>
      <c r="N579" s="91">
        <v>42076</v>
      </c>
      <c r="O579" s="93">
        <v>1.94</v>
      </c>
      <c r="P579" s="93">
        <v>3.08</v>
      </c>
      <c r="Q579" s="94">
        <v>4</v>
      </c>
      <c r="R579" s="93">
        <f t="shared" si="32"/>
        <v>12.32</v>
      </c>
      <c r="S579" s="95">
        <v>0.03</v>
      </c>
      <c r="T579" s="96">
        <f t="shared" si="33"/>
        <v>0.36959999999999998</v>
      </c>
      <c r="U579" s="96">
        <f t="shared" si="34"/>
        <v>12.290000000000001</v>
      </c>
      <c r="V579" s="93">
        <v>0.99</v>
      </c>
      <c r="W579" s="97">
        <f t="shared" si="35"/>
        <v>13.280000000000001</v>
      </c>
    </row>
    <row r="580" spans="1:23" x14ac:dyDescent="0.25">
      <c r="A580" s="61" t="s">
        <v>673</v>
      </c>
      <c r="B580" s="91">
        <v>42078</v>
      </c>
      <c r="C580" s="92" t="s">
        <v>1870</v>
      </c>
      <c r="D580" s="92" t="s">
        <v>1763</v>
      </c>
      <c r="E580" s="92" t="s">
        <v>1198</v>
      </c>
      <c r="F580" s="92" t="s">
        <v>1235</v>
      </c>
      <c r="G580" s="92" t="s">
        <v>1202</v>
      </c>
      <c r="H580" s="92" t="s">
        <v>1471</v>
      </c>
      <c r="I580" s="92" t="s">
        <v>1317</v>
      </c>
      <c r="J580" s="92" t="s">
        <v>1593</v>
      </c>
      <c r="K580" s="92" t="s">
        <v>1243</v>
      </c>
      <c r="L580" s="92" t="s">
        <v>1260</v>
      </c>
      <c r="M580" s="92" t="s">
        <v>1241</v>
      </c>
      <c r="N580" s="91">
        <v>42080</v>
      </c>
      <c r="O580" s="93">
        <v>2.1800000000000002</v>
      </c>
      <c r="P580" s="93">
        <v>3.52</v>
      </c>
      <c r="Q580" s="94">
        <v>49</v>
      </c>
      <c r="R580" s="93">
        <f t="shared" si="32"/>
        <v>172.48</v>
      </c>
      <c r="S580" s="95">
        <v>0.08</v>
      </c>
      <c r="T580" s="96">
        <f t="shared" si="33"/>
        <v>13.798399999999999</v>
      </c>
      <c r="U580" s="96">
        <f t="shared" si="34"/>
        <v>172.39999999999998</v>
      </c>
      <c r="V580" s="93">
        <v>6.83</v>
      </c>
      <c r="W580" s="97">
        <f t="shared" si="35"/>
        <v>179.23</v>
      </c>
    </row>
    <row r="581" spans="1:23" x14ac:dyDescent="0.25">
      <c r="A581" s="61" t="s">
        <v>674</v>
      </c>
      <c r="B581" s="91">
        <v>42079</v>
      </c>
      <c r="C581" s="92" t="s">
        <v>1886</v>
      </c>
      <c r="D581" s="92" t="s">
        <v>1444</v>
      </c>
      <c r="E581" s="92" t="s">
        <v>1198</v>
      </c>
      <c r="F581" s="92" t="s">
        <v>1235</v>
      </c>
      <c r="G581" s="92" t="s">
        <v>1203</v>
      </c>
      <c r="H581" s="92" t="s">
        <v>1313</v>
      </c>
      <c r="I581" s="92" t="s">
        <v>1256</v>
      </c>
      <c r="J581" s="92" t="s">
        <v>1736</v>
      </c>
      <c r="K581" s="92" t="s">
        <v>1239</v>
      </c>
      <c r="L581" s="92" t="s">
        <v>1319</v>
      </c>
      <c r="M581" s="92" t="s">
        <v>1320</v>
      </c>
      <c r="N581" s="91">
        <v>42080</v>
      </c>
      <c r="O581" s="93">
        <v>315.61</v>
      </c>
      <c r="P581" s="93">
        <v>500.97</v>
      </c>
      <c r="Q581" s="94">
        <v>3</v>
      </c>
      <c r="R581" s="93">
        <f t="shared" ref="R581:R644" si="36">P581*Q581</f>
        <v>1502.91</v>
      </c>
      <c r="S581" s="95">
        <v>0.06</v>
      </c>
      <c r="T581" s="96">
        <f t="shared" ref="T581:T644" si="37">R581*S581</f>
        <v>90.174599999999998</v>
      </c>
      <c r="U581" s="96">
        <f t="shared" ref="U581:U644" si="38">R581-S581</f>
        <v>1502.8500000000001</v>
      </c>
      <c r="V581" s="93">
        <v>69.3</v>
      </c>
      <c r="W581" s="97">
        <f t="shared" ref="W581:W644" si="39">U581+V581</f>
        <v>1572.15</v>
      </c>
    </row>
    <row r="582" spans="1:23" x14ac:dyDescent="0.25">
      <c r="A582" s="61" t="s">
        <v>675</v>
      </c>
      <c r="B582" s="91">
        <v>42079</v>
      </c>
      <c r="C582" s="92" t="s">
        <v>1887</v>
      </c>
      <c r="D582" s="92" t="s">
        <v>1253</v>
      </c>
      <c r="E582" s="92" t="s">
        <v>1199</v>
      </c>
      <c r="F582" s="92" t="s">
        <v>1254</v>
      </c>
      <c r="G582" s="92" t="s">
        <v>1201</v>
      </c>
      <c r="H582" s="92" t="s">
        <v>1255</v>
      </c>
      <c r="I582" s="92" t="s">
        <v>1317</v>
      </c>
      <c r="J582" s="92" t="s">
        <v>1333</v>
      </c>
      <c r="K582" s="92" t="s">
        <v>1243</v>
      </c>
      <c r="L582" s="92" t="s">
        <v>1260</v>
      </c>
      <c r="M582" s="92" t="s">
        <v>1241</v>
      </c>
      <c r="N582" s="91">
        <v>42079</v>
      </c>
      <c r="O582" s="93">
        <v>14.95</v>
      </c>
      <c r="P582" s="93">
        <v>34.76</v>
      </c>
      <c r="Q582" s="94">
        <v>43</v>
      </c>
      <c r="R582" s="93">
        <f t="shared" si="36"/>
        <v>1494.6799999999998</v>
      </c>
      <c r="S582" s="95">
        <v>0</v>
      </c>
      <c r="T582" s="96">
        <f t="shared" si="37"/>
        <v>0</v>
      </c>
      <c r="U582" s="96">
        <f t="shared" si="38"/>
        <v>1494.6799999999998</v>
      </c>
      <c r="V582" s="93">
        <v>8.2200000000000006</v>
      </c>
      <c r="W582" s="97">
        <f t="shared" si="39"/>
        <v>1502.8999999999999</v>
      </c>
    </row>
    <row r="583" spans="1:23" x14ac:dyDescent="0.25">
      <c r="A583" s="61" t="s">
        <v>676</v>
      </c>
      <c r="B583" s="91">
        <v>42080</v>
      </c>
      <c r="C583" s="92" t="s">
        <v>1434</v>
      </c>
      <c r="D583" s="92" t="s">
        <v>1435</v>
      </c>
      <c r="E583" s="92" t="s">
        <v>1198</v>
      </c>
      <c r="F583" s="92" t="s">
        <v>1235</v>
      </c>
      <c r="G583" s="92" t="s">
        <v>1202</v>
      </c>
      <c r="H583" s="92" t="s">
        <v>1247</v>
      </c>
      <c r="I583" s="92" t="s">
        <v>1264</v>
      </c>
      <c r="J583" s="92" t="s">
        <v>1492</v>
      </c>
      <c r="K583" s="92" t="s">
        <v>1243</v>
      </c>
      <c r="L583" s="92" t="s">
        <v>1244</v>
      </c>
      <c r="M583" s="92" t="s">
        <v>1241</v>
      </c>
      <c r="N583" s="91">
        <v>42082</v>
      </c>
      <c r="O583" s="93">
        <v>21.56</v>
      </c>
      <c r="P583" s="93">
        <v>36.549999999999997</v>
      </c>
      <c r="Q583" s="94">
        <v>2</v>
      </c>
      <c r="R583" s="93">
        <f t="shared" si="36"/>
        <v>73.099999999999994</v>
      </c>
      <c r="S583" s="95">
        <v>0.03</v>
      </c>
      <c r="T583" s="96">
        <f t="shared" si="37"/>
        <v>2.1929999999999996</v>
      </c>
      <c r="U583" s="96">
        <f t="shared" si="38"/>
        <v>73.069999999999993</v>
      </c>
      <c r="V583" s="93">
        <v>13.89</v>
      </c>
      <c r="W583" s="97">
        <f t="shared" si="39"/>
        <v>86.96</v>
      </c>
    </row>
    <row r="584" spans="1:23" x14ac:dyDescent="0.25">
      <c r="A584" s="61" t="s">
        <v>677</v>
      </c>
      <c r="B584" s="91">
        <v>42080</v>
      </c>
      <c r="C584" s="92" t="s">
        <v>1888</v>
      </c>
      <c r="D584" s="92" t="s">
        <v>1253</v>
      </c>
      <c r="E584" s="92" t="s">
        <v>1199</v>
      </c>
      <c r="F584" s="92" t="s">
        <v>1254</v>
      </c>
      <c r="G584" s="92" t="s">
        <v>1202</v>
      </c>
      <c r="H584" s="92" t="s">
        <v>1255</v>
      </c>
      <c r="I584" s="92" t="s">
        <v>1237</v>
      </c>
      <c r="J584" s="92" t="s">
        <v>1517</v>
      </c>
      <c r="K584" s="92" t="s">
        <v>1243</v>
      </c>
      <c r="L584" s="92" t="s">
        <v>1260</v>
      </c>
      <c r="M584" s="92" t="s">
        <v>1241</v>
      </c>
      <c r="N584" s="91">
        <v>42080</v>
      </c>
      <c r="O584" s="93">
        <v>12.39</v>
      </c>
      <c r="P584" s="93">
        <v>19.98</v>
      </c>
      <c r="Q584" s="94">
        <v>32</v>
      </c>
      <c r="R584" s="93">
        <f t="shared" si="36"/>
        <v>639.36</v>
      </c>
      <c r="S584" s="95">
        <v>0.05</v>
      </c>
      <c r="T584" s="96">
        <f t="shared" si="37"/>
        <v>31.968000000000004</v>
      </c>
      <c r="U584" s="96">
        <f t="shared" si="38"/>
        <v>639.31000000000006</v>
      </c>
      <c r="V584" s="93">
        <v>5.77</v>
      </c>
      <c r="W584" s="97">
        <f t="shared" si="39"/>
        <v>645.08000000000004</v>
      </c>
    </row>
    <row r="585" spans="1:23" x14ac:dyDescent="0.25">
      <c r="A585" s="61" t="s">
        <v>678</v>
      </c>
      <c r="B585" s="91">
        <v>42081</v>
      </c>
      <c r="C585" s="92" t="s">
        <v>1889</v>
      </c>
      <c r="D585" s="92" t="s">
        <v>1451</v>
      </c>
      <c r="E585" s="92" t="s">
        <v>1198</v>
      </c>
      <c r="F585" s="92" t="s">
        <v>1235</v>
      </c>
      <c r="G585" s="92" t="s">
        <v>1200</v>
      </c>
      <c r="H585" s="92" t="s">
        <v>1291</v>
      </c>
      <c r="I585" s="92" t="s">
        <v>1264</v>
      </c>
      <c r="J585" s="92" t="s">
        <v>1853</v>
      </c>
      <c r="K585" s="92" t="s">
        <v>1243</v>
      </c>
      <c r="L585" s="92" t="s">
        <v>1240</v>
      </c>
      <c r="M585" s="92" t="s">
        <v>1241</v>
      </c>
      <c r="N585" s="91">
        <v>42084</v>
      </c>
      <c r="O585" s="93">
        <v>2.87</v>
      </c>
      <c r="P585" s="93">
        <v>6.84</v>
      </c>
      <c r="Q585" s="94">
        <v>35</v>
      </c>
      <c r="R585" s="93">
        <f t="shared" si="36"/>
        <v>239.4</v>
      </c>
      <c r="S585" s="95">
        <v>0.02</v>
      </c>
      <c r="T585" s="96">
        <f t="shared" si="37"/>
        <v>4.7880000000000003</v>
      </c>
      <c r="U585" s="96">
        <f t="shared" si="38"/>
        <v>239.38</v>
      </c>
      <c r="V585" s="93">
        <v>4.42</v>
      </c>
      <c r="W585" s="97">
        <f t="shared" si="39"/>
        <v>243.79999999999998</v>
      </c>
    </row>
    <row r="586" spans="1:23" x14ac:dyDescent="0.25">
      <c r="A586" s="61" t="s">
        <v>679</v>
      </c>
      <c r="B586" s="91">
        <v>42083</v>
      </c>
      <c r="C586" s="92" t="s">
        <v>1890</v>
      </c>
      <c r="D586" s="92" t="s">
        <v>1253</v>
      </c>
      <c r="E586" s="92" t="s">
        <v>1199</v>
      </c>
      <c r="F586" s="92" t="s">
        <v>1254</v>
      </c>
      <c r="G586" s="92" t="s">
        <v>1201</v>
      </c>
      <c r="H586" s="92" t="s">
        <v>1255</v>
      </c>
      <c r="I586" s="92" t="s">
        <v>1264</v>
      </c>
      <c r="J586" s="92" t="s">
        <v>1507</v>
      </c>
      <c r="K586" s="92" t="s">
        <v>1239</v>
      </c>
      <c r="L586" s="92" t="s">
        <v>1260</v>
      </c>
      <c r="M586" s="92" t="s">
        <v>1250</v>
      </c>
      <c r="N586" s="91">
        <v>42084</v>
      </c>
      <c r="O586" s="93">
        <v>6.4</v>
      </c>
      <c r="P586" s="93">
        <v>29.1</v>
      </c>
      <c r="Q586" s="94">
        <v>50</v>
      </c>
      <c r="R586" s="93">
        <f t="shared" si="36"/>
        <v>1455</v>
      </c>
      <c r="S586" s="95">
        <v>0.09</v>
      </c>
      <c r="T586" s="96">
        <f t="shared" si="37"/>
        <v>130.94999999999999</v>
      </c>
      <c r="U586" s="96">
        <f t="shared" si="38"/>
        <v>1454.91</v>
      </c>
      <c r="V586" s="93">
        <v>4</v>
      </c>
      <c r="W586" s="97">
        <f t="shared" si="39"/>
        <v>1458.91</v>
      </c>
    </row>
    <row r="587" spans="1:23" x14ac:dyDescent="0.25">
      <c r="A587" s="61" t="s">
        <v>680</v>
      </c>
      <c r="B587" s="91">
        <v>42084</v>
      </c>
      <c r="C587" s="92" t="s">
        <v>1587</v>
      </c>
      <c r="D587" s="92" t="s">
        <v>1355</v>
      </c>
      <c r="E587" s="92" t="s">
        <v>1199</v>
      </c>
      <c r="F587" s="92" t="s">
        <v>1254</v>
      </c>
      <c r="G587" s="92" t="s">
        <v>1201</v>
      </c>
      <c r="H587" s="92" t="s">
        <v>1274</v>
      </c>
      <c r="I587" s="92" t="s">
        <v>1264</v>
      </c>
      <c r="J587" s="92" t="s">
        <v>1499</v>
      </c>
      <c r="K587" s="92" t="s">
        <v>1243</v>
      </c>
      <c r="L587" s="92" t="s">
        <v>1244</v>
      </c>
      <c r="M587" s="92" t="s">
        <v>1241</v>
      </c>
      <c r="N587" s="91">
        <v>42085</v>
      </c>
      <c r="O587" s="93">
        <v>3.75</v>
      </c>
      <c r="P587" s="93">
        <v>7.08</v>
      </c>
      <c r="Q587" s="94">
        <v>31</v>
      </c>
      <c r="R587" s="93">
        <f t="shared" si="36"/>
        <v>219.48</v>
      </c>
      <c r="S587" s="95">
        <v>0.01</v>
      </c>
      <c r="T587" s="96">
        <f t="shared" si="37"/>
        <v>2.1947999999999999</v>
      </c>
      <c r="U587" s="96">
        <f t="shared" si="38"/>
        <v>219.47</v>
      </c>
      <c r="V587" s="93">
        <v>2.35</v>
      </c>
      <c r="W587" s="97">
        <f t="shared" si="39"/>
        <v>221.82</v>
      </c>
    </row>
    <row r="588" spans="1:23" x14ac:dyDescent="0.25">
      <c r="A588" s="61" t="s">
        <v>681</v>
      </c>
      <c r="B588" s="91">
        <v>42085</v>
      </c>
      <c r="C588" s="92" t="s">
        <v>1891</v>
      </c>
      <c r="D588" s="92" t="s">
        <v>1496</v>
      </c>
      <c r="E588" s="92" t="s">
        <v>1198</v>
      </c>
      <c r="F588" s="92" t="s">
        <v>1235</v>
      </c>
      <c r="G588" s="92" t="s">
        <v>1203</v>
      </c>
      <c r="H588" s="92" t="s">
        <v>1313</v>
      </c>
      <c r="I588" s="92" t="s">
        <v>1317</v>
      </c>
      <c r="J588" s="92" t="s">
        <v>1405</v>
      </c>
      <c r="K588" s="92" t="s">
        <v>1243</v>
      </c>
      <c r="L588" s="92" t="s">
        <v>1260</v>
      </c>
      <c r="M588" s="92" t="s">
        <v>1250</v>
      </c>
      <c r="N588" s="91">
        <v>42086</v>
      </c>
      <c r="O588" s="93">
        <v>4.59</v>
      </c>
      <c r="P588" s="93">
        <v>7.28</v>
      </c>
      <c r="Q588" s="94">
        <v>40</v>
      </c>
      <c r="R588" s="93">
        <f t="shared" si="36"/>
        <v>291.2</v>
      </c>
      <c r="S588" s="95">
        <v>0.04</v>
      </c>
      <c r="T588" s="96">
        <f t="shared" si="37"/>
        <v>11.648</v>
      </c>
      <c r="U588" s="96">
        <f t="shared" si="38"/>
        <v>291.15999999999997</v>
      </c>
      <c r="V588" s="93">
        <v>11.15</v>
      </c>
      <c r="W588" s="97">
        <f t="shared" si="39"/>
        <v>302.30999999999995</v>
      </c>
    </row>
    <row r="589" spans="1:23" x14ac:dyDescent="0.25">
      <c r="A589" s="61" t="s">
        <v>682</v>
      </c>
      <c r="B589" s="91">
        <v>42087</v>
      </c>
      <c r="C589" s="92" t="s">
        <v>1892</v>
      </c>
      <c r="D589" s="92" t="s">
        <v>1674</v>
      </c>
      <c r="E589" s="92" t="s">
        <v>1198</v>
      </c>
      <c r="F589" s="92" t="s">
        <v>1235</v>
      </c>
      <c r="G589" s="92" t="s">
        <v>1200</v>
      </c>
      <c r="H589" s="92" t="s">
        <v>1409</v>
      </c>
      <c r="I589" s="92" t="s">
        <v>1237</v>
      </c>
      <c r="J589" s="92" t="s">
        <v>1341</v>
      </c>
      <c r="K589" s="92" t="s">
        <v>1243</v>
      </c>
      <c r="L589" s="92" t="s">
        <v>1260</v>
      </c>
      <c r="M589" s="92" t="s">
        <v>1241</v>
      </c>
      <c r="N589" s="91">
        <v>42089</v>
      </c>
      <c r="O589" s="93">
        <v>3.37</v>
      </c>
      <c r="P589" s="93">
        <v>5.53</v>
      </c>
      <c r="Q589" s="94">
        <v>23</v>
      </c>
      <c r="R589" s="93">
        <f t="shared" si="36"/>
        <v>127.19000000000001</v>
      </c>
      <c r="S589" s="95">
        <v>0.1</v>
      </c>
      <c r="T589" s="96">
        <f t="shared" si="37"/>
        <v>12.719000000000001</v>
      </c>
      <c r="U589" s="96">
        <f t="shared" si="38"/>
        <v>127.09000000000002</v>
      </c>
      <c r="V589" s="93">
        <v>6.98</v>
      </c>
      <c r="W589" s="97">
        <f t="shared" si="39"/>
        <v>134.07000000000002</v>
      </c>
    </row>
    <row r="590" spans="1:23" x14ac:dyDescent="0.25">
      <c r="A590" s="61" t="s">
        <v>683</v>
      </c>
      <c r="B590" s="91">
        <v>42087</v>
      </c>
      <c r="C590" s="92" t="s">
        <v>1893</v>
      </c>
      <c r="D590" s="92" t="s">
        <v>1430</v>
      </c>
      <c r="E590" s="92" t="s">
        <v>1199</v>
      </c>
      <c r="F590" s="92" t="s">
        <v>1254</v>
      </c>
      <c r="G590" s="92" t="s">
        <v>1200</v>
      </c>
      <c r="H590" s="92" t="s">
        <v>1274</v>
      </c>
      <c r="I590" s="92" t="s">
        <v>1264</v>
      </c>
      <c r="J590" s="92" t="s">
        <v>1456</v>
      </c>
      <c r="K590" s="92" t="s">
        <v>1243</v>
      </c>
      <c r="L590" s="92" t="s">
        <v>1260</v>
      </c>
      <c r="M590" s="92" t="s">
        <v>1241</v>
      </c>
      <c r="N590" s="91">
        <v>42088</v>
      </c>
      <c r="O590" s="93">
        <v>3.52</v>
      </c>
      <c r="P590" s="93">
        <v>5.68</v>
      </c>
      <c r="Q590" s="94">
        <v>8</v>
      </c>
      <c r="R590" s="93">
        <f t="shared" si="36"/>
        <v>45.44</v>
      </c>
      <c r="S590" s="95">
        <v>0.02</v>
      </c>
      <c r="T590" s="96">
        <f t="shared" si="37"/>
        <v>0.90879999999999994</v>
      </c>
      <c r="U590" s="96">
        <f t="shared" si="38"/>
        <v>45.419999999999995</v>
      </c>
      <c r="V590" s="93">
        <v>1.39</v>
      </c>
      <c r="W590" s="97">
        <f t="shared" si="39"/>
        <v>46.809999999999995</v>
      </c>
    </row>
    <row r="591" spans="1:23" x14ac:dyDescent="0.25">
      <c r="A591" s="61" t="s">
        <v>684</v>
      </c>
      <c r="B591" s="91">
        <v>42088</v>
      </c>
      <c r="C591" s="92" t="s">
        <v>1841</v>
      </c>
      <c r="D591" s="92" t="s">
        <v>1355</v>
      </c>
      <c r="E591" s="92" t="s">
        <v>1199</v>
      </c>
      <c r="F591" s="92" t="s">
        <v>1254</v>
      </c>
      <c r="G591" s="92" t="s">
        <v>1203</v>
      </c>
      <c r="H591" s="92" t="s">
        <v>1274</v>
      </c>
      <c r="I591" s="92" t="s">
        <v>1256</v>
      </c>
      <c r="J591" s="92" t="s">
        <v>1257</v>
      </c>
      <c r="K591" s="92" t="s">
        <v>1239</v>
      </c>
      <c r="L591" s="92" t="s">
        <v>1258</v>
      </c>
      <c r="M591" s="92" t="s">
        <v>1241</v>
      </c>
      <c r="N591" s="91">
        <v>42090</v>
      </c>
      <c r="O591" s="93">
        <v>8.82</v>
      </c>
      <c r="P591" s="93">
        <v>20.99</v>
      </c>
      <c r="Q591" s="94">
        <v>45</v>
      </c>
      <c r="R591" s="93">
        <f t="shared" si="36"/>
        <v>944.55</v>
      </c>
      <c r="S591" s="95">
        <v>0.03</v>
      </c>
      <c r="T591" s="96">
        <f t="shared" si="37"/>
        <v>28.336499999999997</v>
      </c>
      <c r="U591" s="96">
        <f t="shared" si="38"/>
        <v>944.52</v>
      </c>
      <c r="V591" s="93">
        <v>4.8099999999999996</v>
      </c>
      <c r="W591" s="97">
        <f t="shared" si="39"/>
        <v>949.32999999999993</v>
      </c>
    </row>
    <row r="592" spans="1:23" x14ac:dyDescent="0.25">
      <c r="A592" s="61" t="s">
        <v>685</v>
      </c>
      <c r="B592" s="91">
        <v>42088</v>
      </c>
      <c r="C592" s="92" t="s">
        <v>1889</v>
      </c>
      <c r="D592" s="92" t="s">
        <v>1451</v>
      </c>
      <c r="E592" s="92" t="s">
        <v>1198</v>
      </c>
      <c r="F592" s="92" t="s">
        <v>1235</v>
      </c>
      <c r="G592" s="92" t="s">
        <v>1200</v>
      </c>
      <c r="H592" s="92" t="s">
        <v>1291</v>
      </c>
      <c r="I592" s="92" t="s">
        <v>1256</v>
      </c>
      <c r="J592" s="92" t="s">
        <v>1396</v>
      </c>
      <c r="K592" s="92" t="s">
        <v>1243</v>
      </c>
      <c r="L592" s="92" t="s">
        <v>1244</v>
      </c>
      <c r="M592" s="92" t="s">
        <v>1250</v>
      </c>
      <c r="N592" s="91">
        <v>42090</v>
      </c>
      <c r="O592" s="93">
        <v>1.53</v>
      </c>
      <c r="P592" s="93">
        <v>2.78</v>
      </c>
      <c r="Q592" s="94">
        <v>34</v>
      </c>
      <c r="R592" s="93">
        <f t="shared" si="36"/>
        <v>94.52</v>
      </c>
      <c r="S592" s="95">
        <v>0</v>
      </c>
      <c r="T592" s="96">
        <f t="shared" si="37"/>
        <v>0</v>
      </c>
      <c r="U592" s="96">
        <f t="shared" si="38"/>
        <v>94.52</v>
      </c>
      <c r="V592" s="93">
        <v>1.34</v>
      </c>
      <c r="W592" s="97">
        <f t="shared" si="39"/>
        <v>95.86</v>
      </c>
    </row>
    <row r="593" spans="1:23" x14ac:dyDescent="0.25">
      <c r="A593" s="61" t="s">
        <v>686</v>
      </c>
      <c r="B593" s="91">
        <v>42093</v>
      </c>
      <c r="C593" s="92" t="s">
        <v>1735</v>
      </c>
      <c r="D593" s="92" t="s">
        <v>1388</v>
      </c>
      <c r="E593" s="92" t="s">
        <v>1199</v>
      </c>
      <c r="F593" s="92" t="s">
        <v>1254</v>
      </c>
      <c r="G593" s="92" t="s">
        <v>1201</v>
      </c>
      <c r="H593" s="92" t="s">
        <v>1255</v>
      </c>
      <c r="I593" s="92" t="s">
        <v>1237</v>
      </c>
      <c r="J593" s="92" t="s">
        <v>1401</v>
      </c>
      <c r="K593" s="92" t="s">
        <v>1239</v>
      </c>
      <c r="L593" s="92" t="s">
        <v>1260</v>
      </c>
      <c r="M593" s="92" t="s">
        <v>1241</v>
      </c>
      <c r="N593" s="91">
        <v>42095</v>
      </c>
      <c r="O593" s="93">
        <v>54.52</v>
      </c>
      <c r="P593" s="93">
        <v>100.97</v>
      </c>
      <c r="Q593" s="94">
        <v>13</v>
      </c>
      <c r="R593" s="93">
        <f t="shared" si="36"/>
        <v>1312.61</v>
      </c>
      <c r="S593" s="95">
        <v>0.06</v>
      </c>
      <c r="T593" s="96">
        <f t="shared" si="37"/>
        <v>78.756599999999992</v>
      </c>
      <c r="U593" s="96">
        <f t="shared" si="38"/>
        <v>1312.55</v>
      </c>
      <c r="V593" s="93">
        <v>7.18</v>
      </c>
      <c r="W593" s="97">
        <f t="shared" si="39"/>
        <v>1319.73</v>
      </c>
    </row>
    <row r="594" spans="1:23" x14ac:dyDescent="0.25">
      <c r="A594" s="61" t="s">
        <v>687</v>
      </c>
      <c r="B594" s="91">
        <v>42098</v>
      </c>
      <c r="C594" s="92" t="s">
        <v>1894</v>
      </c>
      <c r="D594" s="92" t="s">
        <v>1496</v>
      </c>
      <c r="E594" s="92" t="s">
        <v>1198</v>
      </c>
      <c r="F594" s="92" t="s">
        <v>1235</v>
      </c>
      <c r="G594" s="92" t="s">
        <v>1203</v>
      </c>
      <c r="H594" s="92" t="s">
        <v>1313</v>
      </c>
      <c r="I594" s="92" t="s">
        <v>1237</v>
      </c>
      <c r="J594" s="92" t="s">
        <v>1413</v>
      </c>
      <c r="K594" s="92" t="s">
        <v>1239</v>
      </c>
      <c r="L594" s="92" t="s">
        <v>1319</v>
      </c>
      <c r="M594" s="92" t="s">
        <v>1320</v>
      </c>
      <c r="N594" s="91">
        <v>42099</v>
      </c>
      <c r="O594" s="93">
        <v>75</v>
      </c>
      <c r="P594" s="93">
        <v>120.97</v>
      </c>
      <c r="Q594" s="94">
        <v>38</v>
      </c>
      <c r="R594" s="93">
        <f t="shared" si="36"/>
        <v>4596.8599999999997</v>
      </c>
      <c r="S594" s="95">
        <v>0.09</v>
      </c>
      <c r="T594" s="96">
        <f t="shared" si="37"/>
        <v>413.71739999999994</v>
      </c>
      <c r="U594" s="96">
        <f t="shared" si="38"/>
        <v>4596.7699999999995</v>
      </c>
      <c r="V594" s="93">
        <v>26.3</v>
      </c>
      <c r="W594" s="97">
        <f t="shared" si="39"/>
        <v>4623.07</v>
      </c>
    </row>
    <row r="595" spans="1:23" x14ac:dyDescent="0.25">
      <c r="A595" s="61" t="s">
        <v>688</v>
      </c>
      <c r="B595" s="91">
        <v>42098</v>
      </c>
      <c r="C595" s="92" t="s">
        <v>1725</v>
      </c>
      <c r="D595" s="92" t="s">
        <v>1326</v>
      </c>
      <c r="E595" s="92" t="s">
        <v>1199</v>
      </c>
      <c r="F595" s="92" t="s">
        <v>1254</v>
      </c>
      <c r="G595" s="92" t="s">
        <v>1201</v>
      </c>
      <c r="H595" s="92" t="s">
        <v>1255</v>
      </c>
      <c r="I595" s="92" t="s">
        <v>1317</v>
      </c>
      <c r="J595" s="92" t="s">
        <v>1297</v>
      </c>
      <c r="K595" s="92" t="s">
        <v>1243</v>
      </c>
      <c r="L595" s="92" t="s">
        <v>1244</v>
      </c>
      <c r="M595" s="92" t="s">
        <v>1241</v>
      </c>
      <c r="N595" s="91">
        <v>42099</v>
      </c>
      <c r="O595" s="93">
        <v>2.59</v>
      </c>
      <c r="P595" s="93">
        <v>3.98</v>
      </c>
      <c r="Q595" s="94">
        <v>2</v>
      </c>
      <c r="R595" s="93">
        <f t="shared" si="36"/>
        <v>7.96</v>
      </c>
      <c r="S595" s="95">
        <v>0.04</v>
      </c>
      <c r="T595" s="96">
        <f t="shared" si="37"/>
        <v>0.31840000000000002</v>
      </c>
      <c r="U595" s="96">
        <f t="shared" si="38"/>
        <v>7.92</v>
      </c>
      <c r="V595" s="93">
        <v>2.97</v>
      </c>
      <c r="W595" s="97">
        <f t="shared" si="39"/>
        <v>10.89</v>
      </c>
    </row>
    <row r="596" spans="1:23" x14ac:dyDescent="0.25">
      <c r="A596" s="61" t="s">
        <v>689</v>
      </c>
      <c r="B596" s="91">
        <v>42102</v>
      </c>
      <c r="C596" s="92" t="s">
        <v>1605</v>
      </c>
      <c r="D596" s="92" t="s">
        <v>1268</v>
      </c>
      <c r="E596" s="92" t="s">
        <v>1198</v>
      </c>
      <c r="F596" s="92" t="s">
        <v>1235</v>
      </c>
      <c r="G596" s="92" t="s">
        <v>1203</v>
      </c>
      <c r="H596" s="92" t="s">
        <v>1269</v>
      </c>
      <c r="I596" s="92" t="s">
        <v>1264</v>
      </c>
      <c r="J596" s="92" t="s">
        <v>1341</v>
      </c>
      <c r="K596" s="92" t="s">
        <v>1243</v>
      </c>
      <c r="L596" s="92" t="s">
        <v>1260</v>
      </c>
      <c r="M596" s="92" t="s">
        <v>1241</v>
      </c>
      <c r="N596" s="91">
        <v>42103</v>
      </c>
      <c r="O596" s="93">
        <v>3.37</v>
      </c>
      <c r="P596" s="93">
        <v>5.53</v>
      </c>
      <c r="Q596" s="94">
        <v>9</v>
      </c>
      <c r="R596" s="93">
        <f t="shared" si="36"/>
        <v>49.77</v>
      </c>
      <c r="S596" s="95">
        <v>0.09</v>
      </c>
      <c r="T596" s="96">
        <f t="shared" si="37"/>
        <v>4.4793000000000003</v>
      </c>
      <c r="U596" s="96">
        <f t="shared" si="38"/>
        <v>49.68</v>
      </c>
      <c r="V596" s="93">
        <v>6.98</v>
      </c>
      <c r="W596" s="97">
        <f t="shared" si="39"/>
        <v>56.66</v>
      </c>
    </row>
    <row r="597" spans="1:23" x14ac:dyDescent="0.25">
      <c r="A597" s="61" t="s">
        <v>690</v>
      </c>
      <c r="B597" s="91">
        <v>42102</v>
      </c>
      <c r="C597" s="92" t="s">
        <v>1895</v>
      </c>
      <c r="D597" s="92" t="s">
        <v>1772</v>
      </c>
      <c r="E597" s="92" t="s">
        <v>1198</v>
      </c>
      <c r="F597" s="92" t="s">
        <v>1235</v>
      </c>
      <c r="G597" s="92" t="s">
        <v>1201</v>
      </c>
      <c r="H597" s="92" t="s">
        <v>1247</v>
      </c>
      <c r="I597" s="92" t="s">
        <v>1256</v>
      </c>
      <c r="J597" s="92" t="s">
        <v>1366</v>
      </c>
      <c r="K597" s="92" t="s">
        <v>1243</v>
      </c>
      <c r="L597" s="92" t="s">
        <v>1244</v>
      </c>
      <c r="M597" s="92" t="s">
        <v>1241</v>
      </c>
      <c r="N597" s="91">
        <v>42103</v>
      </c>
      <c r="O597" s="93">
        <v>3.48</v>
      </c>
      <c r="P597" s="93">
        <v>5.43</v>
      </c>
      <c r="Q597" s="94">
        <v>13</v>
      </c>
      <c r="R597" s="93">
        <f t="shared" si="36"/>
        <v>70.59</v>
      </c>
      <c r="S597" s="95">
        <v>0.02</v>
      </c>
      <c r="T597" s="96">
        <f t="shared" si="37"/>
        <v>1.4118000000000002</v>
      </c>
      <c r="U597" s="96">
        <f t="shared" si="38"/>
        <v>70.570000000000007</v>
      </c>
      <c r="V597" s="93">
        <v>0.95</v>
      </c>
      <c r="W597" s="97">
        <f t="shared" si="39"/>
        <v>71.52000000000001</v>
      </c>
    </row>
    <row r="598" spans="1:23" x14ac:dyDescent="0.25">
      <c r="A598" s="61" t="s">
        <v>691</v>
      </c>
      <c r="B598" s="91">
        <v>42104</v>
      </c>
      <c r="C598" s="92" t="s">
        <v>1896</v>
      </c>
      <c r="D598" s="92" t="s">
        <v>1262</v>
      </c>
      <c r="E598" s="92" t="s">
        <v>1198</v>
      </c>
      <c r="F598" s="92" t="s">
        <v>1235</v>
      </c>
      <c r="G598" s="92" t="s">
        <v>1202</v>
      </c>
      <c r="H598" s="92" t="s">
        <v>1263</v>
      </c>
      <c r="I598" s="92" t="s">
        <v>1317</v>
      </c>
      <c r="J598" s="92" t="s">
        <v>1897</v>
      </c>
      <c r="K598" s="92" t="s">
        <v>1243</v>
      </c>
      <c r="L598" s="92" t="s">
        <v>1260</v>
      </c>
      <c r="M598" s="92" t="s">
        <v>1241</v>
      </c>
      <c r="N598" s="91">
        <v>42107</v>
      </c>
      <c r="O598" s="93">
        <v>3.53</v>
      </c>
      <c r="P598" s="93">
        <v>8.6199999999999992</v>
      </c>
      <c r="Q598" s="94">
        <v>50</v>
      </c>
      <c r="R598" s="93">
        <f t="shared" si="36"/>
        <v>430.99999999999994</v>
      </c>
      <c r="S598" s="95">
        <v>7.0000000000000007E-2</v>
      </c>
      <c r="T598" s="96">
        <f t="shared" si="37"/>
        <v>30.169999999999998</v>
      </c>
      <c r="U598" s="96">
        <f t="shared" si="38"/>
        <v>430.92999999999995</v>
      </c>
      <c r="V598" s="93">
        <v>4.5</v>
      </c>
      <c r="W598" s="97">
        <f t="shared" si="39"/>
        <v>435.42999999999995</v>
      </c>
    </row>
    <row r="599" spans="1:23" x14ac:dyDescent="0.25">
      <c r="A599" s="61" t="s">
        <v>692</v>
      </c>
      <c r="B599" s="91">
        <v>42104</v>
      </c>
      <c r="C599" s="92" t="s">
        <v>1868</v>
      </c>
      <c r="D599" s="92" t="s">
        <v>1585</v>
      </c>
      <c r="E599" s="92" t="s">
        <v>1198</v>
      </c>
      <c r="F599" s="92" t="s">
        <v>1235</v>
      </c>
      <c r="G599" s="92" t="s">
        <v>1201</v>
      </c>
      <c r="H599" s="92" t="s">
        <v>1291</v>
      </c>
      <c r="I599" s="92" t="s">
        <v>1264</v>
      </c>
      <c r="J599" s="92" t="s">
        <v>1271</v>
      </c>
      <c r="K599" s="92" t="s">
        <v>1239</v>
      </c>
      <c r="L599" s="92" t="s">
        <v>1260</v>
      </c>
      <c r="M599" s="92" t="s">
        <v>1241</v>
      </c>
      <c r="N599" s="91">
        <v>42106</v>
      </c>
      <c r="O599" s="93">
        <v>6.39</v>
      </c>
      <c r="P599" s="93">
        <v>19.98</v>
      </c>
      <c r="Q599" s="94">
        <v>35</v>
      </c>
      <c r="R599" s="93">
        <f t="shared" si="36"/>
        <v>699.30000000000007</v>
      </c>
      <c r="S599" s="95">
        <v>0.1</v>
      </c>
      <c r="T599" s="96">
        <f t="shared" si="37"/>
        <v>69.930000000000007</v>
      </c>
      <c r="U599" s="96">
        <f t="shared" si="38"/>
        <v>699.2</v>
      </c>
      <c r="V599" s="93">
        <v>4</v>
      </c>
      <c r="W599" s="97">
        <f t="shared" si="39"/>
        <v>703.2</v>
      </c>
    </row>
    <row r="600" spans="1:23" x14ac:dyDescent="0.25">
      <c r="A600" s="61" t="s">
        <v>693</v>
      </c>
      <c r="B600" s="91">
        <v>42104</v>
      </c>
      <c r="C600" s="92" t="s">
        <v>1898</v>
      </c>
      <c r="D600" s="92" t="s">
        <v>1285</v>
      </c>
      <c r="E600" s="92" t="s">
        <v>1198</v>
      </c>
      <c r="F600" s="92" t="s">
        <v>1235</v>
      </c>
      <c r="G600" s="92" t="s">
        <v>1200</v>
      </c>
      <c r="H600" s="92" t="s">
        <v>1286</v>
      </c>
      <c r="I600" s="92" t="s">
        <v>1264</v>
      </c>
      <c r="J600" s="92" t="s">
        <v>1396</v>
      </c>
      <c r="K600" s="92" t="s">
        <v>1243</v>
      </c>
      <c r="L600" s="92" t="s">
        <v>1244</v>
      </c>
      <c r="M600" s="92" t="s">
        <v>1241</v>
      </c>
      <c r="N600" s="91">
        <v>42105</v>
      </c>
      <c r="O600" s="93">
        <v>1.53</v>
      </c>
      <c r="P600" s="93">
        <v>2.78</v>
      </c>
      <c r="Q600" s="94">
        <v>19</v>
      </c>
      <c r="R600" s="93">
        <f t="shared" si="36"/>
        <v>52.819999999999993</v>
      </c>
      <c r="S600" s="95">
        <v>0.06</v>
      </c>
      <c r="T600" s="96">
        <f t="shared" si="37"/>
        <v>3.1691999999999996</v>
      </c>
      <c r="U600" s="96">
        <f t="shared" si="38"/>
        <v>52.759999999999991</v>
      </c>
      <c r="V600" s="93">
        <v>1.34</v>
      </c>
      <c r="W600" s="97">
        <f t="shared" si="39"/>
        <v>54.099999999999994</v>
      </c>
    </row>
    <row r="601" spans="1:23" x14ac:dyDescent="0.25">
      <c r="A601" s="61" t="s">
        <v>694</v>
      </c>
      <c r="B601" s="91">
        <v>42105</v>
      </c>
      <c r="C601" s="92" t="s">
        <v>1516</v>
      </c>
      <c r="D601" s="92" t="s">
        <v>1262</v>
      </c>
      <c r="E601" s="92" t="s">
        <v>1198</v>
      </c>
      <c r="F601" s="92" t="s">
        <v>1235</v>
      </c>
      <c r="G601" s="92" t="s">
        <v>1201</v>
      </c>
      <c r="H601" s="92" t="s">
        <v>1263</v>
      </c>
      <c r="I601" s="92" t="s">
        <v>1237</v>
      </c>
      <c r="J601" s="92" t="s">
        <v>1475</v>
      </c>
      <c r="K601" s="92" t="s">
        <v>1239</v>
      </c>
      <c r="L601" s="92" t="s">
        <v>1260</v>
      </c>
      <c r="M601" s="92" t="s">
        <v>1241</v>
      </c>
      <c r="N601" s="91">
        <v>42106</v>
      </c>
      <c r="O601" s="93">
        <v>10.07</v>
      </c>
      <c r="P601" s="93">
        <v>15.98</v>
      </c>
      <c r="Q601" s="94">
        <v>40</v>
      </c>
      <c r="R601" s="93">
        <f t="shared" si="36"/>
        <v>639.20000000000005</v>
      </c>
      <c r="S601" s="95">
        <v>0.01</v>
      </c>
      <c r="T601" s="96">
        <f t="shared" si="37"/>
        <v>6.3920000000000003</v>
      </c>
      <c r="U601" s="96">
        <f t="shared" si="38"/>
        <v>639.19000000000005</v>
      </c>
      <c r="V601" s="93">
        <v>4</v>
      </c>
      <c r="W601" s="97">
        <f t="shared" si="39"/>
        <v>643.19000000000005</v>
      </c>
    </row>
    <row r="602" spans="1:23" x14ac:dyDescent="0.25">
      <c r="A602" s="61" t="s">
        <v>695</v>
      </c>
      <c r="B602" s="91">
        <v>42107</v>
      </c>
      <c r="C602" s="92" t="s">
        <v>1899</v>
      </c>
      <c r="D602" s="92" t="s">
        <v>1900</v>
      </c>
      <c r="E602" s="92" t="s">
        <v>1198</v>
      </c>
      <c r="F602" s="92" t="s">
        <v>1235</v>
      </c>
      <c r="G602" s="92" t="s">
        <v>1200</v>
      </c>
      <c r="H602" s="92" t="s">
        <v>1304</v>
      </c>
      <c r="I602" s="92" t="s">
        <v>1317</v>
      </c>
      <c r="J602" s="92" t="s">
        <v>1342</v>
      </c>
      <c r="K602" s="92" t="s">
        <v>1243</v>
      </c>
      <c r="L602" s="92" t="s">
        <v>1244</v>
      </c>
      <c r="M602" s="92" t="s">
        <v>1241</v>
      </c>
      <c r="N602" s="91">
        <v>42108</v>
      </c>
      <c r="O602" s="93">
        <v>2.16</v>
      </c>
      <c r="P602" s="93">
        <v>3.85</v>
      </c>
      <c r="Q602" s="94">
        <v>42</v>
      </c>
      <c r="R602" s="93">
        <f t="shared" si="36"/>
        <v>161.70000000000002</v>
      </c>
      <c r="S602" s="95">
        <v>0.01</v>
      </c>
      <c r="T602" s="96">
        <f t="shared" si="37"/>
        <v>1.6170000000000002</v>
      </c>
      <c r="U602" s="96">
        <f t="shared" si="38"/>
        <v>161.69000000000003</v>
      </c>
      <c r="V602" s="93">
        <v>0.7</v>
      </c>
      <c r="W602" s="97">
        <f t="shared" si="39"/>
        <v>162.39000000000001</v>
      </c>
    </row>
    <row r="603" spans="1:23" x14ac:dyDescent="0.25">
      <c r="A603" s="61" t="s">
        <v>696</v>
      </c>
      <c r="B603" s="91">
        <v>42112</v>
      </c>
      <c r="C603" s="92" t="s">
        <v>1786</v>
      </c>
      <c r="D603" s="92" t="s">
        <v>1355</v>
      </c>
      <c r="E603" s="92" t="s">
        <v>1199</v>
      </c>
      <c r="F603" s="92" t="s">
        <v>1254</v>
      </c>
      <c r="G603" s="92" t="s">
        <v>1200</v>
      </c>
      <c r="H603" s="92" t="s">
        <v>1274</v>
      </c>
      <c r="I603" s="92" t="s">
        <v>1237</v>
      </c>
      <c r="J603" s="92" t="s">
        <v>1341</v>
      </c>
      <c r="K603" s="92" t="s">
        <v>1243</v>
      </c>
      <c r="L603" s="92" t="s">
        <v>1260</v>
      </c>
      <c r="M603" s="92" t="s">
        <v>1241</v>
      </c>
      <c r="N603" s="91">
        <v>42113</v>
      </c>
      <c r="O603" s="93">
        <v>3.37</v>
      </c>
      <c r="P603" s="93">
        <v>5.53</v>
      </c>
      <c r="Q603" s="94">
        <v>30</v>
      </c>
      <c r="R603" s="93">
        <f t="shared" si="36"/>
        <v>165.9</v>
      </c>
      <c r="S603" s="95">
        <v>0.01</v>
      </c>
      <c r="T603" s="96">
        <f t="shared" si="37"/>
        <v>1.659</v>
      </c>
      <c r="U603" s="96">
        <f t="shared" si="38"/>
        <v>165.89000000000001</v>
      </c>
      <c r="V603" s="93">
        <v>6.98</v>
      </c>
      <c r="W603" s="97">
        <f t="shared" si="39"/>
        <v>172.87</v>
      </c>
    </row>
    <row r="604" spans="1:23" x14ac:dyDescent="0.25">
      <c r="A604" s="61" t="s">
        <v>697</v>
      </c>
      <c r="B604" s="91">
        <v>42112</v>
      </c>
      <c r="C604" s="92" t="s">
        <v>1758</v>
      </c>
      <c r="D604" s="92" t="s">
        <v>1253</v>
      </c>
      <c r="E604" s="92" t="s">
        <v>1199</v>
      </c>
      <c r="F604" s="92" t="s">
        <v>1254</v>
      </c>
      <c r="G604" s="92" t="s">
        <v>1200</v>
      </c>
      <c r="H604" s="92" t="s">
        <v>1255</v>
      </c>
      <c r="I604" s="92" t="s">
        <v>1237</v>
      </c>
      <c r="J604" s="92" t="s">
        <v>1341</v>
      </c>
      <c r="K604" s="92" t="s">
        <v>1243</v>
      </c>
      <c r="L604" s="92" t="s">
        <v>1260</v>
      </c>
      <c r="M604" s="92" t="s">
        <v>1241</v>
      </c>
      <c r="N604" s="91">
        <v>42113</v>
      </c>
      <c r="O604" s="93">
        <v>3.37</v>
      </c>
      <c r="P604" s="93">
        <v>5.53</v>
      </c>
      <c r="Q604" s="94">
        <v>27</v>
      </c>
      <c r="R604" s="93">
        <f t="shared" si="36"/>
        <v>149.31</v>
      </c>
      <c r="S604" s="95">
        <v>0.04</v>
      </c>
      <c r="T604" s="96">
        <f t="shared" si="37"/>
        <v>5.9724000000000004</v>
      </c>
      <c r="U604" s="96">
        <f t="shared" si="38"/>
        <v>149.27000000000001</v>
      </c>
      <c r="V604" s="93">
        <v>6.98</v>
      </c>
      <c r="W604" s="97">
        <f t="shared" si="39"/>
        <v>156.25</v>
      </c>
    </row>
    <row r="605" spans="1:23" x14ac:dyDescent="0.25">
      <c r="A605" s="61" t="s">
        <v>698</v>
      </c>
      <c r="B605" s="91">
        <v>42112</v>
      </c>
      <c r="C605" s="92" t="s">
        <v>1901</v>
      </c>
      <c r="D605" s="92" t="s">
        <v>1831</v>
      </c>
      <c r="E605" s="92" t="s">
        <v>1198</v>
      </c>
      <c r="F605" s="92" t="s">
        <v>1235</v>
      </c>
      <c r="G605" s="92" t="s">
        <v>1201</v>
      </c>
      <c r="H605" s="92" t="s">
        <v>1286</v>
      </c>
      <c r="I605" s="92" t="s">
        <v>1237</v>
      </c>
      <c r="J605" s="92" t="s">
        <v>1590</v>
      </c>
      <c r="K605" s="92" t="s">
        <v>1243</v>
      </c>
      <c r="L605" s="92" t="s">
        <v>1260</v>
      </c>
      <c r="M605" s="92" t="s">
        <v>1241</v>
      </c>
      <c r="N605" s="91">
        <v>42112</v>
      </c>
      <c r="O605" s="93">
        <v>3.5</v>
      </c>
      <c r="P605" s="93">
        <v>5.74</v>
      </c>
      <c r="Q605" s="94">
        <v>23</v>
      </c>
      <c r="R605" s="93">
        <f t="shared" si="36"/>
        <v>132.02000000000001</v>
      </c>
      <c r="S605" s="95">
        <v>0.06</v>
      </c>
      <c r="T605" s="96">
        <f t="shared" si="37"/>
        <v>7.9212000000000007</v>
      </c>
      <c r="U605" s="96">
        <f t="shared" si="38"/>
        <v>131.96</v>
      </c>
      <c r="V605" s="93">
        <v>5.01</v>
      </c>
      <c r="W605" s="97">
        <f t="shared" si="39"/>
        <v>136.97</v>
      </c>
    </row>
    <row r="606" spans="1:23" x14ac:dyDescent="0.25">
      <c r="A606" s="61" t="s">
        <v>699</v>
      </c>
      <c r="B606" s="91">
        <v>42113</v>
      </c>
      <c r="C606" s="92" t="s">
        <v>1446</v>
      </c>
      <c r="D606" s="92" t="s">
        <v>1395</v>
      </c>
      <c r="E606" s="92" t="s">
        <v>1198</v>
      </c>
      <c r="F606" s="92" t="s">
        <v>1235</v>
      </c>
      <c r="G606" s="92" t="s">
        <v>1200</v>
      </c>
      <c r="H606" s="92" t="s">
        <v>1236</v>
      </c>
      <c r="I606" s="92" t="s">
        <v>1256</v>
      </c>
      <c r="J606" s="92" t="s">
        <v>1271</v>
      </c>
      <c r="K606" s="92" t="s">
        <v>1239</v>
      </c>
      <c r="L606" s="92" t="s">
        <v>1260</v>
      </c>
      <c r="M606" s="92" t="s">
        <v>1250</v>
      </c>
      <c r="N606" s="91">
        <v>42113</v>
      </c>
      <c r="O606" s="93">
        <v>6.39</v>
      </c>
      <c r="P606" s="93">
        <v>19.98</v>
      </c>
      <c r="Q606" s="94">
        <v>6</v>
      </c>
      <c r="R606" s="93">
        <f t="shared" si="36"/>
        <v>119.88</v>
      </c>
      <c r="S606" s="95">
        <v>0.08</v>
      </c>
      <c r="T606" s="96">
        <f t="shared" si="37"/>
        <v>9.5904000000000007</v>
      </c>
      <c r="U606" s="96">
        <f t="shared" si="38"/>
        <v>119.8</v>
      </c>
      <c r="V606" s="93">
        <v>4</v>
      </c>
      <c r="W606" s="97">
        <f t="shared" si="39"/>
        <v>123.8</v>
      </c>
    </row>
    <row r="607" spans="1:23" x14ac:dyDescent="0.25">
      <c r="A607" s="61" t="s">
        <v>700</v>
      </c>
      <c r="B607" s="91">
        <v>42114</v>
      </c>
      <c r="C607" s="92" t="s">
        <v>1902</v>
      </c>
      <c r="D607" s="92" t="s">
        <v>1532</v>
      </c>
      <c r="E607" s="92" t="s">
        <v>1198</v>
      </c>
      <c r="F607" s="92" t="s">
        <v>1235</v>
      </c>
      <c r="G607" s="92" t="s">
        <v>1200</v>
      </c>
      <c r="H607" s="92" t="s">
        <v>1263</v>
      </c>
      <c r="I607" s="92" t="s">
        <v>1317</v>
      </c>
      <c r="J607" s="92" t="s">
        <v>1251</v>
      </c>
      <c r="K607" s="92" t="s">
        <v>1243</v>
      </c>
      <c r="L607" s="92" t="s">
        <v>1244</v>
      </c>
      <c r="M607" s="92" t="s">
        <v>1250</v>
      </c>
      <c r="N607" s="91">
        <v>42116</v>
      </c>
      <c r="O607" s="93">
        <v>2.98</v>
      </c>
      <c r="P607" s="93">
        <v>5.84</v>
      </c>
      <c r="Q607" s="94">
        <v>12</v>
      </c>
      <c r="R607" s="93">
        <f t="shared" si="36"/>
        <v>70.08</v>
      </c>
      <c r="S607" s="95">
        <v>0.02</v>
      </c>
      <c r="T607" s="96">
        <f t="shared" si="37"/>
        <v>1.4016</v>
      </c>
      <c r="U607" s="96">
        <f t="shared" si="38"/>
        <v>70.06</v>
      </c>
      <c r="V607" s="93">
        <v>0.83</v>
      </c>
      <c r="W607" s="97">
        <f t="shared" si="39"/>
        <v>70.89</v>
      </c>
    </row>
    <row r="608" spans="1:23" x14ac:dyDescent="0.25">
      <c r="A608" s="61" t="s">
        <v>701</v>
      </c>
      <c r="B608" s="91">
        <v>42117</v>
      </c>
      <c r="C608" s="92" t="s">
        <v>1529</v>
      </c>
      <c r="D608" s="92" t="s">
        <v>1454</v>
      </c>
      <c r="E608" s="92" t="s">
        <v>1198</v>
      </c>
      <c r="F608" s="92" t="s">
        <v>1235</v>
      </c>
      <c r="G608" s="92" t="s">
        <v>1201</v>
      </c>
      <c r="H608" s="92" t="s">
        <v>1304</v>
      </c>
      <c r="I608" s="92" t="s">
        <v>1317</v>
      </c>
      <c r="J608" s="92" t="s">
        <v>1295</v>
      </c>
      <c r="K608" s="92" t="s">
        <v>1239</v>
      </c>
      <c r="L608" s="92" t="s">
        <v>1296</v>
      </c>
      <c r="M608" s="92" t="s">
        <v>1241</v>
      </c>
      <c r="N608" s="91">
        <v>42117</v>
      </c>
      <c r="O608" s="93">
        <v>377.99</v>
      </c>
      <c r="P608" s="93">
        <v>599.99</v>
      </c>
      <c r="Q608" s="94">
        <v>50</v>
      </c>
      <c r="R608" s="93">
        <f t="shared" si="36"/>
        <v>29999.5</v>
      </c>
      <c r="S608" s="95">
        <v>0.09</v>
      </c>
      <c r="T608" s="96">
        <f t="shared" si="37"/>
        <v>2699.9549999999999</v>
      </c>
      <c r="U608" s="96">
        <f t="shared" si="38"/>
        <v>29999.41</v>
      </c>
      <c r="V608" s="93">
        <v>24.49</v>
      </c>
      <c r="W608" s="97">
        <f t="shared" si="39"/>
        <v>30023.9</v>
      </c>
    </row>
    <row r="609" spans="1:23" x14ac:dyDescent="0.25">
      <c r="A609" s="61" t="s">
        <v>702</v>
      </c>
      <c r="B609" s="91">
        <v>42118</v>
      </c>
      <c r="C609" s="92" t="s">
        <v>1233</v>
      </c>
      <c r="D609" s="92" t="s">
        <v>1234</v>
      </c>
      <c r="E609" s="92" t="s">
        <v>1198</v>
      </c>
      <c r="F609" s="92" t="s">
        <v>1235</v>
      </c>
      <c r="G609" s="92" t="s">
        <v>1200</v>
      </c>
      <c r="H609" s="92" t="s">
        <v>1236</v>
      </c>
      <c r="I609" s="92" t="s">
        <v>1248</v>
      </c>
      <c r="J609" s="92" t="s">
        <v>1527</v>
      </c>
      <c r="K609" s="92" t="s">
        <v>1243</v>
      </c>
      <c r="L609" s="92" t="s">
        <v>1244</v>
      </c>
      <c r="M609" s="92" t="s">
        <v>1241</v>
      </c>
      <c r="N609" s="91">
        <v>42118</v>
      </c>
      <c r="O609" s="93">
        <v>1.76</v>
      </c>
      <c r="P609" s="93">
        <v>3.38</v>
      </c>
      <c r="Q609" s="94">
        <v>31</v>
      </c>
      <c r="R609" s="93">
        <f t="shared" si="36"/>
        <v>104.78</v>
      </c>
      <c r="S609" s="95">
        <v>0.04</v>
      </c>
      <c r="T609" s="96">
        <f t="shared" si="37"/>
        <v>4.1912000000000003</v>
      </c>
      <c r="U609" s="96">
        <f t="shared" si="38"/>
        <v>104.74</v>
      </c>
      <c r="V609" s="93">
        <v>0.85</v>
      </c>
      <c r="W609" s="97">
        <f t="shared" si="39"/>
        <v>105.58999999999999</v>
      </c>
    </row>
    <row r="610" spans="1:23" x14ac:dyDescent="0.25">
      <c r="A610" s="61" t="s">
        <v>703</v>
      </c>
      <c r="B610" s="91">
        <v>42119</v>
      </c>
      <c r="C610" s="92" t="s">
        <v>1903</v>
      </c>
      <c r="D610" s="92" t="s">
        <v>1330</v>
      </c>
      <c r="E610" s="92" t="s">
        <v>1199</v>
      </c>
      <c r="F610" s="92" t="s">
        <v>1254</v>
      </c>
      <c r="G610" s="92" t="s">
        <v>1201</v>
      </c>
      <c r="H610" s="92" t="s">
        <v>1255</v>
      </c>
      <c r="I610" s="92" t="s">
        <v>1264</v>
      </c>
      <c r="J610" s="92" t="s">
        <v>1318</v>
      </c>
      <c r="K610" s="92" t="s">
        <v>1239</v>
      </c>
      <c r="L610" s="92" t="s">
        <v>1296</v>
      </c>
      <c r="M610" s="92" t="s">
        <v>1241</v>
      </c>
      <c r="N610" s="91">
        <v>42121</v>
      </c>
      <c r="O610" s="93">
        <v>216</v>
      </c>
      <c r="P610" s="93">
        <v>449.99</v>
      </c>
      <c r="Q610" s="94">
        <v>2</v>
      </c>
      <c r="R610" s="93">
        <f t="shared" si="36"/>
        <v>899.98</v>
      </c>
      <c r="S610" s="95">
        <v>0.08</v>
      </c>
      <c r="T610" s="96">
        <f t="shared" si="37"/>
        <v>71.998400000000004</v>
      </c>
      <c r="U610" s="96">
        <f t="shared" si="38"/>
        <v>899.9</v>
      </c>
      <c r="V610" s="93">
        <v>24.49</v>
      </c>
      <c r="W610" s="97">
        <f t="shared" si="39"/>
        <v>924.39</v>
      </c>
    </row>
    <row r="611" spans="1:23" x14ac:dyDescent="0.25">
      <c r="A611" s="61" t="s">
        <v>704</v>
      </c>
      <c r="B611" s="91">
        <v>42120</v>
      </c>
      <c r="C611" s="92" t="s">
        <v>1904</v>
      </c>
      <c r="D611" s="92" t="s">
        <v>1316</v>
      </c>
      <c r="E611" s="92" t="s">
        <v>1199</v>
      </c>
      <c r="F611" s="92" t="s">
        <v>1254</v>
      </c>
      <c r="G611" s="92" t="s">
        <v>1203</v>
      </c>
      <c r="H611" s="92" t="s">
        <v>1274</v>
      </c>
      <c r="I611" s="92" t="s">
        <v>1264</v>
      </c>
      <c r="J611" s="92" t="s">
        <v>1338</v>
      </c>
      <c r="K611" s="92" t="s">
        <v>1243</v>
      </c>
      <c r="L611" s="92" t="s">
        <v>1260</v>
      </c>
      <c r="M611" s="92" t="s">
        <v>1241</v>
      </c>
      <c r="N611" s="91">
        <v>42122</v>
      </c>
      <c r="O611" s="93">
        <v>13.88</v>
      </c>
      <c r="P611" s="93">
        <v>22.38</v>
      </c>
      <c r="Q611" s="94">
        <v>6</v>
      </c>
      <c r="R611" s="93">
        <f t="shared" si="36"/>
        <v>134.28</v>
      </c>
      <c r="S611" s="95">
        <v>0</v>
      </c>
      <c r="T611" s="96">
        <f t="shared" si="37"/>
        <v>0</v>
      </c>
      <c r="U611" s="96">
        <f t="shared" si="38"/>
        <v>134.28</v>
      </c>
      <c r="V611" s="93">
        <v>15.1</v>
      </c>
      <c r="W611" s="97">
        <f t="shared" si="39"/>
        <v>149.38</v>
      </c>
    </row>
    <row r="612" spans="1:23" x14ac:dyDescent="0.25">
      <c r="A612" s="61" t="s">
        <v>705</v>
      </c>
      <c r="B612" s="91">
        <v>42122</v>
      </c>
      <c r="C612" s="92" t="s">
        <v>1905</v>
      </c>
      <c r="D612" s="92" t="s">
        <v>1388</v>
      </c>
      <c r="E612" s="92" t="s">
        <v>1199</v>
      </c>
      <c r="F612" s="92" t="s">
        <v>1254</v>
      </c>
      <c r="G612" s="92" t="s">
        <v>1203</v>
      </c>
      <c r="H612" s="92" t="s">
        <v>1255</v>
      </c>
      <c r="I612" s="92" t="s">
        <v>1248</v>
      </c>
      <c r="J612" s="92" t="s">
        <v>1349</v>
      </c>
      <c r="K612" s="92" t="s">
        <v>1243</v>
      </c>
      <c r="L612" s="92" t="s">
        <v>1260</v>
      </c>
      <c r="M612" s="92" t="s">
        <v>1250</v>
      </c>
      <c r="N612" s="91">
        <v>42124</v>
      </c>
      <c r="O612" s="93">
        <v>3.65</v>
      </c>
      <c r="P612" s="93">
        <v>5.98</v>
      </c>
      <c r="Q612" s="94">
        <v>50</v>
      </c>
      <c r="R612" s="93">
        <f t="shared" si="36"/>
        <v>299</v>
      </c>
      <c r="S612" s="95">
        <v>0.09</v>
      </c>
      <c r="T612" s="96">
        <f t="shared" si="37"/>
        <v>26.91</v>
      </c>
      <c r="U612" s="96">
        <f t="shared" si="38"/>
        <v>298.91000000000003</v>
      </c>
      <c r="V612" s="93">
        <v>1.49</v>
      </c>
      <c r="W612" s="97">
        <f t="shared" si="39"/>
        <v>300.40000000000003</v>
      </c>
    </row>
    <row r="613" spans="1:23" x14ac:dyDescent="0.25">
      <c r="A613" s="61" t="s">
        <v>706</v>
      </c>
      <c r="B613" s="91">
        <v>42122</v>
      </c>
      <c r="C613" s="92" t="s">
        <v>1906</v>
      </c>
      <c r="D613" s="92" t="s">
        <v>1461</v>
      </c>
      <c r="E613" s="92" t="s">
        <v>1199</v>
      </c>
      <c r="F613" s="92" t="s">
        <v>1254</v>
      </c>
      <c r="G613" s="92" t="s">
        <v>1200</v>
      </c>
      <c r="H613" s="92" t="s">
        <v>1255</v>
      </c>
      <c r="I613" s="92" t="s">
        <v>1256</v>
      </c>
      <c r="J613" s="92" t="s">
        <v>1736</v>
      </c>
      <c r="K613" s="92" t="s">
        <v>1239</v>
      </c>
      <c r="L613" s="92" t="s">
        <v>1319</v>
      </c>
      <c r="M613" s="92" t="s">
        <v>1320</v>
      </c>
      <c r="N613" s="91">
        <v>42125</v>
      </c>
      <c r="O613" s="93">
        <v>315.61</v>
      </c>
      <c r="P613" s="93">
        <v>500.97</v>
      </c>
      <c r="Q613" s="94">
        <v>44</v>
      </c>
      <c r="R613" s="93">
        <f t="shared" si="36"/>
        <v>22042.68</v>
      </c>
      <c r="S613" s="95">
        <v>0.09</v>
      </c>
      <c r="T613" s="96">
        <f t="shared" si="37"/>
        <v>1983.8411999999998</v>
      </c>
      <c r="U613" s="96">
        <f t="shared" si="38"/>
        <v>22042.59</v>
      </c>
      <c r="V613" s="93">
        <v>69.3</v>
      </c>
      <c r="W613" s="97">
        <f t="shared" si="39"/>
        <v>22111.89</v>
      </c>
    </row>
    <row r="614" spans="1:23" x14ac:dyDescent="0.25">
      <c r="A614" s="61" t="s">
        <v>707</v>
      </c>
      <c r="B614" s="91">
        <v>42123</v>
      </c>
      <c r="C614" s="92" t="s">
        <v>1907</v>
      </c>
      <c r="D614" s="92" t="s">
        <v>1395</v>
      </c>
      <c r="E614" s="92" t="s">
        <v>1198</v>
      </c>
      <c r="F614" s="92" t="s">
        <v>1235</v>
      </c>
      <c r="G614" s="92" t="s">
        <v>1200</v>
      </c>
      <c r="H614" s="92" t="s">
        <v>1236</v>
      </c>
      <c r="I614" s="92" t="s">
        <v>1248</v>
      </c>
      <c r="J614" s="92" t="s">
        <v>1773</v>
      </c>
      <c r="K614" s="92" t="s">
        <v>1243</v>
      </c>
      <c r="L614" s="92" t="s">
        <v>1260</v>
      </c>
      <c r="M614" s="92" t="s">
        <v>1241</v>
      </c>
      <c r="N614" s="91">
        <v>42128</v>
      </c>
      <c r="O614" s="93">
        <v>1.84</v>
      </c>
      <c r="P614" s="93">
        <v>2.88</v>
      </c>
      <c r="Q614" s="94">
        <v>29</v>
      </c>
      <c r="R614" s="93">
        <f t="shared" si="36"/>
        <v>83.52</v>
      </c>
      <c r="S614" s="95">
        <v>0.03</v>
      </c>
      <c r="T614" s="96">
        <f t="shared" si="37"/>
        <v>2.5055999999999998</v>
      </c>
      <c r="U614" s="96">
        <f t="shared" si="38"/>
        <v>83.49</v>
      </c>
      <c r="V614" s="93">
        <v>0.99</v>
      </c>
      <c r="W614" s="97">
        <f t="shared" si="39"/>
        <v>84.47999999999999</v>
      </c>
    </row>
    <row r="615" spans="1:23" x14ac:dyDescent="0.25">
      <c r="A615" s="61" t="s">
        <v>708</v>
      </c>
      <c r="B615" s="91">
        <v>42124</v>
      </c>
      <c r="C615" s="92" t="s">
        <v>1563</v>
      </c>
      <c r="D615" s="92" t="s">
        <v>1355</v>
      </c>
      <c r="E615" s="92" t="s">
        <v>1199</v>
      </c>
      <c r="F615" s="92" t="s">
        <v>1254</v>
      </c>
      <c r="G615" s="92" t="s">
        <v>1202</v>
      </c>
      <c r="H615" s="92" t="s">
        <v>1274</v>
      </c>
      <c r="I615" s="92" t="s">
        <v>1317</v>
      </c>
      <c r="J615" s="92" t="s">
        <v>1300</v>
      </c>
      <c r="K615" s="92" t="s">
        <v>1243</v>
      </c>
      <c r="L615" s="92" t="s">
        <v>1260</v>
      </c>
      <c r="M615" s="92" t="s">
        <v>1241</v>
      </c>
      <c r="N615" s="91">
        <v>42126</v>
      </c>
      <c r="O615" s="93">
        <v>2.2599999999999998</v>
      </c>
      <c r="P615" s="93">
        <v>3.58</v>
      </c>
      <c r="Q615" s="94">
        <v>7</v>
      </c>
      <c r="R615" s="93">
        <f t="shared" si="36"/>
        <v>25.060000000000002</v>
      </c>
      <c r="S615" s="95">
        <v>0.09</v>
      </c>
      <c r="T615" s="96">
        <f t="shared" si="37"/>
        <v>2.2554000000000003</v>
      </c>
      <c r="U615" s="96">
        <f t="shared" si="38"/>
        <v>24.970000000000002</v>
      </c>
      <c r="V615" s="93">
        <v>5.47</v>
      </c>
      <c r="W615" s="97">
        <f t="shared" si="39"/>
        <v>30.44</v>
      </c>
    </row>
    <row r="616" spans="1:23" x14ac:dyDescent="0.25">
      <c r="A616" s="61" t="s">
        <v>709</v>
      </c>
      <c r="B616" s="91">
        <v>42125</v>
      </c>
      <c r="C616" s="92" t="s">
        <v>1713</v>
      </c>
      <c r="D616" s="92" t="s">
        <v>1714</v>
      </c>
      <c r="E616" s="92" t="s">
        <v>1198</v>
      </c>
      <c r="F616" s="92" t="s">
        <v>1235</v>
      </c>
      <c r="G616" s="92" t="s">
        <v>1201</v>
      </c>
      <c r="H616" s="92" t="s">
        <v>1313</v>
      </c>
      <c r="I616" s="92" t="s">
        <v>1256</v>
      </c>
      <c r="J616" s="92" t="s">
        <v>1801</v>
      </c>
      <c r="K616" s="92" t="s">
        <v>1243</v>
      </c>
      <c r="L616" s="92" t="s">
        <v>1260</v>
      </c>
      <c r="M616" s="92" t="s">
        <v>1241</v>
      </c>
      <c r="N616" s="91">
        <v>42126</v>
      </c>
      <c r="O616" s="93">
        <v>4.03</v>
      </c>
      <c r="P616" s="93">
        <v>9.3800000000000008</v>
      </c>
      <c r="Q616" s="94">
        <v>31</v>
      </c>
      <c r="R616" s="93">
        <f t="shared" si="36"/>
        <v>290.78000000000003</v>
      </c>
      <c r="S616" s="95">
        <v>0.08</v>
      </c>
      <c r="T616" s="96">
        <f t="shared" si="37"/>
        <v>23.262400000000003</v>
      </c>
      <c r="U616" s="96">
        <f t="shared" si="38"/>
        <v>290.70000000000005</v>
      </c>
      <c r="V616" s="93">
        <v>7.28</v>
      </c>
      <c r="W616" s="97">
        <f t="shared" si="39"/>
        <v>297.98</v>
      </c>
    </row>
    <row r="617" spans="1:23" x14ac:dyDescent="0.25">
      <c r="A617" s="61" t="s">
        <v>710</v>
      </c>
      <c r="B617" s="91">
        <v>42126</v>
      </c>
      <c r="C617" s="92" t="s">
        <v>1908</v>
      </c>
      <c r="D617" s="92" t="s">
        <v>1470</v>
      </c>
      <c r="E617" s="92" t="s">
        <v>1198</v>
      </c>
      <c r="F617" s="92" t="s">
        <v>1235</v>
      </c>
      <c r="G617" s="92" t="s">
        <v>1203</v>
      </c>
      <c r="H617" s="92" t="s">
        <v>1471</v>
      </c>
      <c r="I617" s="92" t="s">
        <v>1264</v>
      </c>
      <c r="J617" s="92" t="s">
        <v>1441</v>
      </c>
      <c r="K617" s="92" t="s">
        <v>1243</v>
      </c>
      <c r="L617" s="92" t="s">
        <v>1240</v>
      </c>
      <c r="M617" s="92" t="s">
        <v>1241</v>
      </c>
      <c r="N617" s="91">
        <v>42127</v>
      </c>
      <c r="O617" s="93">
        <v>3.42</v>
      </c>
      <c r="P617" s="93">
        <v>8.34</v>
      </c>
      <c r="Q617" s="94">
        <v>21</v>
      </c>
      <c r="R617" s="93">
        <f t="shared" si="36"/>
        <v>175.14</v>
      </c>
      <c r="S617" s="95">
        <v>0.03</v>
      </c>
      <c r="T617" s="96">
        <f t="shared" si="37"/>
        <v>5.2541999999999991</v>
      </c>
      <c r="U617" s="96">
        <f t="shared" si="38"/>
        <v>175.10999999999999</v>
      </c>
      <c r="V617" s="93">
        <v>2.64</v>
      </c>
      <c r="W617" s="97">
        <f t="shared" si="39"/>
        <v>177.74999999999997</v>
      </c>
    </row>
    <row r="618" spans="1:23" x14ac:dyDescent="0.25">
      <c r="A618" s="61" t="s">
        <v>711</v>
      </c>
      <c r="B618" s="91">
        <v>42127</v>
      </c>
      <c r="C618" s="92" t="s">
        <v>1700</v>
      </c>
      <c r="D618" s="92" t="s">
        <v>1316</v>
      </c>
      <c r="E618" s="92" t="s">
        <v>1199</v>
      </c>
      <c r="F618" s="92" t="s">
        <v>1254</v>
      </c>
      <c r="G618" s="92" t="s">
        <v>1200</v>
      </c>
      <c r="H618" s="92" t="s">
        <v>1255</v>
      </c>
      <c r="I618" s="92" t="s">
        <v>1264</v>
      </c>
      <c r="J618" s="92" t="s">
        <v>1475</v>
      </c>
      <c r="K618" s="92" t="s">
        <v>1239</v>
      </c>
      <c r="L618" s="92" t="s">
        <v>1260</v>
      </c>
      <c r="M618" s="92" t="s">
        <v>1241</v>
      </c>
      <c r="N618" s="91">
        <v>42129</v>
      </c>
      <c r="O618" s="93">
        <v>10.07</v>
      </c>
      <c r="P618" s="93">
        <v>15.98</v>
      </c>
      <c r="Q618" s="94">
        <v>26</v>
      </c>
      <c r="R618" s="93">
        <f t="shared" si="36"/>
        <v>415.48</v>
      </c>
      <c r="S618" s="95">
        <v>0.03</v>
      </c>
      <c r="T618" s="96">
        <f t="shared" si="37"/>
        <v>12.464399999999999</v>
      </c>
      <c r="U618" s="96">
        <f t="shared" si="38"/>
        <v>415.45000000000005</v>
      </c>
      <c r="V618" s="93">
        <v>4</v>
      </c>
      <c r="W618" s="97">
        <f t="shared" si="39"/>
        <v>419.45000000000005</v>
      </c>
    </row>
    <row r="619" spans="1:23" x14ac:dyDescent="0.25">
      <c r="A619" s="61" t="s">
        <v>712</v>
      </c>
      <c r="B619" s="91">
        <v>42128</v>
      </c>
      <c r="C619" s="92" t="s">
        <v>1909</v>
      </c>
      <c r="D619" s="92" t="s">
        <v>1815</v>
      </c>
      <c r="E619" s="92" t="s">
        <v>1198</v>
      </c>
      <c r="F619" s="92" t="s">
        <v>1235</v>
      </c>
      <c r="G619" s="92" t="s">
        <v>1200</v>
      </c>
      <c r="H619" s="92" t="s">
        <v>1304</v>
      </c>
      <c r="I619" s="92" t="s">
        <v>1317</v>
      </c>
      <c r="J619" s="92" t="s">
        <v>1745</v>
      </c>
      <c r="K619" s="92" t="s">
        <v>1243</v>
      </c>
      <c r="L619" s="92" t="s">
        <v>1260</v>
      </c>
      <c r="M619" s="92" t="s">
        <v>1241</v>
      </c>
      <c r="N619" s="91">
        <v>42129</v>
      </c>
      <c r="O619" s="93">
        <v>84.22</v>
      </c>
      <c r="P619" s="93">
        <v>210.55</v>
      </c>
      <c r="Q619" s="94">
        <v>18</v>
      </c>
      <c r="R619" s="93">
        <f t="shared" si="36"/>
        <v>3789.9</v>
      </c>
      <c r="S619" s="95">
        <v>0.05</v>
      </c>
      <c r="T619" s="96">
        <f t="shared" si="37"/>
        <v>189.495</v>
      </c>
      <c r="U619" s="96">
        <f t="shared" si="38"/>
        <v>3789.85</v>
      </c>
      <c r="V619" s="93">
        <v>9.99</v>
      </c>
      <c r="W619" s="97">
        <f t="shared" si="39"/>
        <v>3799.8399999999997</v>
      </c>
    </row>
    <row r="620" spans="1:23" x14ac:dyDescent="0.25">
      <c r="A620" s="61" t="s">
        <v>713</v>
      </c>
      <c r="B620" s="91">
        <v>42130</v>
      </c>
      <c r="C620" s="92" t="s">
        <v>1910</v>
      </c>
      <c r="D620" s="92" t="s">
        <v>1253</v>
      </c>
      <c r="E620" s="92" t="s">
        <v>1199</v>
      </c>
      <c r="F620" s="92" t="s">
        <v>1254</v>
      </c>
      <c r="G620" s="92" t="s">
        <v>1203</v>
      </c>
      <c r="H620" s="92" t="s">
        <v>1255</v>
      </c>
      <c r="I620" s="92" t="s">
        <v>1248</v>
      </c>
      <c r="J620" s="92" t="s">
        <v>1338</v>
      </c>
      <c r="K620" s="92" t="s">
        <v>1243</v>
      </c>
      <c r="L620" s="92" t="s">
        <v>1260</v>
      </c>
      <c r="M620" s="92" t="s">
        <v>1241</v>
      </c>
      <c r="N620" s="91">
        <v>42132</v>
      </c>
      <c r="O620" s="93">
        <v>13.88</v>
      </c>
      <c r="P620" s="93">
        <v>22.38</v>
      </c>
      <c r="Q620" s="94">
        <v>45</v>
      </c>
      <c r="R620" s="93">
        <f t="shared" si="36"/>
        <v>1007.0999999999999</v>
      </c>
      <c r="S620" s="95">
        <v>0.05</v>
      </c>
      <c r="T620" s="96">
        <f t="shared" si="37"/>
        <v>50.354999999999997</v>
      </c>
      <c r="U620" s="96">
        <f t="shared" si="38"/>
        <v>1007.05</v>
      </c>
      <c r="V620" s="93">
        <v>15.1</v>
      </c>
      <c r="W620" s="97">
        <f t="shared" si="39"/>
        <v>1022.15</v>
      </c>
    </row>
    <row r="621" spans="1:23" x14ac:dyDescent="0.25">
      <c r="A621" s="61" t="s">
        <v>714</v>
      </c>
      <c r="B621" s="91">
        <v>42136</v>
      </c>
      <c r="C621" s="92" t="s">
        <v>1437</v>
      </c>
      <c r="D621" s="92" t="s">
        <v>1273</v>
      </c>
      <c r="E621" s="92" t="s">
        <v>1199</v>
      </c>
      <c r="F621" s="92" t="s">
        <v>1254</v>
      </c>
      <c r="G621" s="92" t="s">
        <v>1200</v>
      </c>
      <c r="H621" s="92" t="s">
        <v>1274</v>
      </c>
      <c r="I621" s="92" t="s">
        <v>1317</v>
      </c>
      <c r="J621" s="92" t="s">
        <v>1356</v>
      </c>
      <c r="K621" s="92" t="s">
        <v>1243</v>
      </c>
      <c r="L621" s="92" t="s">
        <v>1244</v>
      </c>
      <c r="M621" s="92" t="s">
        <v>1241</v>
      </c>
      <c r="N621" s="91">
        <v>42138</v>
      </c>
      <c r="O621" s="93">
        <v>1.88</v>
      </c>
      <c r="P621" s="93">
        <v>3.14</v>
      </c>
      <c r="Q621" s="94">
        <v>50</v>
      </c>
      <c r="R621" s="93">
        <f t="shared" si="36"/>
        <v>157</v>
      </c>
      <c r="S621" s="95">
        <v>0</v>
      </c>
      <c r="T621" s="96">
        <f t="shared" si="37"/>
        <v>0</v>
      </c>
      <c r="U621" s="96">
        <f t="shared" si="38"/>
        <v>157</v>
      </c>
      <c r="V621" s="93">
        <v>1.1399999999999999</v>
      </c>
      <c r="W621" s="97">
        <f t="shared" si="39"/>
        <v>158.13999999999999</v>
      </c>
    </row>
    <row r="622" spans="1:23" x14ac:dyDescent="0.25">
      <c r="A622" s="61" t="s">
        <v>715</v>
      </c>
      <c r="B622" s="91">
        <v>42138</v>
      </c>
      <c r="C622" s="92" t="s">
        <v>1911</v>
      </c>
      <c r="D622" s="92" t="s">
        <v>1549</v>
      </c>
      <c r="E622" s="92" t="s">
        <v>1198</v>
      </c>
      <c r="F622" s="92" t="s">
        <v>1235</v>
      </c>
      <c r="G622" s="92" t="s">
        <v>1200</v>
      </c>
      <c r="H622" s="92" t="s">
        <v>1409</v>
      </c>
      <c r="I622" s="92" t="s">
        <v>1237</v>
      </c>
      <c r="J622" s="92" t="s">
        <v>1344</v>
      </c>
      <c r="K622" s="92" t="s">
        <v>1243</v>
      </c>
      <c r="L622" s="92" t="s">
        <v>1244</v>
      </c>
      <c r="M622" s="92" t="s">
        <v>1250</v>
      </c>
      <c r="N622" s="91">
        <v>42138</v>
      </c>
      <c r="O622" s="93">
        <v>0.24</v>
      </c>
      <c r="P622" s="93">
        <v>1.26</v>
      </c>
      <c r="Q622" s="94">
        <v>35</v>
      </c>
      <c r="R622" s="93">
        <f t="shared" si="36"/>
        <v>44.1</v>
      </c>
      <c r="S622" s="95">
        <v>0.06</v>
      </c>
      <c r="T622" s="96">
        <f t="shared" si="37"/>
        <v>2.6459999999999999</v>
      </c>
      <c r="U622" s="96">
        <f t="shared" si="38"/>
        <v>44.04</v>
      </c>
      <c r="V622" s="93">
        <v>0.7</v>
      </c>
      <c r="W622" s="97">
        <f t="shared" si="39"/>
        <v>44.74</v>
      </c>
    </row>
    <row r="623" spans="1:23" x14ac:dyDescent="0.25">
      <c r="A623" s="61" t="s">
        <v>716</v>
      </c>
      <c r="B623" s="91">
        <v>42138</v>
      </c>
      <c r="C623" s="92" t="s">
        <v>1912</v>
      </c>
      <c r="D623" s="92" t="s">
        <v>1691</v>
      </c>
      <c r="E623" s="92" t="s">
        <v>1198</v>
      </c>
      <c r="F623" s="92" t="s">
        <v>1235</v>
      </c>
      <c r="G623" s="92" t="s">
        <v>1203</v>
      </c>
      <c r="H623" s="92" t="s">
        <v>1471</v>
      </c>
      <c r="I623" s="92" t="s">
        <v>1317</v>
      </c>
      <c r="J623" s="92" t="s">
        <v>1533</v>
      </c>
      <c r="K623" s="92" t="s">
        <v>1243</v>
      </c>
      <c r="L623" s="92" t="s">
        <v>1260</v>
      </c>
      <c r="M623" s="92" t="s">
        <v>1241</v>
      </c>
      <c r="N623" s="91">
        <v>42140</v>
      </c>
      <c r="O623" s="93">
        <v>178.83</v>
      </c>
      <c r="P623" s="93">
        <v>415.88</v>
      </c>
      <c r="Q623" s="94">
        <v>11</v>
      </c>
      <c r="R623" s="93">
        <f t="shared" si="36"/>
        <v>4574.68</v>
      </c>
      <c r="S623" s="95">
        <v>0.06</v>
      </c>
      <c r="T623" s="96">
        <f t="shared" si="37"/>
        <v>274.48079999999999</v>
      </c>
      <c r="U623" s="96">
        <f t="shared" si="38"/>
        <v>4574.62</v>
      </c>
      <c r="V623" s="93">
        <v>11.37</v>
      </c>
      <c r="W623" s="97">
        <f t="shared" si="39"/>
        <v>4585.99</v>
      </c>
    </row>
    <row r="624" spans="1:23" x14ac:dyDescent="0.25">
      <c r="A624" s="61" t="s">
        <v>717</v>
      </c>
      <c r="B624" s="91">
        <v>42139</v>
      </c>
      <c r="C624" s="92" t="s">
        <v>1913</v>
      </c>
      <c r="D624" s="92" t="s">
        <v>1914</v>
      </c>
      <c r="E624" s="92" t="s">
        <v>1198</v>
      </c>
      <c r="F624" s="92" t="s">
        <v>1235</v>
      </c>
      <c r="G624" s="92" t="s">
        <v>1203</v>
      </c>
      <c r="H624" s="92" t="s">
        <v>1304</v>
      </c>
      <c r="I624" s="92" t="s">
        <v>1317</v>
      </c>
      <c r="J624" s="92" t="s">
        <v>1331</v>
      </c>
      <c r="K624" s="92" t="s">
        <v>1243</v>
      </c>
      <c r="L624" s="92" t="s">
        <v>1240</v>
      </c>
      <c r="M624" s="92" t="s">
        <v>1241</v>
      </c>
      <c r="N624" s="91">
        <v>42141</v>
      </c>
      <c r="O624" s="93">
        <v>5.19</v>
      </c>
      <c r="P624" s="93">
        <v>12.98</v>
      </c>
      <c r="Q624" s="94">
        <v>23</v>
      </c>
      <c r="R624" s="93">
        <f t="shared" si="36"/>
        <v>298.54000000000002</v>
      </c>
      <c r="S624" s="95">
        <v>0.01</v>
      </c>
      <c r="T624" s="96">
        <f t="shared" si="37"/>
        <v>2.9854000000000003</v>
      </c>
      <c r="U624" s="96">
        <f t="shared" si="38"/>
        <v>298.53000000000003</v>
      </c>
      <c r="V624" s="93">
        <v>3.14</v>
      </c>
      <c r="W624" s="97">
        <f t="shared" si="39"/>
        <v>301.67</v>
      </c>
    </row>
    <row r="625" spans="1:23" x14ac:dyDescent="0.25">
      <c r="A625" s="61" t="s">
        <v>718</v>
      </c>
      <c r="B625" s="91">
        <v>42141</v>
      </c>
      <c r="C625" s="92" t="s">
        <v>1915</v>
      </c>
      <c r="D625" s="92" t="s">
        <v>1549</v>
      </c>
      <c r="E625" s="92" t="s">
        <v>1198</v>
      </c>
      <c r="F625" s="92" t="s">
        <v>1235</v>
      </c>
      <c r="G625" s="92" t="s">
        <v>1201</v>
      </c>
      <c r="H625" s="92" t="s">
        <v>1409</v>
      </c>
      <c r="I625" s="92" t="s">
        <v>1317</v>
      </c>
      <c r="J625" s="92" t="s">
        <v>1265</v>
      </c>
      <c r="K625" s="92" t="s">
        <v>1243</v>
      </c>
      <c r="L625" s="92" t="s">
        <v>1244</v>
      </c>
      <c r="M625" s="92" t="s">
        <v>1241</v>
      </c>
      <c r="N625" s="91">
        <v>42142</v>
      </c>
      <c r="O625" s="93">
        <v>3.88</v>
      </c>
      <c r="P625" s="93">
        <v>6.47</v>
      </c>
      <c r="Q625" s="94">
        <v>7</v>
      </c>
      <c r="R625" s="93">
        <f t="shared" si="36"/>
        <v>45.29</v>
      </c>
      <c r="S625" s="95">
        <v>0.02</v>
      </c>
      <c r="T625" s="96">
        <f t="shared" si="37"/>
        <v>0.90580000000000005</v>
      </c>
      <c r="U625" s="96">
        <f t="shared" si="38"/>
        <v>45.269999999999996</v>
      </c>
      <c r="V625" s="93">
        <v>1.22</v>
      </c>
      <c r="W625" s="97">
        <f t="shared" si="39"/>
        <v>46.489999999999995</v>
      </c>
    </row>
    <row r="626" spans="1:23" x14ac:dyDescent="0.25">
      <c r="A626" s="61" t="s">
        <v>719</v>
      </c>
      <c r="B626" s="91">
        <v>42141</v>
      </c>
      <c r="C626" s="92" t="s">
        <v>1771</v>
      </c>
      <c r="D626" s="92" t="s">
        <v>1772</v>
      </c>
      <c r="E626" s="92" t="s">
        <v>1198</v>
      </c>
      <c r="F626" s="92" t="s">
        <v>1235</v>
      </c>
      <c r="G626" s="92" t="s">
        <v>1203</v>
      </c>
      <c r="H626" s="92" t="s">
        <v>1247</v>
      </c>
      <c r="I626" s="92" t="s">
        <v>1256</v>
      </c>
      <c r="J626" s="92" t="s">
        <v>1517</v>
      </c>
      <c r="K626" s="92" t="s">
        <v>1243</v>
      </c>
      <c r="L626" s="92" t="s">
        <v>1260</v>
      </c>
      <c r="M626" s="92" t="s">
        <v>1241</v>
      </c>
      <c r="N626" s="91">
        <v>42144</v>
      </c>
      <c r="O626" s="93">
        <v>12.39</v>
      </c>
      <c r="P626" s="93">
        <v>19.98</v>
      </c>
      <c r="Q626" s="94">
        <v>33</v>
      </c>
      <c r="R626" s="93">
        <f t="shared" si="36"/>
        <v>659.34</v>
      </c>
      <c r="S626" s="95">
        <v>0.09</v>
      </c>
      <c r="T626" s="96">
        <f t="shared" si="37"/>
        <v>59.340600000000002</v>
      </c>
      <c r="U626" s="96">
        <f t="shared" si="38"/>
        <v>659.25</v>
      </c>
      <c r="V626" s="93">
        <v>5.77</v>
      </c>
      <c r="W626" s="97">
        <f t="shared" si="39"/>
        <v>665.02</v>
      </c>
    </row>
    <row r="627" spans="1:23" x14ac:dyDescent="0.25">
      <c r="A627" s="61" t="s">
        <v>720</v>
      </c>
      <c r="B627" s="91">
        <v>42142</v>
      </c>
      <c r="C627" s="92" t="s">
        <v>1890</v>
      </c>
      <c r="D627" s="92" t="s">
        <v>1253</v>
      </c>
      <c r="E627" s="92" t="s">
        <v>1199</v>
      </c>
      <c r="F627" s="92" t="s">
        <v>1254</v>
      </c>
      <c r="G627" s="92" t="s">
        <v>1201</v>
      </c>
      <c r="H627" s="92" t="s">
        <v>1255</v>
      </c>
      <c r="I627" s="92" t="s">
        <v>1256</v>
      </c>
      <c r="J627" s="92" t="s">
        <v>1417</v>
      </c>
      <c r="K627" s="92" t="s">
        <v>1243</v>
      </c>
      <c r="L627" s="92" t="s">
        <v>1260</v>
      </c>
      <c r="M627" s="92" t="s">
        <v>1241</v>
      </c>
      <c r="N627" s="91">
        <v>42142</v>
      </c>
      <c r="O627" s="93">
        <v>1.19</v>
      </c>
      <c r="P627" s="93">
        <v>1.98</v>
      </c>
      <c r="Q627" s="94">
        <v>29</v>
      </c>
      <c r="R627" s="93">
        <f t="shared" si="36"/>
        <v>57.42</v>
      </c>
      <c r="S627" s="95">
        <v>0.09</v>
      </c>
      <c r="T627" s="96">
        <f t="shared" si="37"/>
        <v>5.1677999999999997</v>
      </c>
      <c r="U627" s="96">
        <f t="shared" si="38"/>
        <v>57.33</v>
      </c>
      <c r="V627" s="93">
        <v>4.7699999999999996</v>
      </c>
      <c r="W627" s="97">
        <f t="shared" si="39"/>
        <v>62.099999999999994</v>
      </c>
    </row>
    <row r="628" spans="1:23" x14ac:dyDescent="0.25">
      <c r="A628" s="61" t="s">
        <v>721</v>
      </c>
      <c r="B628" s="91">
        <v>42142</v>
      </c>
      <c r="C628" s="92" t="s">
        <v>1916</v>
      </c>
      <c r="D628" s="92" t="s">
        <v>1451</v>
      </c>
      <c r="E628" s="92" t="s">
        <v>1198</v>
      </c>
      <c r="F628" s="92" t="s">
        <v>1235</v>
      </c>
      <c r="G628" s="92" t="s">
        <v>1200</v>
      </c>
      <c r="H628" s="92" t="s">
        <v>1291</v>
      </c>
      <c r="I628" s="92" t="s">
        <v>1248</v>
      </c>
      <c r="J628" s="92" t="s">
        <v>1392</v>
      </c>
      <c r="K628" s="92" t="s">
        <v>1239</v>
      </c>
      <c r="L628" s="92" t="s">
        <v>1240</v>
      </c>
      <c r="M628" s="92" t="s">
        <v>1241</v>
      </c>
      <c r="N628" s="91">
        <v>42149</v>
      </c>
      <c r="O628" s="93">
        <v>20.18</v>
      </c>
      <c r="P628" s="93">
        <v>35.409999999999997</v>
      </c>
      <c r="Q628" s="94">
        <v>1</v>
      </c>
      <c r="R628" s="93">
        <f t="shared" si="36"/>
        <v>35.409999999999997</v>
      </c>
      <c r="S628" s="95">
        <v>0.1</v>
      </c>
      <c r="T628" s="96">
        <f t="shared" si="37"/>
        <v>3.5409999999999999</v>
      </c>
      <c r="U628" s="96">
        <f t="shared" si="38"/>
        <v>35.309999999999995</v>
      </c>
      <c r="V628" s="93">
        <v>1.99</v>
      </c>
      <c r="W628" s="97">
        <f t="shared" si="39"/>
        <v>37.299999999999997</v>
      </c>
    </row>
    <row r="629" spans="1:23" x14ac:dyDescent="0.25">
      <c r="A629" s="61" t="s">
        <v>722</v>
      </c>
      <c r="B629" s="91">
        <v>42143</v>
      </c>
      <c r="C629" s="92" t="s">
        <v>1541</v>
      </c>
      <c r="D629" s="92" t="s">
        <v>1278</v>
      </c>
      <c r="E629" s="92" t="s">
        <v>1198</v>
      </c>
      <c r="F629" s="92" t="s">
        <v>1235</v>
      </c>
      <c r="G629" s="92" t="s">
        <v>1200</v>
      </c>
      <c r="H629" s="92" t="s">
        <v>1236</v>
      </c>
      <c r="I629" s="92" t="s">
        <v>1264</v>
      </c>
      <c r="J629" s="92" t="s">
        <v>1270</v>
      </c>
      <c r="K629" s="92" t="s">
        <v>1243</v>
      </c>
      <c r="L629" s="92" t="s">
        <v>1260</v>
      </c>
      <c r="M629" s="92" t="s">
        <v>1241</v>
      </c>
      <c r="N629" s="91">
        <v>42144</v>
      </c>
      <c r="O629" s="93">
        <v>1.84</v>
      </c>
      <c r="P629" s="93">
        <v>2.88</v>
      </c>
      <c r="Q629" s="94">
        <v>16</v>
      </c>
      <c r="R629" s="93">
        <f t="shared" si="36"/>
        <v>46.08</v>
      </c>
      <c r="S629" s="95">
        <v>0.05</v>
      </c>
      <c r="T629" s="96">
        <f t="shared" si="37"/>
        <v>2.3039999999999998</v>
      </c>
      <c r="U629" s="96">
        <f t="shared" si="38"/>
        <v>46.03</v>
      </c>
      <c r="V629" s="93">
        <v>1.49</v>
      </c>
      <c r="W629" s="97">
        <f t="shared" si="39"/>
        <v>47.52</v>
      </c>
    </row>
    <row r="630" spans="1:23" x14ac:dyDescent="0.25">
      <c r="A630" s="61" t="s">
        <v>723</v>
      </c>
      <c r="B630" s="91">
        <v>42144</v>
      </c>
      <c r="C630" s="92" t="s">
        <v>1735</v>
      </c>
      <c r="D630" s="92" t="s">
        <v>1388</v>
      </c>
      <c r="E630" s="92" t="s">
        <v>1199</v>
      </c>
      <c r="F630" s="92" t="s">
        <v>1254</v>
      </c>
      <c r="G630" s="92" t="s">
        <v>1200</v>
      </c>
      <c r="H630" s="92" t="s">
        <v>1255</v>
      </c>
      <c r="I630" s="92" t="s">
        <v>1317</v>
      </c>
      <c r="J630" s="92" t="s">
        <v>1270</v>
      </c>
      <c r="K630" s="92" t="s">
        <v>1243</v>
      </c>
      <c r="L630" s="92" t="s">
        <v>1260</v>
      </c>
      <c r="M630" s="92" t="s">
        <v>1241</v>
      </c>
      <c r="N630" s="91">
        <v>42147</v>
      </c>
      <c r="O630" s="93">
        <v>1.84</v>
      </c>
      <c r="P630" s="93">
        <v>2.88</v>
      </c>
      <c r="Q630" s="94">
        <v>26</v>
      </c>
      <c r="R630" s="93">
        <f t="shared" si="36"/>
        <v>74.88</v>
      </c>
      <c r="S630" s="95">
        <v>0.08</v>
      </c>
      <c r="T630" s="96">
        <f t="shared" si="37"/>
        <v>5.9904000000000002</v>
      </c>
      <c r="U630" s="96">
        <f t="shared" si="38"/>
        <v>74.8</v>
      </c>
      <c r="V630" s="93">
        <v>1.49</v>
      </c>
      <c r="W630" s="97">
        <f t="shared" si="39"/>
        <v>76.289999999999992</v>
      </c>
    </row>
    <row r="631" spans="1:23" x14ac:dyDescent="0.25">
      <c r="A631" s="61" t="s">
        <v>724</v>
      </c>
      <c r="B631" s="91">
        <v>42144</v>
      </c>
      <c r="C631" s="92" t="s">
        <v>1658</v>
      </c>
      <c r="D631" s="92" t="s">
        <v>1340</v>
      </c>
      <c r="E631" s="92" t="s">
        <v>1199</v>
      </c>
      <c r="F631" s="92" t="s">
        <v>1254</v>
      </c>
      <c r="G631" s="92" t="s">
        <v>1203</v>
      </c>
      <c r="H631" s="92" t="s">
        <v>1255</v>
      </c>
      <c r="I631" s="92" t="s">
        <v>1264</v>
      </c>
      <c r="J631" s="92" t="s">
        <v>1392</v>
      </c>
      <c r="K631" s="92" t="s">
        <v>1239</v>
      </c>
      <c r="L631" s="92" t="s">
        <v>1240</v>
      </c>
      <c r="M631" s="92" t="s">
        <v>1241</v>
      </c>
      <c r="N631" s="91">
        <v>42146</v>
      </c>
      <c r="O631" s="93">
        <v>20.18</v>
      </c>
      <c r="P631" s="93">
        <v>35.409999999999997</v>
      </c>
      <c r="Q631" s="94">
        <v>49</v>
      </c>
      <c r="R631" s="93">
        <f t="shared" si="36"/>
        <v>1735.09</v>
      </c>
      <c r="S631" s="95">
        <v>0.02</v>
      </c>
      <c r="T631" s="96">
        <f t="shared" si="37"/>
        <v>34.701799999999999</v>
      </c>
      <c r="U631" s="96">
        <f t="shared" si="38"/>
        <v>1735.07</v>
      </c>
      <c r="V631" s="93">
        <v>1.99</v>
      </c>
      <c r="W631" s="97">
        <f t="shared" si="39"/>
        <v>1737.06</v>
      </c>
    </row>
    <row r="632" spans="1:23" x14ac:dyDescent="0.25">
      <c r="A632" s="61" t="s">
        <v>725</v>
      </c>
      <c r="B632" s="91">
        <v>42144</v>
      </c>
      <c r="C632" s="92" t="s">
        <v>1917</v>
      </c>
      <c r="D632" s="92" t="s">
        <v>1458</v>
      </c>
      <c r="E632" s="92" t="s">
        <v>1198</v>
      </c>
      <c r="F632" s="92" t="s">
        <v>1235</v>
      </c>
      <c r="G632" s="92" t="s">
        <v>1201</v>
      </c>
      <c r="H632" s="92" t="s">
        <v>1404</v>
      </c>
      <c r="I632" s="92" t="s">
        <v>1264</v>
      </c>
      <c r="J632" s="92" t="s">
        <v>1452</v>
      </c>
      <c r="K632" s="92" t="s">
        <v>1239</v>
      </c>
      <c r="L632" s="92" t="s">
        <v>1260</v>
      </c>
      <c r="M632" s="92" t="s">
        <v>1241</v>
      </c>
      <c r="N632" s="91">
        <v>42145</v>
      </c>
      <c r="O632" s="93">
        <v>81.59</v>
      </c>
      <c r="P632" s="93">
        <v>159.99</v>
      </c>
      <c r="Q632" s="94">
        <v>19</v>
      </c>
      <c r="R632" s="93">
        <f t="shared" si="36"/>
        <v>3039.8100000000004</v>
      </c>
      <c r="S632" s="95">
        <v>0.1</v>
      </c>
      <c r="T632" s="96">
        <f t="shared" si="37"/>
        <v>303.98100000000005</v>
      </c>
      <c r="U632" s="96">
        <f t="shared" si="38"/>
        <v>3039.7100000000005</v>
      </c>
      <c r="V632" s="93">
        <v>5.5</v>
      </c>
      <c r="W632" s="97">
        <f t="shared" si="39"/>
        <v>3045.2100000000005</v>
      </c>
    </row>
    <row r="633" spans="1:23" x14ac:dyDescent="0.25">
      <c r="A633" s="61" t="s">
        <v>726</v>
      </c>
      <c r="B633" s="91">
        <v>42146</v>
      </c>
      <c r="C633" s="92" t="s">
        <v>1462</v>
      </c>
      <c r="D633" s="92" t="s">
        <v>1463</v>
      </c>
      <c r="E633" s="92" t="s">
        <v>1198</v>
      </c>
      <c r="F633" s="92" t="s">
        <v>1235</v>
      </c>
      <c r="G633" s="92" t="s">
        <v>1200</v>
      </c>
      <c r="H633" s="92" t="s">
        <v>1263</v>
      </c>
      <c r="I633" s="92" t="s">
        <v>1264</v>
      </c>
      <c r="J633" s="92" t="s">
        <v>1334</v>
      </c>
      <c r="K633" s="92" t="s">
        <v>1243</v>
      </c>
      <c r="L633" s="92" t="s">
        <v>1244</v>
      </c>
      <c r="M633" s="92" t="s">
        <v>1241</v>
      </c>
      <c r="N633" s="91">
        <v>42148</v>
      </c>
      <c r="O633" s="93">
        <v>2.31</v>
      </c>
      <c r="P633" s="93">
        <v>3.78</v>
      </c>
      <c r="Q633" s="94">
        <v>19</v>
      </c>
      <c r="R633" s="93">
        <f t="shared" si="36"/>
        <v>71.819999999999993</v>
      </c>
      <c r="S633" s="95">
        <v>0.03</v>
      </c>
      <c r="T633" s="96">
        <f t="shared" si="37"/>
        <v>2.1545999999999998</v>
      </c>
      <c r="U633" s="96">
        <f t="shared" si="38"/>
        <v>71.789999999999992</v>
      </c>
      <c r="V633" s="93">
        <v>0.71</v>
      </c>
      <c r="W633" s="97">
        <f t="shared" si="39"/>
        <v>72.499999999999986</v>
      </c>
    </row>
    <row r="634" spans="1:23" x14ac:dyDescent="0.25">
      <c r="A634" s="61" t="s">
        <v>727</v>
      </c>
      <c r="B634" s="91">
        <v>42148</v>
      </c>
      <c r="C634" s="92" t="s">
        <v>1839</v>
      </c>
      <c r="D634" s="92" t="s">
        <v>1347</v>
      </c>
      <c r="E634" s="92" t="s">
        <v>1198</v>
      </c>
      <c r="F634" s="92" t="s">
        <v>1235</v>
      </c>
      <c r="G634" s="92" t="s">
        <v>1200</v>
      </c>
      <c r="H634" s="92" t="s">
        <v>1236</v>
      </c>
      <c r="I634" s="92" t="s">
        <v>1237</v>
      </c>
      <c r="J634" s="92" t="s">
        <v>1416</v>
      </c>
      <c r="K634" s="92" t="s">
        <v>1243</v>
      </c>
      <c r="L634" s="92" t="s">
        <v>1244</v>
      </c>
      <c r="M634" s="92" t="s">
        <v>1241</v>
      </c>
      <c r="N634" s="91">
        <v>42149</v>
      </c>
      <c r="O634" s="93">
        <v>0.9</v>
      </c>
      <c r="P634" s="93">
        <v>2.1</v>
      </c>
      <c r="Q634" s="94">
        <v>17</v>
      </c>
      <c r="R634" s="93">
        <f t="shared" si="36"/>
        <v>35.700000000000003</v>
      </c>
      <c r="S634" s="95">
        <v>0.09</v>
      </c>
      <c r="T634" s="96">
        <f t="shared" si="37"/>
        <v>3.2130000000000001</v>
      </c>
      <c r="U634" s="96">
        <f t="shared" si="38"/>
        <v>35.61</v>
      </c>
      <c r="V634" s="93">
        <v>0.7</v>
      </c>
      <c r="W634" s="97">
        <f t="shared" si="39"/>
        <v>36.31</v>
      </c>
    </row>
    <row r="635" spans="1:23" x14ac:dyDescent="0.25">
      <c r="A635" s="61" t="s">
        <v>728</v>
      </c>
      <c r="B635" s="91">
        <v>42148</v>
      </c>
      <c r="C635" s="92" t="s">
        <v>1777</v>
      </c>
      <c r="D635" s="92" t="s">
        <v>1253</v>
      </c>
      <c r="E635" s="92" t="s">
        <v>1199</v>
      </c>
      <c r="F635" s="92" t="s">
        <v>1254</v>
      </c>
      <c r="G635" s="92" t="s">
        <v>1202</v>
      </c>
      <c r="H635" s="92" t="s">
        <v>1255</v>
      </c>
      <c r="I635" s="92" t="s">
        <v>1248</v>
      </c>
      <c r="J635" s="92" t="s">
        <v>1499</v>
      </c>
      <c r="K635" s="92" t="s">
        <v>1243</v>
      </c>
      <c r="L635" s="92" t="s">
        <v>1244</v>
      </c>
      <c r="M635" s="92" t="s">
        <v>1241</v>
      </c>
      <c r="N635" s="91">
        <v>42152</v>
      </c>
      <c r="O635" s="93">
        <v>3.75</v>
      </c>
      <c r="P635" s="93">
        <v>7.08</v>
      </c>
      <c r="Q635" s="94">
        <v>49</v>
      </c>
      <c r="R635" s="93">
        <f t="shared" si="36"/>
        <v>346.92</v>
      </c>
      <c r="S635" s="95">
        <v>0</v>
      </c>
      <c r="T635" s="96">
        <f t="shared" si="37"/>
        <v>0</v>
      </c>
      <c r="U635" s="96">
        <f t="shared" si="38"/>
        <v>346.92</v>
      </c>
      <c r="V635" s="93">
        <v>2.35</v>
      </c>
      <c r="W635" s="97">
        <f t="shared" si="39"/>
        <v>349.27000000000004</v>
      </c>
    </row>
    <row r="636" spans="1:23" x14ac:dyDescent="0.25">
      <c r="A636" s="61" t="s">
        <v>729</v>
      </c>
      <c r="B636" s="91">
        <v>42150</v>
      </c>
      <c r="C636" s="92" t="s">
        <v>1918</v>
      </c>
      <c r="D636" s="92" t="s">
        <v>1504</v>
      </c>
      <c r="E636" s="92" t="s">
        <v>1199</v>
      </c>
      <c r="F636" s="92" t="s">
        <v>1254</v>
      </c>
      <c r="G636" s="92" t="s">
        <v>1200</v>
      </c>
      <c r="H636" s="92" t="s">
        <v>1274</v>
      </c>
      <c r="I636" s="92" t="s">
        <v>1264</v>
      </c>
      <c r="J636" s="92" t="s">
        <v>1352</v>
      </c>
      <c r="K636" s="92" t="s">
        <v>1243</v>
      </c>
      <c r="L636" s="92" t="s">
        <v>1244</v>
      </c>
      <c r="M636" s="92" t="s">
        <v>1241</v>
      </c>
      <c r="N636" s="91">
        <v>42152</v>
      </c>
      <c r="O636" s="93">
        <v>1.0900000000000001</v>
      </c>
      <c r="P636" s="93">
        <v>2.6</v>
      </c>
      <c r="Q636" s="94">
        <v>8</v>
      </c>
      <c r="R636" s="93">
        <f t="shared" si="36"/>
        <v>20.8</v>
      </c>
      <c r="S636" s="95">
        <v>0.04</v>
      </c>
      <c r="T636" s="96">
        <f t="shared" si="37"/>
        <v>0.83200000000000007</v>
      </c>
      <c r="U636" s="96">
        <f t="shared" si="38"/>
        <v>20.76</v>
      </c>
      <c r="V636" s="93">
        <v>2.4</v>
      </c>
      <c r="W636" s="97">
        <f t="shared" si="39"/>
        <v>23.16</v>
      </c>
    </row>
    <row r="637" spans="1:23" x14ac:dyDescent="0.25">
      <c r="A637" s="61" t="s">
        <v>730</v>
      </c>
      <c r="B637" s="91">
        <v>42151</v>
      </c>
      <c r="C637" s="92" t="s">
        <v>1473</v>
      </c>
      <c r="D637" s="92" t="s">
        <v>1323</v>
      </c>
      <c r="E637" s="92" t="s">
        <v>1198</v>
      </c>
      <c r="F637" s="92" t="s">
        <v>1235</v>
      </c>
      <c r="G637" s="92" t="s">
        <v>1201</v>
      </c>
      <c r="H637" s="92" t="s">
        <v>1263</v>
      </c>
      <c r="I637" s="92" t="s">
        <v>1256</v>
      </c>
      <c r="J637" s="92" t="s">
        <v>1271</v>
      </c>
      <c r="K637" s="92" t="s">
        <v>1239</v>
      </c>
      <c r="L637" s="92" t="s">
        <v>1260</v>
      </c>
      <c r="M637" s="92" t="s">
        <v>1241</v>
      </c>
      <c r="N637" s="91">
        <v>42153</v>
      </c>
      <c r="O637" s="93">
        <v>6.39</v>
      </c>
      <c r="P637" s="93">
        <v>19.98</v>
      </c>
      <c r="Q637" s="94">
        <v>7</v>
      </c>
      <c r="R637" s="93">
        <f t="shared" si="36"/>
        <v>139.86000000000001</v>
      </c>
      <c r="S637" s="95">
        <v>0.09</v>
      </c>
      <c r="T637" s="96">
        <f t="shared" si="37"/>
        <v>12.587400000000001</v>
      </c>
      <c r="U637" s="96">
        <f t="shared" si="38"/>
        <v>139.77000000000001</v>
      </c>
      <c r="V637" s="93">
        <v>4</v>
      </c>
      <c r="W637" s="97">
        <f t="shared" si="39"/>
        <v>143.77000000000001</v>
      </c>
    </row>
    <row r="638" spans="1:23" x14ac:dyDescent="0.25">
      <c r="A638" s="61" t="s">
        <v>731</v>
      </c>
      <c r="B638" s="91">
        <v>42152</v>
      </c>
      <c r="C638" s="92" t="s">
        <v>1483</v>
      </c>
      <c r="D638" s="92" t="s">
        <v>1433</v>
      </c>
      <c r="E638" s="92" t="s">
        <v>1198</v>
      </c>
      <c r="F638" s="92" t="s">
        <v>1235</v>
      </c>
      <c r="G638" s="92" t="s">
        <v>1200</v>
      </c>
      <c r="H638" s="92" t="s">
        <v>1304</v>
      </c>
      <c r="I638" s="92" t="s">
        <v>1256</v>
      </c>
      <c r="J638" s="92" t="s">
        <v>1352</v>
      </c>
      <c r="K638" s="92" t="s">
        <v>1243</v>
      </c>
      <c r="L638" s="92" t="s">
        <v>1244</v>
      </c>
      <c r="M638" s="92" t="s">
        <v>1250</v>
      </c>
      <c r="N638" s="91">
        <v>42153</v>
      </c>
      <c r="O638" s="93">
        <v>1.0900000000000001</v>
      </c>
      <c r="P638" s="93">
        <v>2.6</v>
      </c>
      <c r="Q638" s="94">
        <v>42</v>
      </c>
      <c r="R638" s="93">
        <f t="shared" si="36"/>
        <v>109.2</v>
      </c>
      <c r="S638" s="95">
        <v>0.05</v>
      </c>
      <c r="T638" s="96">
        <f t="shared" si="37"/>
        <v>5.4600000000000009</v>
      </c>
      <c r="U638" s="96">
        <f t="shared" si="38"/>
        <v>109.15</v>
      </c>
      <c r="V638" s="93">
        <v>2.4</v>
      </c>
      <c r="W638" s="97">
        <f t="shared" si="39"/>
        <v>111.55000000000001</v>
      </c>
    </row>
    <row r="639" spans="1:23" x14ac:dyDescent="0.25">
      <c r="A639" s="61" t="s">
        <v>732</v>
      </c>
      <c r="B639" s="91">
        <v>42153</v>
      </c>
      <c r="C639" s="92" t="s">
        <v>1906</v>
      </c>
      <c r="D639" s="92" t="s">
        <v>1461</v>
      </c>
      <c r="E639" s="92" t="s">
        <v>1199</v>
      </c>
      <c r="F639" s="92" t="s">
        <v>1254</v>
      </c>
      <c r="G639" s="92" t="s">
        <v>1200</v>
      </c>
      <c r="H639" s="92" t="s">
        <v>1255</v>
      </c>
      <c r="I639" s="92" t="s">
        <v>1317</v>
      </c>
      <c r="J639" s="92" t="s">
        <v>1773</v>
      </c>
      <c r="K639" s="92" t="s">
        <v>1243</v>
      </c>
      <c r="L639" s="92" t="s">
        <v>1260</v>
      </c>
      <c r="M639" s="92" t="s">
        <v>1241</v>
      </c>
      <c r="N639" s="91">
        <v>42155</v>
      </c>
      <c r="O639" s="93">
        <v>1.84</v>
      </c>
      <c r="P639" s="93">
        <v>2.88</v>
      </c>
      <c r="Q639" s="94">
        <v>24</v>
      </c>
      <c r="R639" s="93">
        <f t="shared" si="36"/>
        <v>69.12</v>
      </c>
      <c r="S639" s="95">
        <v>7.0000000000000007E-2</v>
      </c>
      <c r="T639" s="96">
        <f t="shared" si="37"/>
        <v>4.8384000000000009</v>
      </c>
      <c r="U639" s="96">
        <f t="shared" si="38"/>
        <v>69.050000000000011</v>
      </c>
      <c r="V639" s="93">
        <v>0.99</v>
      </c>
      <c r="W639" s="97">
        <f t="shared" si="39"/>
        <v>70.040000000000006</v>
      </c>
    </row>
    <row r="640" spans="1:23" x14ac:dyDescent="0.25">
      <c r="A640" s="61" t="s">
        <v>733</v>
      </c>
      <c r="B640" s="91">
        <v>42155</v>
      </c>
      <c r="C640" s="92" t="s">
        <v>1919</v>
      </c>
      <c r="D640" s="92" t="s">
        <v>1355</v>
      </c>
      <c r="E640" s="92" t="s">
        <v>1199</v>
      </c>
      <c r="F640" s="92" t="s">
        <v>1254</v>
      </c>
      <c r="G640" s="92" t="s">
        <v>1200</v>
      </c>
      <c r="H640" s="92" t="s">
        <v>1274</v>
      </c>
      <c r="I640" s="92" t="s">
        <v>1256</v>
      </c>
      <c r="J640" s="92" t="s">
        <v>1257</v>
      </c>
      <c r="K640" s="92" t="s">
        <v>1239</v>
      </c>
      <c r="L640" s="92" t="s">
        <v>1258</v>
      </c>
      <c r="M640" s="92" t="s">
        <v>1250</v>
      </c>
      <c r="N640" s="91">
        <v>42157</v>
      </c>
      <c r="O640" s="93">
        <v>8.82</v>
      </c>
      <c r="P640" s="93">
        <v>20.99</v>
      </c>
      <c r="Q640" s="94">
        <v>18</v>
      </c>
      <c r="R640" s="93">
        <f t="shared" si="36"/>
        <v>377.82</v>
      </c>
      <c r="S640" s="95">
        <v>0</v>
      </c>
      <c r="T640" s="96">
        <f t="shared" si="37"/>
        <v>0</v>
      </c>
      <c r="U640" s="96">
        <f t="shared" si="38"/>
        <v>377.82</v>
      </c>
      <c r="V640" s="93">
        <v>4.8099999999999996</v>
      </c>
      <c r="W640" s="97">
        <f t="shared" si="39"/>
        <v>382.63</v>
      </c>
    </row>
    <row r="641" spans="1:23" x14ac:dyDescent="0.25">
      <c r="A641" s="61" t="s">
        <v>734</v>
      </c>
      <c r="B641" s="91">
        <v>42155</v>
      </c>
      <c r="C641" s="92" t="s">
        <v>1829</v>
      </c>
      <c r="D641" s="92" t="s">
        <v>1326</v>
      </c>
      <c r="E641" s="92" t="s">
        <v>1199</v>
      </c>
      <c r="F641" s="92" t="s">
        <v>1254</v>
      </c>
      <c r="G641" s="92" t="s">
        <v>1202</v>
      </c>
      <c r="H641" s="92" t="s">
        <v>1255</v>
      </c>
      <c r="I641" s="92" t="s">
        <v>1237</v>
      </c>
      <c r="J641" s="92" t="s">
        <v>1238</v>
      </c>
      <c r="K641" s="92" t="s">
        <v>1239</v>
      </c>
      <c r="L641" s="92" t="s">
        <v>1240</v>
      </c>
      <c r="M641" s="92" t="s">
        <v>1241</v>
      </c>
      <c r="N641" s="91">
        <v>42156</v>
      </c>
      <c r="O641" s="93">
        <v>1.87</v>
      </c>
      <c r="P641" s="93">
        <v>8.1199999999999992</v>
      </c>
      <c r="Q641" s="94">
        <v>3</v>
      </c>
      <c r="R641" s="93">
        <f t="shared" si="36"/>
        <v>24.36</v>
      </c>
      <c r="S641" s="95">
        <v>0.03</v>
      </c>
      <c r="T641" s="96">
        <f t="shared" si="37"/>
        <v>0.73080000000000001</v>
      </c>
      <c r="U641" s="96">
        <f t="shared" si="38"/>
        <v>24.33</v>
      </c>
      <c r="V641" s="93">
        <v>2.83</v>
      </c>
      <c r="W641" s="97">
        <f t="shared" si="39"/>
        <v>27.159999999999997</v>
      </c>
    </row>
    <row r="642" spans="1:23" x14ac:dyDescent="0.25">
      <c r="A642" s="61" t="s">
        <v>735</v>
      </c>
      <c r="B642" s="91">
        <v>42155</v>
      </c>
      <c r="C642" s="92" t="s">
        <v>1920</v>
      </c>
      <c r="D642" s="92" t="s">
        <v>1615</v>
      </c>
      <c r="E642" s="92" t="s">
        <v>1198</v>
      </c>
      <c r="F642" s="92" t="s">
        <v>1235</v>
      </c>
      <c r="G642" s="92" t="s">
        <v>1203</v>
      </c>
      <c r="H642" s="92" t="s">
        <v>1404</v>
      </c>
      <c r="I642" s="92" t="s">
        <v>1248</v>
      </c>
      <c r="J642" s="92" t="s">
        <v>1333</v>
      </c>
      <c r="K642" s="92" t="s">
        <v>1243</v>
      </c>
      <c r="L642" s="92" t="s">
        <v>1260</v>
      </c>
      <c r="M642" s="92" t="s">
        <v>1241</v>
      </c>
      <c r="N642" s="91">
        <v>42160</v>
      </c>
      <c r="O642" s="93">
        <v>14.95</v>
      </c>
      <c r="P642" s="93">
        <v>34.76</v>
      </c>
      <c r="Q642" s="94">
        <v>43</v>
      </c>
      <c r="R642" s="93">
        <f t="shared" si="36"/>
        <v>1494.6799999999998</v>
      </c>
      <c r="S642" s="95">
        <v>0.08</v>
      </c>
      <c r="T642" s="96">
        <f t="shared" si="37"/>
        <v>119.57439999999998</v>
      </c>
      <c r="U642" s="96">
        <f t="shared" si="38"/>
        <v>1494.6</v>
      </c>
      <c r="V642" s="93">
        <v>8.2200000000000006</v>
      </c>
      <c r="W642" s="97">
        <f t="shared" si="39"/>
        <v>1502.82</v>
      </c>
    </row>
    <row r="643" spans="1:23" x14ac:dyDescent="0.25">
      <c r="A643" s="61" t="s">
        <v>736</v>
      </c>
      <c r="B643" s="91">
        <v>42156</v>
      </c>
      <c r="C643" s="92" t="s">
        <v>1809</v>
      </c>
      <c r="D643" s="92" t="s">
        <v>1376</v>
      </c>
      <c r="E643" s="92" t="s">
        <v>1199</v>
      </c>
      <c r="F643" s="92" t="s">
        <v>1254</v>
      </c>
      <c r="G643" s="92" t="s">
        <v>1200</v>
      </c>
      <c r="H643" s="92" t="s">
        <v>1255</v>
      </c>
      <c r="I643" s="92" t="s">
        <v>1248</v>
      </c>
      <c r="J643" s="92" t="s">
        <v>1348</v>
      </c>
      <c r="K643" s="92" t="s">
        <v>1243</v>
      </c>
      <c r="L643" s="92" t="s">
        <v>1240</v>
      </c>
      <c r="M643" s="92" t="s">
        <v>1241</v>
      </c>
      <c r="N643" s="91">
        <v>42161</v>
      </c>
      <c r="O643" s="93">
        <v>4.1900000000000004</v>
      </c>
      <c r="P643" s="93">
        <v>10.23</v>
      </c>
      <c r="Q643" s="94">
        <v>35</v>
      </c>
      <c r="R643" s="93">
        <f t="shared" si="36"/>
        <v>358.05</v>
      </c>
      <c r="S643" s="95">
        <v>0.01</v>
      </c>
      <c r="T643" s="96">
        <f t="shared" si="37"/>
        <v>3.5805000000000002</v>
      </c>
      <c r="U643" s="96">
        <f t="shared" si="38"/>
        <v>358.04</v>
      </c>
      <c r="V643" s="93">
        <v>4.68</v>
      </c>
      <c r="W643" s="97">
        <f t="shared" si="39"/>
        <v>362.72</v>
      </c>
    </row>
    <row r="644" spans="1:23" x14ac:dyDescent="0.25">
      <c r="A644" s="61" t="s">
        <v>737</v>
      </c>
      <c r="B644" s="91">
        <v>42163</v>
      </c>
      <c r="C644" s="92" t="s">
        <v>1921</v>
      </c>
      <c r="D644" s="92" t="s">
        <v>1922</v>
      </c>
      <c r="E644" s="92" t="s">
        <v>1198</v>
      </c>
      <c r="F644" s="92" t="s">
        <v>1235</v>
      </c>
      <c r="G644" s="92" t="s">
        <v>1202</v>
      </c>
      <c r="H644" s="92" t="s">
        <v>1304</v>
      </c>
      <c r="I644" s="92" t="s">
        <v>1264</v>
      </c>
      <c r="J644" s="92" t="s">
        <v>1279</v>
      </c>
      <c r="K644" s="92" t="s">
        <v>1239</v>
      </c>
      <c r="L644" s="92" t="s">
        <v>1260</v>
      </c>
      <c r="M644" s="92" t="s">
        <v>1241</v>
      </c>
      <c r="N644" s="91">
        <v>42165</v>
      </c>
      <c r="O644" s="93">
        <v>62.4</v>
      </c>
      <c r="P644" s="93">
        <v>155.99</v>
      </c>
      <c r="Q644" s="94">
        <v>21</v>
      </c>
      <c r="R644" s="93">
        <f t="shared" si="36"/>
        <v>3275.79</v>
      </c>
      <c r="S644" s="95">
        <v>0.08</v>
      </c>
      <c r="T644" s="96">
        <f t="shared" si="37"/>
        <v>262.06319999999999</v>
      </c>
      <c r="U644" s="96">
        <f t="shared" si="38"/>
        <v>3275.71</v>
      </c>
      <c r="V644" s="93">
        <v>8.08</v>
      </c>
      <c r="W644" s="97">
        <f t="shared" si="39"/>
        <v>3283.79</v>
      </c>
    </row>
    <row r="645" spans="1:23" x14ac:dyDescent="0.25">
      <c r="A645" s="61" t="s">
        <v>738</v>
      </c>
      <c r="B645" s="91">
        <v>42163</v>
      </c>
      <c r="C645" s="92" t="s">
        <v>1473</v>
      </c>
      <c r="D645" s="92" t="s">
        <v>1323</v>
      </c>
      <c r="E645" s="92" t="s">
        <v>1198</v>
      </c>
      <c r="F645" s="92" t="s">
        <v>1235</v>
      </c>
      <c r="G645" s="92" t="s">
        <v>1203</v>
      </c>
      <c r="H645" s="92" t="s">
        <v>1263</v>
      </c>
      <c r="I645" s="92" t="s">
        <v>1256</v>
      </c>
      <c r="J645" s="92" t="s">
        <v>1295</v>
      </c>
      <c r="K645" s="92" t="s">
        <v>1239</v>
      </c>
      <c r="L645" s="92" t="s">
        <v>1296</v>
      </c>
      <c r="M645" s="92" t="s">
        <v>1241</v>
      </c>
      <c r="N645" s="91">
        <v>42164</v>
      </c>
      <c r="O645" s="93">
        <v>377.99</v>
      </c>
      <c r="P645" s="93">
        <v>599.99</v>
      </c>
      <c r="Q645" s="94">
        <v>41</v>
      </c>
      <c r="R645" s="93">
        <f t="shared" ref="R645:R708" si="40">P645*Q645</f>
        <v>24599.59</v>
      </c>
      <c r="S645" s="95">
        <v>0.09</v>
      </c>
      <c r="T645" s="96">
        <f t="shared" ref="T645:T708" si="41">R645*S645</f>
        <v>2213.9630999999999</v>
      </c>
      <c r="U645" s="96">
        <f t="shared" ref="U645:U708" si="42">R645-S645</f>
        <v>24599.5</v>
      </c>
      <c r="V645" s="93">
        <v>24.49</v>
      </c>
      <c r="W645" s="97">
        <f t="shared" ref="W645:W708" si="43">U645+V645</f>
        <v>24623.99</v>
      </c>
    </row>
    <row r="646" spans="1:23" x14ac:dyDescent="0.25">
      <c r="A646" s="61" t="s">
        <v>739</v>
      </c>
      <c r="B646" s="91">
        <v>42165</v>
      </c>
      <c r="C646" s="92" t="s">
        <v>1923</v>
      </c>
      <c r="D646" s="92" t="s">
        <v>1831</v>
      </c>
      <c r="E646" s="92" t="s">
        <v>1198</v>
      </c>
      <c r="F646" s="92" t="s">
        <v>1235</v>
      </c>
      <c r="G646" s="92" t="s">
        <v>1200</v>
      </c>
      <c r="H646" s="92" t="s">
        <v>1286</v>
      </c>
      <c r="I646" s="92" t="s">
        <v>1264</v>
      </c>
      <c r="J646" s="92" t="s">
        <v>1421</v>
      </c>
      <c r="K646" s="92" t="s">
        <v>1243</v>
      </c>
      <c r="L646" s="92" t="s">
        <v>1260</v>
      </c>
      <c r="M646" s="92" t="s">
        <v>1241</v>
      </c>
      <c r="N646" s="91">
        <v>42167</v>
      </c>
      <c r="O646" s="93">
        <v>99.39</v>
      </c>
      <c r="P646" s="93">
        <v>162.93</v>
      </c>
      <c r="Q646" s="94">
        <v>36</v>
      </c>
      <c r="R646" s="93">
        <f t="shared" si="40"/>
        <v>5865.4800000000005</v>
      </c>
      <c r="S646" s="95">
        <v>0.09</v>
      </c>
      <c r="T646" s="96">
        <f t="shared" si="41"/>
        <v>527.89319999999998</v>
      </c>
      <c r="U646" s="96">
        <f t="shared" si="42"/>
        <v>5865.39</v>
      </c>
      <c r="V646" s="93">
        <v>19.989999999999998</v>
      </c>
      <c r="W646" s="97">
        <f t="shared" si="43"/>
        <v>5885.38</v>
      </c>
    </row>
    <row r="647" spans="1:23" x14ac:dyDescent="0.25">
      <c r="A647" s="61" t="s">
        <v>740</v>
      </c>
      <c r="B647" s="91">
        <v>42165</v>
      </c>
      <c r="C647" s="92" t="s">
        <v>1540</v>
      </c>
      <c r="D647" s="92" t="s">
        <v>1340</v>
      </c>
      <c r="E647" s="92" t="s">
        <v>1199</v>
      </c>
      <c r="F647" s="92" t="s">
        <v>1254</v>
      </c>
      <c r="G647" s="92" t="s">
        <v>1200</v>
      </c>
      <c r="H647" s="92" t="s">
        <v>1255</v>
      </c>
      <c r="I647" s="92" t="s">
        <v>1248</v>
      </c>
      <c r="J647" s="92" t="s">
        <v>1456</v>
      </c>
      <c r="K647" s="92" t="s">
        <v>1243</v>
      </c>
      <c r="L647" s="92" t="s">
        <v>1260</v>
      </c>
      <c r="M647" s="92" t="s">
        <v>1241</v>
      </c>
      <c r="N647" s="91">
        <v>42169</v>
      </c>
      <c r="O647" s="93">
        <v>3.52</v>
      </c>
      <c r="P647" s="93">
        <v>5.68</v>
      </c>
      <c r="Q647" s="94">
        <v>8</v>
      </c>
      <c r="R647" s="93">
        <f t="shared" si="40"/>
        <v>45.44</v>
      </c>
      <c r="S647" s="95">
        <v>0.05</v>
      </c>
      <c r="T647" s="96">
        <f t="shared" si="41"/>
        <v>2.2719999999999998</v>
      </c>
      <c r="U647" s="96">
        <f t="shared" si="42"/>
        <v>45.39</v>
      </c>
      <c r="V647" s="93">
        <v>1.39</v>
      </c>
      <c r="W647" s="97">
        <f t="shared" si="43"/>
        <v>46.78</v>
      </c>
    </row>
    <row r="648" spans="1:23" x14ac:dyDescent="0.25">
      <c r="A648" s="61" t="s">
        <v>741</v>
      </c>
      <c r="B648" s="91">
        <v>42166</v>
      </c>
      <c r="C648" s="92" t="s">
        <v>1924</v>
      </c>
      <c r="D648" s="92" t="s">
        <v>1914</v>
      </c>
      <c r="E648" s="92" t="s">
        <v>1198</v>
      </c>
      <c r="F648" s="92" t="s">
        <v>1235</v>
      </c>
      <c r="G648" s="92" t="s">
        <v>1202</v>
      </c>
      <c r="H648" s="92" t="s">
        <v>1304</v>
      </c>
      <c r="I648" s="92" t="s">
        <v>1248</v>
      </c>
      <c r="J648" s="92" t="s">
        <v>1659</v>
      </c>
      <c r="K648" s="92" t="s">
        <v>1243</v>
      </c>
      <c r="L648" s="92" t="s">
        <v>1240</v>
      </c>
      <c r="M648" s="92" t="s">
        <v>1241</v>
      </c>
      <c r="N648" s="91">
        <v>42166</v>
      </c>
      <c r="O648" s="93">
        <v>3.51</v>
      </c>
      <c r="P648" s="93">
        <v>8.57</v>
      </c>
      <c r="Q648" s="94">
        <v>22</v>
      </c>
      <c r="R648" s="93">
        <f t="shared" si="40"/>
        <v>188.54000000000002</v>
      </c>
      <c r="S648" s="95">
        <v>0.1</v>
      </c>
      <c r="T648" s="96">
        <f t="shared" si="41"/>
        <v>18.854000000000003</v>
      </c>
      <c r="U648" s="96">
        <f t="shared" si="42"/>
        <v>188.44000000000003</v>
      </c>
      <c r="V648" s="93">
        <v>6.14</v>
      </c>
      <c r="W648" s="97">
        <f t="shared" si="43"/>
        <v>194.58</v>
      </c>
    </row>
    <row r="649" spans="1:23" x14ac:dyDescent="0.25">
      <c r="A649" s="61" t="s">
        <v>742</v>
      </c>
      <c r="B649" s="91">
        <v>42166</v>
      </c>
      <c r="C649" s="92" t="s">
        <v>1850</v>
      </c>
      <c r="D649" s="92" t="s">
        <v>1246</v>
      </c>
      <c r="E649" s="92" t="s">
        <v>1198</v>
      </c>
      <c r="F649" s="92" t="s">
        <v>1235</v>
      </c>
      <c r="G649" s="92" t="s">
        <v>1202</v>
      </c>
      <c r="H649" s="92" t="s">
        <v>1247</v>
      </c>
      <c r="I649" s="92" t="s">
        <v>1317</v>
      </c>
      <c r="J649" s="92" t="s">
        <v>1670</v>
      </c>
      <c r="K649" s="92" t="s">
        <v>1243</v>
      </c>
      <c r="L649" s="92" t="s">
        <v>1244</v>
      </c>
      <c r="M649" s="92" t="s">
        <v>1250</v>
      </c>
      <c r="N649" s="91">
        <v>42168</v>
      </c>
      <c r="O649" s="93">
        <v>0.93</v>
      </c>
      <c r="P649" s="93">
        <v>1.6</v>
      </c>
      <c r="Q649" s="94">
        <v>24</v>
      </c>
      <c r="R649" s="93">
        <f t="shared" si="40"/>
        <v>38.400000000000006</v>
      </c>
      <c r="S649" s="95">
        <v>0.04</v>
      </c>
      <c r="T649" s="96">
        <f t="shared" si="41"/>
        <v>1.5360000000000003</v>
      </c>
      <c r="U649" s="96">
        <f t="shared" si="42"/>
        <v>38.360000000000007</v>
      </c>
      <c r="V649" s="93">
        <v>1.29</v>
      </c>
      <c r="W649" s="97">
        <f t="shared" si="43"/>
        <v>39.650000000000006</v>
      </c>
    </row>
    <row r="650" spans="1:23" x14ac:dyDescent="0.25">
      <c r="A650" s="61" t="s">
        <v>743</v>
      </c>
      <c r="B650" s="91">
        <v>42168</v>
      </c>
      <c r="C650" s="92" t="s">
        <v>1566</v>
      </c>
      <c r="D650" s="92" t="s">
        <v>1458</v>
      </c>
      <c r="E650" s="92" t="s">
        <v>1198</v>
      </c>
      <c r="F650" s="92" t="s">
        <v>1235</v>
      </c>
      <c r="G650" s="92" t="s">
        <v>1200</v>
      </c>
      <c r="H650" s="92" t="s">
        <v>1404</v>
      </c>
      <c r="I650" s="92" t="s">
        <v>1256</v>
      </c>
      <c r="J650" s="92" t="s">
        <v>1386</v>
      </c>
      <c r="K650" s="92" t="s">
        <v>1382</v>
      </c>
      <c r="L650" s="92" t="s">
        <v>1240</v>
      </c>
      <c r="M650" s="92" t="s">
        <v>1241</v>
      </c>
      <c r="N650" s="91">
        <v>42171</v>
      </c>
      <c r="O650" s="93">
        <v>5.5</v>
      </c>
      <c r="P650" s="93">
        <v>12.22</v>
      </c>
      <c r="Q650" s="94">
        <v>8</v>
      </c>
      <c r="R650" s="93">
        <f t="shared" si="40"/>
        <v>97.76</v>
      </c>
      <c r="S650" s="95">
        <v>0.1</v>
      </c>
      <c r="T650" s="96">
        <f t="shared" si="41"/>
        <v>9.7760000000000016</v>
      </c>
      <c r="U650" s="96">
        <f t="shared" si="42"/>
        <v>97.660000000000011</v>
      </c>
      <c r="V650" s="93">
        <v>2.85</v>
      </c>
      <c r="W650" s="97">
        <f t="shared" si="43"/>
        <v>100.51</v>
      </c>
    </row>
    <row r="651" spans="1:23" x14ac:dyDescent="0.25">
      <c r="A651" s="61" t="s">
        <v>744</v>
      </c>
      <c r="B651" s="91">
        <v>42169</v>
      </c>
      <c r="C651" s="92" t="s">
        <v>1925</v>
      </c>
      <c r="D651" s="92" t="s">
        <v>1253</v>
      </c>
      <c r="E651" s="92" t="s">
        <v>1199</v>
      </c>
      <c r="F651" s="92" t="s">
        <v>1254</v>
      </c>
      <c r="G651" s="92" t="s">
        <v>1203</v>
      </c>
      <c r="H651" s="92" t="s">
        <v>1255</v>
      </c>
      <c r="I651" s="92" t="s">
        <v>1317</v>
      </c>
      <c r="J651" s="92" t="s">
        <v>1266</v>
      </c>
      <c r="K651" s="92" t="s">
        <v>1243</v>
      </c>
      <c r="L651" s="92" t="s">
        <v>1244</v>
      </c>
      <c r="M651" s="92" t="s">
        <v>1241</v>
      </c>
      <c r="N651" s="91">
        <v>42170</v>
      </c>
      <c r="O651" s="93">
        <v>1.31</v>
      </c>
      <c r="P651" s="93">
        <v>2.84</v>
      </c>
      <c r="Q651" s="94">
        <v>23</v>
      </c>
      <c r="R651" s="93">
        <f t="shared" si="40"/>
        <v>65.319999999999993</v>
      </c>
      <c r="S651" s="95">
        <v>0.06</v>
      </c>
      <c r="T651" s="96">
        <f t="shared" si="41"/>
        <v>3.9191999999999996</v>
      </c>
      <c r="U651" s="96">
        <f t="shared" si="42"/>
        <v>65.259999999999991</v>
      </c>
      <c r="V651" s="93">
        <v>0.93</v>
      </c>
      <c r="W651" s="97">
        <f t="shared" si="43"/>
        <v>66.19</v>
      </c>
    </row>
    <row r="652" spans="1:23" x14ac:dyDescent="0.25">
      <c r="A652" s="61" t="s">
        <v>745</v>
      </c>
      <c r="B652" s="91">
        <v>42175</v>
      </c>
      <c r="C652" s="92" t="s">
        <v>1926</v>
      </c>
      <c r="D652" s="92" t="s">
        <v>1253</v>
      </c>
      <c r="E652" s="92" t="s">
        <v>1199</v>
      </c>
      <c r="F652" s="92" t="s">
        <v>1254</v>
      </c>
      <c r="G652" s="92" t="s">
        <v>1201</v>
      </c>
      <c r="H652" s="92" t="s">
        <v>1255</v>
      </c>
      <c r="I652" s="92" t="s">
        <v>1256</v>
      </c>
      <c r="J652" s="92" t="s">
        <v>1405</v>
      </c>
      <c r="K652" s="92" t="s">
        <v>1243</v>
      </c>
      <c r="L652" s="92" t="s">
        <v>1260</v>
      </c>
      <c r="M652" s="92" t="s">
        <v>1241</v>
      </c>
      <c r="N652" s="91">
        <v>42177</v>
      </c>
      <c r="O652" s="93">
        <v>4.59</v>
      </c>
      <c r="P652" s="93">
        <v>7.28</v>
      </c>
      <c r="Q652" s="94">
        <v>16</v>
      </c>
      <c r="R652" s="93">
        <f t="shared" si="40"/>
        <v>116.48</v>
      </c>
      <c r="S652" s="95">
        <v>7.0000000000000007E-2</v>
      </c>
      <c r="T652" s="96">
        <f t="shared" si="41"/>
        <v>8.1536000000000008</v>
      </c>
      <c r="U652" s="96">
        <f t="shared" si="42"/>
        <v>116.41000000000001</v>
      </c>
      <c r="V652" s="93">
        <v>11.15</v>
      </c>
      <c r="W652" s="97">
        <f t="shared" si="43"/>
        <v>127.56000000000002</v>
      </c>
    </row>
    <row r="653" spans="1:23" x14ac:dyDescent="0.25">
      <c r="A653" s="61" t="s">
        <v>746</v>
      </c>
      <c r="B653" s="91">
        <v>42176</v>
      </c>
      <c r="C653" s="92" t="s">
        <v>1927</v>
      </c>
      <c r="D653" s="92" t="s">
        <v>1486</v>
      </c>
      <c r="E653" s="92" t="s">
        <v>1198</v>
      </c>
      <c r="F653" s="92" t="s">
        <v>1235</v>
      </c>
      <c r="G653" s="92" t="s">
        <v>1200</v>
      </c>
      <c r="H653" s="92" t="s">
        <v>1291</v>
      </c>
      <c r="I653" s="92" t="s">
        <v>1237</v>
      </c>
      <c r="J653" s="92" t="s">
        <v>1515</v>
      </c>
      <c r="K653" s="92" t="s">
        <v>1243</v>
      </c>
      <c r="L653" s="92" t="s">
        <v>1260</v>
      </c>
      <c r="M653" s="92" t="s">
        <v>1241</v>
      </c>
      <c r="N653" s="91">
        <v>42178</v>
      </c>
      <c r="O653" s="93">
        <v>2.25</v>
      </c>
      <c r="P653" s="93">
        <v>3.69</v>
      </c>
      <c r="Q653" s="94">
        <v>42</v>
      </c>
      <c r="R653" s="93">
        <f t="shared" si="40"/>
        <v>154.97999999999999</v>
      </c>
      <c r="S653" s="95">
        <v>0.06</v>
      </c>
      <c r="T653" s="96">
        <f t="shared" si="41"/>
        <v>9.2987999999999982</v>
      </c>
      <c r="U653" s="96">
        <f t="shared" si="42"/>
        <v>154.91999999999999</v>
      </c>
      <c r="V653" s="93">
        <v>2.5</v>
      </c>
      <c r="W653" s="97">
        <f t="shared" si="43"/>
        <v>157.41999999999999</v>
      </c>
    </row>
    <row r="654" spans="1:23" x14ac:dyDescent="0.25">
      <c r="A654" s="61" t="s">
        <v>747</v>
      </c>
      <c r="B654" s="91">
        <v>42180</v>
      </c>
      <c r="C654" s="92" t="s">
        <v>1928</v>
      </c>
      <c r="D654" s="92" t="s">
        <v>1511</v>
      </c>
      <c r="E654" s="92" t="s">
        <v>1198</v>
      </c>
      <c r="F654" s="92" t="s">
        <v>1235</v>
      </c>
      <c r="G654" s="92" t="s">
        <v>1202</v>
      </c>
      <c r="H654" s="92" t="s">
        <v>1236</v>
      </c>
      <c r="I654" s="92" t="s">
        <v>1317</v>
      </c>
      <c r="J654" s="92" t="s">
        <v>1324</v>
      </c>
      <c r="K654" s="92" t="s">
        <v>1243</v>
      </c>
      <c r="L654" s="92" t="s">
        <v>1260</v>
      </c>
      <c r="M654" s="92" t="s">
        <v>1250</v>
      </c>
      <c r="N654" s="91">
        <v>42181</v>
      </c>
      <c r="O654" s="93">
        <v>1.18</v>
      </c>
      <c r="P654" s="93">
        <v>1.88</v>
      </c>
      <c r="Q654" s="94">
        <v>5</v>
      </c>
      <c r="R654" s="93">
        <f t="shared" si="40"/>
        <v>9.3999999999999986</v>
      </c>
      <c r="S654" s="95">
        <v>0.08</v>
      </c>
      <c r="T654" s="96">
        <f t="shared" si="41"/>
        <v>0.75199999999999989</v>
      </c>
      <c r="U654" s="96">
        <f t="shared" si="42"/>
        <v>9.3199999999999985</v>
      </c>
      <c r="V654" s="93">
        <v>1.49</v>
      </c>
      <c r="W654" s="97">
        <f t="shared" si="43"/>
        <v>10.809999999999999</v>
      </c>
    </row>
    <row r="655" spans="1:23" x14ac:dyDescent="0.25">
      <c r="A655" s="61" t="s">
        <v>748</v>
      </c>
      <c r="B655" s="91">
        <v>42182</v>
      </c>
      <c r="C655" s="92" t="s">
        <v>1929</v>
      </c>
      <c r="D655" s="92" t="s">
        <v>1253</v>
      </c>
      <c r="E655" s="92" t="s">
        <v>1199</v>
      </c>
      <c r="F655" s="92" t="s">
        <v>1254</v>
      </c>
      <c r="G655" s="92" t="s">
        <v>1200</v>
      </c>
      <c r="H655" s="92" t="s">
        <v>1255</v>
      </c>
      <c r="I655" s="92" t="s">
        <v>1237</v>
      </c>
      <c r="J655" s="92" t="s">
        <v>1349</v>
      </c>
      <c r="K655" s="92" t="s">
        <v>1243</v>
      </c>
      <c r="L655" s="92" t="s">
        <v>1260</v>
      </c>
      <c r="M655" s="92" t="s">
        <v>1241</v>
      </c>
      <c r="N655" s="91">
        <v>42184</v>
      </c>
      <c r="O655" s="93">
        <v>3.65</v>
      </c>
      <c r="P655" s="93">
        <v>5.98</v>
      </c>
      <c r="Q655" s="94">
        <v>50</v>
      </c>
      <c r="R655" s="93">
        <f t="shared" si="40"/>
        <v>299</v>
      </c>
      <c r="S655" s="95">
        <v>0.02</v>
      </c>
      <c r="T655" s="96">
        <f t="shared" si="41"/>
        <v>5.98</v>
      </c>
      <c r="U655" s="96">
        <f t="shared" si="42"/>
        <v>298.98</v>
      </c>
      <c r="V655" s="93">
        <v>1.49</v>
      </c>
      <c r="W655" s="97">
        <f t="shared" si="43"/>
        <v>300.47000000000003</v>
      </c>
    </row>
    <row r="656" spans="1:23" x14ac:dyDescent="0.25">
      <c r="A656" s="61" t="s">
        <v>749</v>
      </c>
      <c r="B656" s="91">
        <v>42182</v>
      </c>
      <c r="C656" s="92" t="s">
        <v>1930</v>
      </c>
      <c r="D656" s="92" t="s">
        <v>1330</v>
      </c>
      <c r="E656" s="92" t="s">
        <v>1199</v>
      </c>
      <c r="F656" s="92" t="s">
        <v>1254</v>
      </c>
      <c r="G656" s="92" t="s">
        <v>1200</v>
      </c>
      <c r="H656" s="92" t="s">
        <v>1255</v>
      </c>
      <c r="I656" s="92" t="s">
        <v>1317</v>
      </c>
      <c r="J656" s="92" t="s">
        <v>1396</v>
      </c>
      <c r="K656" s="92" t="s">
        <v>1243</v>
      </c>
      <c r="L656" s="92" t="s">
        <v>1244</v>
      </c>
      <c r="M656" s="92" t="s">
        <v>1241</v>
      </c>
      <c r="N656" s="91">
        <v>42182</v>
      </c>
      <c r="O656" s="93">
        <v>1.53</v>
      </c>
      <c r="P656" s="93">
        <v>2.78</v>
      </c>
      <c r="Q656" s="94">
        <v>44</v>
      </c>
      <c r="R656" s="93">
        <f t="shared" si="40"/>
        <v>122.32</v>
      </c>
      <c r="S656" s="95">
        <v>7.0000000000000007E-2</v>
      </c>
      <c r="T656" s="96">
        <f t="shared" si="41"/>
        <v>8.5624000000000002</v>
      </c>
      <c r="U656" s="96">
        <f t="shared" si="42"/>
        <v>122.25</v>
      </c>
      <c r="V656" s="93">
        <v>1.34</v>
      </c>
      <c r="W656" s="97">
        <f t="shared" si="43"/>
        <v>123.59</v>
      </c>
    </row>
    <row r="657" spans="1:23" x14ac:dyDescent="0.25">
      <c r="A657" s="61" t="s">
        <v>750</v>
      </c>
      <c r="B657" s="91">
        <v>42182</v>
      </c>
      <c r="C657" s="92" t="s">
        <v>1920</v>
      </c>
      <c r="D657" s="92" t="s">
        <v>1615</v>
      </c>
      <c r="E657" s="92" t="s">
        <v>1198</v>
      </c>
      <c r="F657" s="92" t="s">
        <v>1235</v>
      </c>
      <c r="G657" s="92" t="s">
        <v>1200</v>
      </c>
      <c r="H657" s="92" t="s">
        <v>1404</v>
      </c>
      <c r="I657" s="92" t="s">
        <v>1256</v>
      </c>
      <c r="J657" s="92" t="s">
        <v>1593</v>
      </c>
      <c r="K657" s="92" t="s">
        <v>1243</v>
      </c>
      <c r="L657" s="92" t="s">
        <v>1260</v>
      </c>
      <c r="M657" s="92" t="s">
        <v>1241</v>
      </c>
      <c r="N657" s="91">
        <v>42184</v>
      </c>
      <c r="O657" s="93">
        <v>2.1800000000000002</v>
      </c>
      <c r="P657" s="93">
        <v>3.52</v>
      </c>
      <c r="Q657" s="94">
        <v>1</v>
      </c>
      <c r="R657" s="93">
        <f t="shared" si="40"/>
        <v>3.52</v>
      </c>
      <c r="S657" s="95">
        <v>0.04</v>
      </c>
      <c r="T657" s="96">
        <f t="shared" si="41"/>
        <v>0.14080000000000001</v>
      </c>
      <c r="U657" s="96">
        <f t="shared" si="42"/>
        <v>3.48</v>
      </c>
      <c r="V657" s="93">
        <v>6.83</v>
      </c>
      <c r="W657" s="97">
        <f t="shared" si="43"/>
        <v>10.31</v>
      </c>
    </row>
    <row r="658" spans="1:23" x14ac:dyDescent="0.25">
      <c r="A658" s="61" t="s">
        <v>751</v>
      </c>
      <c r="B658" s="91">
        <v>42183</v>
      </c>
      <c r="C658" s="92" t="s">
        <v>1678</v>
      </c>
      <c r="D658" s="92" t="s">
        <v>1290</v>
      </c>
      <c r="E658" s="92" t="s">
        <v>1198</v>
      </c>
      <c r="F658" s="92" t="s">
        <v>1235</v>
      </c>
      <c r="G658" s="92" t="s">
        <v>1201</v>
      </c>
      <c r="H658" s="92" t="s">
        <v>1291</v>
      </c>
      <c r="I658" s="92" t="s">
        <v>1237</v>
      </c>
      <c r="J658" s="92" t="s">
        <v>1275</v>
      </c>
      <c r="K658" s="92" t="s">
        <v>1243</v>
      </c>
      <c r="L658" s="92" t="s">
        <v>1260</v>
      </c>
      <c r="M658" s="92" t="s">
        <v>1250</v>
      </c>
      <c r="N658" s="91">
        <v>42185</v>
      </c>
      <c r="O658" s="93">
        <v>2.4500000000000002</v>
      </c>
      <c r="P658" s="93">
        <v>3.89</v>
      </c>
      <c r="Q658" s="94">
        <v>32</v>
      </c>
      <c r="R658" s="93">
        <f t="shared" si="40"/>
        <v>124.48</v>
      </c>
      <c r="S658" s="95">
        <v>0.1</v>
      </c>
      <c r="T658" s="96">
        <f t="shared" si="41"/>
        <v>12.448</v>
      </c>
      <c r="U658" s="96">
        <f t="shared" si="42"/>
        <v>124.38000000000001</v>
      </c>
      <c r="V658" s="93">
        <v>7.01</v>
      </c>
      <c r="W658" s="97">
        <f t="shared" si="43"/>
        <v>131.39000000000001</v>
      </c>
    </row>
    <row r="659" spans="1:23" x14ac:dyDescent="0.25">
      <c r="A659" s="61" t="s">
        <v>752</v>
      </c>
      <c r="B659" s="91">
        <v>42183</v>
      </c>
      <c r="C659" s="92" t="s">
        <v>1671</v>
      </c>
      <c r="D659" s="92" t="s">
        <v>1496</v>
      </c>
      <c r="E659" s="92" t="s">
        <v>1198</v>
      </c>
      <c r="F659" s="92" t="s">
        <v>1235</v>
      </c>
      <c r="G659" s="92" t="s">
        <v>1200</v>
      </c>
      <c r="H659" s="92" t="s">
        <v>1313</v>
      </c>
      <c r="I659" s="92" t="s">
        <v>1237</v>
      </c>
      <c r="J659" s="92" t="s">
        <v>1270</v>
      </c>
      <c r="K659" s="92" t="s">
        <v>1243</v>
      </c>
      <c r="L659" s="92" t="s">
        <v>1260</v>
      </c>
      <c r="M659" s="92" t="s">
        <v>1241</v>
      </c>
      <c r="N659" s="91">
        <v>42185</v>
      </c>
      <c r="O659" s="93">
        <v>1.84</v>
      </c>
      <c r="P659" s="93">
        <v>2.88</v>
      </c>
      <c r="Q659" s="94">
        <v>25</v>
      </c>
      <c r="R659" s="93">
        <f t="shared" si="40"/>
        <v>72</v>
      </c>
      <c r="S659" s="95">
        <v>0.04</v>
      </c>
      <c r="T659" s="96">
        <f t="shared" si="41"/>
        <v>2.88</v>
      </c>
      <c r="U659" s="96">
        <f t="shared" si="42"/>
        <v>71.959999999999994</v>
      </c>
      <c r="V659" s="93">
        <v>1.49</v>
      </c>
      <c r="W659" s="97">
        <f t="shared" si="43"/>
        <v>73.449999999999989</v>
      </c>
    </row>
    <row r="660" spans="1:23" x14ac:dyDescent="0.25">
      <c r="A660" s="61" t="s">
        <v>753</v>
      </c>
      <c r="B660" s="91">
        <v>42183</v>
      </c>
      <c r="C660" s="92" t="s">
        <v>1931</v>
      </c>
      <c r="D660" s="92" t="s">
        <v>1454</v>
      </c>
      <c r="E660" s="92" t="s">
        <v>1198</v>
      </c>
      <c r="F660" s="92" t="s">
        <v>1235</v>
      </c>
      <c r="G660" s="92" t="s">
        <v>1200</v>
      </c>
      <c r="H660" s="92" t="s">
        <v>1304</v>
      </c>
      <c r="I660" s="92" t="s">
        <v>1256</v>
      </c>
      <c r="J660" s="92" t="s">
        <v>1567</v>
      </c>
      <c r="K660" s="92" t="s">
        <v>1239</v>
      </c>
      <c r="L660" s="92" t="s">
        <v>1260</v>
      </c>
      <c r="M660" s="92" t="s">
        <v>1241</v>
      </c>
      <c r="N660" s="91">
        <v>42184</v>
      </c>
      <c r="O660" s="93">
        <v>6.51</v>
      </c>
      <c r="P660" s="93">
        <v>30.98</v>
      </c>
      <c r="Q660" s="94">
        <v>6</v>
      </c>
      <c r="R660" s="93">
        <f t="shared" si="40"/>
        <v>185.88</v>
      </c>
      <c r="S660" s="95">
        <v>0.01</v>
      </c>
      <c r="T660" s="96">
        <f t="shared" si="41"/>
        <v>1.8588</v>
      </c>
      <c r="U660" s="96">
        <f t="shared" si="42"/>
        <v>185.87</v>
      </c>
      <c r="V660" s="93">
        <v>6.5</v>
      </c>
      <c r="W660" s="97">
        <f t="shared" si="43"/>
        <v>192.37</v>
      </c>
    </row>
    <row r="661" spans="1:23" x14ac:dyDescent="0.25">
      <c r="A661" s="61" t="s">
        <v>754</v>
      </c>
      <c r="B661" s="91">
        <v>42184</v>
      </c>
      <c r="C661" s="92" t="s">
        <v>1932</v>
      </c>
      <c r="D661" s="92" t="s">
        <v>1900</v>
      </c>
      <c r="E661" s="92" t="s">
        <v>1198</v>
      </c>
      <c r="F661" s="92" t="s">
        <v>1235</v>
      </c>
      <c r="G661" s="92" t="s">
        <v>1203</v>
      </c>
      <c r="H661" s="92" t="s">
        <v>1304</v>
      </c>
      <c r="I661" s="92" t="s">
        <v>1248</v>
      </c>
      <c r="J661" s="92" t="s">
        <v>1773</v>
      </c>
      <c r="K661" s="92" t="s">
        <v>1243</v>
      </c>
      <c r="L661" s="92" t="s">
        <v>1260</v>
      </c>
      <c r="M661" s="92" t="s">
        <v>1241</v>
      </c>
      <c r="N661" s="91">
        <v>42188</v>
      </c>
      <c r="O661" s="93">
        <v>1.84</v>
      </c>
      <c r="P661" s="93">
        <v>2.88</v>
      </c>
      <c r="Q661" s="94">
        <v>49</v>
      </c>
      <c r="R661" s="93">
        <f t="shared" si="40"/>
        <v>141.12</v>
      </c>
      <c r="S661" s="95">
        <v>0.01</v>
      </c>
      <c r="T661" s="96">
        <f t="shared" si="41"/>
        <v>1.4112</v>
      </c>
      <c r="U661" s="96">
        <f t="shared" si="42"/>
        <v>141.11000000000001</v>
      </c>
      <c r="V661" s="93">
        <v>0.99</v>
      </c>
      <c r="W661" s="97">
        <f t="shared" si="43"/>
        <v>142.10000000000002</v>
      </c>
    </row>
    <row r="662" spans="1:23" x14ac:dyDescent="0.25">
      <c r="A662" s="61" t="s">
        <v>755</v>
      </c>
      <c r="B662" s="91">
        <v>42187</v>
      </c>
      <c r="C662" s="92" t="s">
        <v>1933</v>
      </c>
      <c r="D662" s="92" t="s">
        <v>1491</v>
      </c>
      <c r="E662" s="92" t="s">
        <v>1198</v>
      </c>
      <c r="F662" s="92" t="s">
        <v>1235</v>
      </c>
      <c r="G662" s="92" t="s">
        <v>1203</v>
      </c>
      <c r="H662" s="92" t="s">
        <v>1313</v>
      </c>
      <c r="I662" s="92" t="s">
        <v>1248</v>
      </c>
      <c r="J662" s="92" t="s">
        <v>1386</v>
      </c>
      <c r="K662" s="92" t="s">
        <v>1382</v>
      </c>
      <c r="L662" s="92" t="s">
        <v>1240</v>
      </c>
      <c r="M662" s="92" t="s">
        <v>1241</v>
      </c>
      <c r="N662" s="91">
        <v>42194</v>
      </c>
      <c r="O662" s="93">
        <v>5.5</v>
      </c>
      <c r="P662" s="93">
        <v>12.22</v>
      </c>
      <c r="Q662" s="94">
        <v>46</v>
      </c>
      <c r="R662" s="93">
        <f t="shared" si="40"/>
        <v>562.12</v>
      </c>
      <c r="S662" s="95">
        <v>0.03</v>
      </c>
      <c r="T662" s="96">
        <f t="shared" si="41"/>
        <v>16.863599999999998</v>
      </c>
      <c r="U662" s="96">
        <f t="shared" si="42"/>
        <v>562.09</v>
      </c>
      <c r="V662" s="93">
        <v>2.85</v>
      </c>
      <c r="W662" s="97">
        <f t="shared" si="43"/>
        <v>564.94000000000005</v>
      </c>
    </row>
    <row r="663" spans="1:23" x14ac:dyDescent="0.25">
      <c r="A663" s="61" t="s">
        <v>756</v>
      </c>
      <c r="B663" s="91">
        <v>42187</v>
      </c>
      <c r="C663" s="92" t="s">
        <v>1934</v>
      </c>
      <c r="D663" s="92" t="s">
        <v>1290</v>
      </c>
      <c r="E663" s="92" t="s">
        <v>1198</v>
      </c>
      <c r="F663" s="92" t="s">
        <v>1235</v>
      </c>
      <c r="G663" s="92" t="s">
        <v>1203</v>
      </c>
      <c r="H663" s="92" t="s">
        <v>1291</v>
      </c>
      <c r="I663" s="92" t="s">
        <v>1264</v>
      </c>
      <c r="J663" s="92" t="s">
        <v>1359</v>
      </c>
      <c r="K663" s="92" t="s">
        <v>1243</v>
      </c>
      <c r="L663" s="92" t="s">
        <v>1244</v>
      </c>
      <c r="M663" s="92" t="s">
        <v>1241</v>
      </c>
      <c r="N663" s="91">
        <v>42189</v>
      </c>
      <c r="O663" s="93">
        <v>11.11</v>
      </c>
      <c r="P663" s="93">
        <v>19.84</v>
      </c>
      <c r="Q663" s="94">
        <v>1</v>
      </c>
      <c r="R663" s="93">
        <f t="shared" si="40"/>
        <v>19.84</v>
      </c>
      <c r="S663" s="95">
        <v>0.05</v>
      </c>
      <c r="T663" s="96">
        <f t="shared" si="41"/>
        <v>0.99199999999999999</v>
      </c>
      <c r="U663" s="96">
        <f t="shared" si="42"/>
        <v>19.79</v>
      </c>
      <c r="V663" s="93">
        <v>4.0999999999999996</v>
      </c>
      <c r="W663" s="97">
        <f t="shared" si="43"/>
        <v>23.89</v>
      </c>
    </row>
    <row r="664" spans="1:23" x14ac:dyDescent="0.25">
      <c r="A664" s="61" t="s">
        <v>757</v>
      </c>
      <c r="B664" s="91">
        <v>42189</v>
      </c>
      <c r="C664" s="92" t="s">
        <v>1935</v>
      </c>
      <c r="D664" s="92" t="s">
        <v>1506</v>
      </c>
      <c r="E664" s="92" t="s">
        <v>1198</v>
      </c>
      <c r="F664" s="92" t="s">
        <v>1235</v>
      </c>
      <c r="G664" s="92" t="s">
        <v>1200</v>
      </c>
      <c r="H664" s="92" t="s">
        <v>1236</v>
      </c>
      <c r="I664" s="92" t="s">
        <v>1256</v>
      </c>
      <c r="J664" s="92" t="s">
        <v>1663</v>
      </c>
      <c r="K664" s="92" t="s">
        <v>1382</v>
      </c>
      <c r="L664" s="92" t="s">
        <v>1240</v>
      </c>
      <c r="M664" s="92" t="s">
        <v>1241</v>
      </c>
      <c r="N664" s="91">
        <v>42189</v>
      </c>
      <c r="O664" s="93">
        <v>11.38</v>
      </c>
      <c r="P664" s="93">
        <v>18.649999999999999</v>
      </c>
      <c r="Q664" s="94">
        <v>44</v>
      </c>
      <c r="R664" s="93">
        <f t="shared" si="40"/>
        <v>820.59999999999991</v>
      </c>
      <c r="S664" s="95">
        <v>0.03</v>
      </c>
      <c r="T664" s="96">
        <f t="shared" si="41"/>
        <v>24.617999999999995</v>
      </c>
      <c r="U664" s="96">
        <f t="shared" si="42"/>
        <v>820.56999999999994</v>
      </c>
      <c r="V664" s="93">
        <v>3.77</v>
      </c>
      <c r="W664" s="97">
        <f t="shared" si="43"/>
        <v>824.33999999999992</v>
      </c>
    </row>
    <row r="665" spans="1:23" x14ac:dyDescent="0.25">
      <c r="A665" s="61" t="s">
        <v>758</v>
      </c>
      <c r="B665" s="91">
        <v>42189</v>
      </c>
      <c r="C665" s="92" t="s">
        <v>1918</v>
      </c>
      <c r="D665" s="92" t="s">
        <v>1504</v>
      </c>
      <c r="E665" s="92" t="s">
        <v>1199</v>
      </c>
      <c r="F665" s="92" t="s">
        <v>1254</v>
      </c>
      <c r="G665" s="92" t="s">
        <v>1200</v>
      </c>
      <c r="H665" s="92" t="s">
        <v>1274</v>
      </c>
      <c r="I665" s="92" t="s">
        <v>1317</v>
      </c>
      <c r="J665" s="92" t="s">
        <v>1560</v>
      </c>
      <c r="K665" s="92" t="s">
        <v>1243</v>
      </c>
      <c r="L665" s="92" t="s">
        <v>1260</v>
      </c>
      <c r="M665" s="92" t="s">
        <v>1241</v>
      </c>
      <c r="N665" s="91">
        <v>42190</v>
      </c>
      <c r="O665" s="93">
        <v>2.74</v>
      </c>
      <c r="P665" s="93">
        <v>4.49</v>
      </c>
      <c r="Q665" s="94">
        <v>15</v>
      </c>
      <c r="R665" s="93">
        <f t="shared" si="40"/>
        <v>67.350000000000009</v>
      </c>
      <c r="S665" s="95">
        <v>0.05</v>
      </c>
      <c r="T665" s="96">
        <f t="shared" si="41"/>
        <v>3.3675000000000006</v>
      </c>
      <c r="U665" s="96">
        <f t="shared" si="42"/>
        <v>67.300000000000011</v>
      </c>
      <c r="V665" s="93">
        <v>1.49</v>
      </c>
      <c r="W665" s="97">
        <f t="shared" si="43"/>
        <v>68.790000000000006</v>
      </c>
    </row>
    <row r="666" spans="1:23" x14ac:dyDescent="0.25">
      <c r="A666" s="61" t="s">
        <v>759</v>
      </c>
      <c r="B666" s="91">
        <v>42190</v>
      </c>
      <c r="C666" s="92" t="s">
        <v>1669</v>
      </c>
      <c r="D666" s="92" t="s">
        <v>1234</v>
      </c>
      <c r="E666" s="92" t="s">
        <v>1198</v>
      </c>
      <c r="F666" s="92" t="s">
        <v>1235</v>
      </c>
      <c r="G666" s="92" t="s">
        <v>1203</v>
      </c>
      <c r="H666" s="92" t="s">
        <v>1236</v>
      </c>
      <c r="I666" s="92" t="s">
        <v>1264</v>
      </c>
      <c r="J666" s="92" t="s">
        <v>1257</v>
      </c>
      <c r="K666" s="92" t="s">
        <v>1239</v>
      </c>
      <c r="L666" s="92" t="s">
        <v>1258</v>
      </c>
      <c r="M666" s="92" t="s">
        <v>1241</v>
      </c>
      <c r="N666" s="91">
        <v>42192</v>
      </c>
      <c r="O666" s="93">
        <v>8.82</v>
      </c>
      <c r="P666" s="93">
        <v>20.99</v>
      </c>
      <c r="Q666" s="94">
        <v>49</v>
      </c>
      <c r="R666" s="93">
        <f t="shared" si="40"/>
        <v>1028.51</v>
      </c>
      <c r="S666" s="95">
        <v>0.06</v>
      </c>
      <c r="T666" s="96">
        <f t="shared" si="41"/>
        <v>61.710599999999999</v>
      </c>
      <c r="U666" s="96">
        <f t="shared" si="42"/>
        <v>1028.45</v>
      </c>
      <c r="V666" s="93">
        <v>4.8099999999999996</v>
      </c>
      <c r="W666" s="97">
        <f t="shared" si="43"/>
        <v>1033.26</v>
      </c>
    </row>
    <row r="667" spans="1:23" x14ac:dyDescent="0.25">
      <c r="A667" s="61" t="s">
        <v>760</v>
      </c>
      <c r="B667" s="91">
        <v>42194</v>
      </c>
      <c r="C667" s="92" t="s">
        <v>1886</v>
      </c>
      <c r="D667" s="92" t="s">
        <v>1444</v>
      </c>
      <c r="E667" s="92" t="s">
        <v>1198</v>
      </c>
      <c r="F667" s="92" t="s">
        <v>1235</v>
      </c>
      <c r="G667" s="92" t="s">
        <v>1203</v>
      </c>
      <c r="H667" s="92" t="s">
        <v>1313</v>
      </c>
      <c r="I667" s="92" t="s">
        <v>1256</v>
      </c>
      <c r="J667" s="92" t="s">
        <v>1381</v>
      </c>
      <c r="K667" s="92" t="s">
        <v>1382</v>
      </c>
      <c r="L667" s="92" t="s">
        <v>1296</v>
      </c>
      <c r="M667" s="92" t="s">
        <v>1241</v>
      </c>
      <c r="N667" s="91">
        <v>42195</v>
      </c>
      <c r="O667" s="93">
        <v>56.16</v>
      </c>
      <c r="P667" s="93">
        <v>136.97999999999999</v>
      </c>
      <c r="Q667" s="94">
        <v>7</v>
      </c>
      <c r="R667" s="93">
        <f t="shared" si="40"/>
        <v>958.8599999999999</v>
      </c>
      <c r="S667" s="95">
        <v>0.02</v>
      </c>
      <c r="T667" s="96">
        <f t="shared" si="41"/>
        <v>19.177199999999999</v>
      </c>
      <c r="U667" s="96">
        <f t="shared" si="42"/>
        <v>958.83999999999992</v>
      </c>
      <c r="V667" s="93">
        <v>24.49</v>
      </c>
      <c r="W667" s="97">
        <f t="shared" si="43"/>
        <v>983.32999999999993</v>
      </c>
    </row>
    <row r="668" spans="1:23" x14ac:dyDescent="0.25">
      <c r="A668" s="61" t="s">
        <v>761</v>
      </c>
      <c r="B668" s="91">
        <v>42196</v>
      </c>
      <c r="C668" s="92" t="s">
        <v>1849</v>
      </c>
      <c r="D668" s="92" t="s">
        <v>1470</v>
      </c>
      <c r="E668" s="92" t="s">
        <v>1198</v>
      </c>
      <c r="F668" s="92" t="s">
        <v>1235</v>
      </c>
      <c r="G668" s="92" t="s">
        <v>1201</v>
      </c>
      <c r="H668" s="92" t="s">
        <v>1471</v>
      </c>
      <c r="I668" s="92" t="s">
        <v>1237</v>
      </c>
      <c r="J668" s="92" t="s">
        <v>1834</v>
      </c>
      <c r="K668" s="92" t="s">
        <v>1243</v>
      </c>
      <c r="L668" s="92" t="s">
        <v>1244</v>
      </c>
      <c r="M668" s="92" t="s">
        <v>1241</v>
      </c>
      <c r="N668" s="91">
        <v>42198</v>
      </c>
      <c r="O668" s="93">
        <v>0.94</v>
      </c>
      <c r="P668" s="93">
        <v>1.88</v>
      </c>
      <c r="Q668" s="94">
        <v>22</v>
      </c>
      <c r="R668" s="93">
        <f t="shared" si="40"/>
        <v>41.36</v>
      </c>
      <c r="S668" s="95">
        <v>7.0000000000000007E-2</v>
      </c>
      <c r="T668" s="96">
        <f t="shared" si="41"/>
        <v>2.8952000000000004</v>
      </c>
      <c r="U668" s="96">
        <f t="shared" si="42"/>
        <v>41.29</v>
      </c>
      <c r="V668" s="93">
        <v>0.79</v>
      </c>
      <c r="W668" s="97">
        <f t="shared" si="43"/>
        <v>42.08</v>
      </c>
    </row>
    <row r="669" spans="1:23" x14ac:dyDescent="0.25">
      <c r="A669" s="61" t="s">
        <v>762</v>
      </c>
      <c r="B669" s="91">
        <v>42197</v>
      </c>
      <c r="C669" s="92" t="s">
        <v>1936</v>
      </c>
      <c r="D669" s="92" t="s">
        <v>1691</v>
      </c>
      <c r="E669" s="92" t="s">
        <v>1198</v>
      </c>
      <c r="F669" s="92" t="s">
        <v>1235</v>
      </c>
      <c r="G669" s="92" t="s">
        <v>1203</v>
      </c>
      <c r="H669" s="92" t="s">
        <v>1471</v>
      </c>
      <c r="I669" s="92" t="s">
        <v>1248</v>
      </c>
      <c r="J669" s="92" t="s">
        <v>1642</v>
      </c>
      <c r="K669" s="92" t="s">
        <v>1243</v>
      </c>
      <c r="L669" s="92" t="s">
        <v>1260</v>
      </c>
      <c r="M669" s="92" t="s">
        <v>1241</v>
      </c>
      <c r="N669" s="91">
        <v>42199</v>
      </c>
      <c r="O669" s="93">
        <v>11.04</v>
      </c>
      <c r="P669" s="93">
        <v>16.98</v>
      </c>
      <c r="Q669" s="94">
        <v>1</v>
      </c>
      <c r="R669" s="93">
        <f t="shared" si="40"/>
        <v>16.98</v>
      </c>
      <c r="S669" s="95">
        <v>0.03</v>
      </c>
      <c r="T669" s="96">
        <f t="shared" si="41"/>
        <v>0.50939999999999996</v>
      </c>
      <c r="U669" s="96">
        <f t="shared" si="42"/>
        <v>16.95</v>
      </c>
      <c r="V669" s="93">
        <v>12.39</v>
      </c>
      <c r="W669" s="97">
        <f t="shared" si="43"/>
        <v>29.34</v>
      </c>
    </row>
    <row r="670" spans="1:23" x14ac:dyDescent="0.25">
      <c r="A670" s="61" t="s">
        <v>763</v>
      </c>
      <c r="B670" s="91">
        <v>42199</v>
      </c>
      <c r="C670" s="92" t="s">
        <v>1521</v>
      </c>
      <c r="D670" s="92" t="s">
        <v>1347</v>
      </c>
      <c r="E670" s="92" t="s">
        <v>1198</v>
      </c>
      <c r="F670" s="92" t="s">
        <v>1235</v>
      </c>
      <c r="G670" s="92" t="s">
        <v>1201</v>
      </c>
      <c r="H670" s="92" t="s">
        <v>1236</v>
      </c>
      <c r="I670" s="92" t="s">
        <v>1248</v>
      </c>
      <c r="J670" s="92" t="s">
        <v>1366</v>
      </c>
      <c r="K670" s="92" t="s">
        <v>1243</v>
      </c>
      <c r="L670" s="92" t="s">
        <v>1244</v>
      </c>
      <c r="M670" s="92" t="s">
        <v>1250</v>
      </c>
      <c r="N670" s="91">
        <v>42204</v>
      </c>
      <c r="O670" s="93">
        <v>3.48</v>
      </c>
      <c r="P670" s="93">
        <v>5.43</v>
      </c>
      <c r="Q670" s="94">
        <v>48</v>
      </c>
      <c r="R670" s="93">
        <f t="shared" si="40"/>
        <v>260.64</v>
      </c>
      <c r="S670" s="95">
        <v>0.05</v>
      </c>
      <c r="T670" s="96">
        <f t="shared" si="41"/>
        <v>13.032</v>
      </c>
      <c r="U670" s="96">
        <f t="shared" si="42"/>
        <v>260.58999999999997</v>
      </c>
      <c r="V670" s="93">
        <v>0.95</v>
      </c>
      <c r="W670" s="97">
        <f t="shared" si="43"/>
        <v>261.53999999999996</v>
      </c>
    </row>
    <row r="671" spans="1:23" x14ac:dyDescent="0.25">
      <c r="A671" s="61" t="s">
        <v>764</v>
      </c>
      <c r="B671" s="91">
        <v>42200</v>
      </c>
      <c r="C671" s="92" t="s">
        <v>1937</v>
      </c>
      <c r="D671" s="92" t="s">
        <v>1607</v>
      </c>
      <c r="E671" s="92" t="s">
        <v>1198</v>
      </c>
      <c r="F671" s="92" t="s">
        <v>1235</v>
      </c>
      <c r="G671" s="92" t="s">
        <v>1202</v>
      </c>
      <c r="H671" s="92" t="s">
        <v>1247</v>
      </c>
      <c r="I671" s="92" t="s">
        <v>1248</v>
      </c>
      <c r="J671" s="92" t="s">
        <v>1377</v>
      </c>
      <c r="K671" s="92" t="s">
        <v>1243</v>
      </c>
      <c r="L671" s="92" t="s">
        <v>1244</v>
      </c>
      <c r="M671" s="92" t="s">
        <v>1241</v>
      </c>
      <c r="N671" s="91">
        <v>42204</v>
      </c>
      <c r="O671" s="93">
        <v>5.22</v>
      </c>
      <c r="P671" s="93">
        <v>9.85</v>
      </c>
      <c r="Q671" s="94">
        <v>21</v>
      </c>
      <c r="R671" s="93">
        <f t="shared" si="40"/>
        <v>206.85</v>
      </c>
      <c r="S671" s="95">
        <v>0.1</v>
      </c>
      <c r="T671" s="96">
        <f t="shared" si="41"/>
        <v>20.685000000000002</v>
      </c>
      <c r="U671" s="96">
        <f t="shared" si="42"/>
        <v>206.75</v>
      </c>
      <c r="V671" s="93">
        <v>4.82</v>
      </c>
      <c r="W671" s="97">
        <f t="shared" si="43"/>
        <v>211.57</v>
      </c>
    </row>
    <row r="672" spans="1:23" x14ac:dyDescent="0.25">
      <c r="A672" s="61" t="s">
        <v>765</v>
      </c>
      <c r="B672" s="91">
        <v>42201</v>
      </c>
      <c r="C672" s="92" t="s">
        <v>1735</v>
      </c>
      <c r="D672" s="92" t="s">
        <v>1388</v>
      </c>
      <c r="E672" s="92" t="s">
        <v>1199</v>
      </c>
      <c r="F672" s="92" t="s">
        <v>1254</v>
      </c>
      <c r="G672" s="92" t="s">
        <v>1200</v>
      </c>
      <c r="H672" s="92" t="s">
        <v>1255</v>
      </c>
      <c r="I672" s="92" t="s">
        <v>1248</v>
      </c>
      <c r="J672" s="92" t="s">
        <v>1309</v>
      </c>
      <c r="K672" s="92" t="s">
        <v>1243</v>
      </c>
      <c r="L672" s="92" t="s">
        <v>1244</v>
      </c>
      <c r="M672" s="92" t="s">
        <v>1241</v>
      </c>
      <c r="N672" s="91">
        <v>42205</v>
      </c>
      <c r="O672" s="93">
        <v>0.92</v>
      </c>
      <c r="P672" s="93">
        <v>1.81</v>
      </c>
      <c r="Q672" s="94">
        <v>48</v>
      </c>
      <c r="R672" s="93">
        <f t="shared" si="40"/>
        <v>86.88</v>
      </c>
      <c r="S672" s="95">
        <v>0.02</v>
      </c>
      <c r="T672" s="96">
        <f t="shared" si="41"/>
        <v>1.7376</v>
      </c>
      <c r="U672" s="96">
        <f t="shared" si="42"/>
        <v>86.86</v>
      </c>
      <c r="V672" s="93">
        <v>1.56</v>
      </c>
      <c r="W672" s="97">
        <f t="shared" si="43"/>
        <v>88.42</v>
      </c>
    </row>
    <row r="673" spans="1:23" x14ac:dyDescent="0.25">
      <c r="A673" s="61" t="s">
        <v>766</v>
      </c>
      <c r="B673" s="91">
        <v>42202</v>
      </c>
      <c r="C673" s="92" t="s">
        <v>1938</v>
      </c>
      <c r="D673" s="92" t="s">
        <v>1815</v>
      </c>
      <c r="E673" s="92" t="s">
        <v>1198</v>
      </c>
      <c r="F673" s="92" t="s">
        <v>1235</v>
      </c>
      <c r="G673" s="92" t="s">
        <v>1201</v>
      </c>
      <c r="H673" s="92" t="s">
        <v>1304</v>
      </c>
      <c r="I673" s="92" t="s">
        <v>1317</v>
      </c>
      <c r="J673" s="92" t="s">
        <v>1410</v>
      </c>
      <c r="K673" s="92" t="s">
        <v>1243</v>
      </c>
      <c r="L673" s="92" t="s">
        <v>1244</v>
      </c>
      <c r="M673" s="92" t="s">
        <v>1241</v>
      </c>
      <c r="N673" s="91">
        <v>42202</v>
      </c>
      <c r="O673" s="93">
        <v>2.41</v>
      </c>
      <c r="P673" s="93">
        <v>3.71</v>
      </c>
      <c r="Q673" s="94">
        <v>13</v>
      </c>
      <c r="R673" s="93">
        <f t="shared" si="40"/>
        <v>48.23</v>
      </c>
      <c r="S673" s="95">
        <v>0.06</v>
      </c>
      <c r="T673" s="96">
        <f t="shared" si="41"/>
        <v>2.8937999999999997</v>
      </c>
      <c r="U673" s="96">
        <f t="shared" si="42"/>
        <v>48.169999999999995</v>
      </c>
      <c r="V673" s="93">
        <v>1.93</v>
      </c>
      <c r="W673" s="97">
        <f t="shared" si="43"/>
        <v>50.099999999999994</v>
      </c>
    </row>
    <row r="674" spans="1:23" x14ac:dyDescent="0.25">
      <c r="A674" s="61" t="s">
        <v>767</v>
      </c>
      <c r="B674" s="91">
        <v>42203</v>
      </c>
      <c r="C674" s="92" t="s">
        <v>1626</v>
      </c>
      <c r="D674" s="92" t="s">
        <v>1312</v>
      </c>
      <c r="E674" s="92" t="s">
        <v>1198</v>
      </c>
      <c r="F674" s="92" t="s">
        <v>1235</v>
      </c>
      <c r="G674" s="92" t="s">
        <v>1200</v>
      </c>
      <c r="H674" s="92" t="s">
        <v>1313</v>
      </c>
      <c r="I674" s="92" t="s">
        <v>1317</v>
      </c>
      <c r="J674" s="92" t="s">
        <v>1618</v>
      </c>
      <c r="K674" s="92" t="s">
        <v>1243</v>
      </c>
      <c r="L674" s="92" t="s">
        <v>1240</v>
      </c>
      <c r="M674" s="92" t="s">
        <v>1241</v>
      </c>
      <c r="N674" s="91">
        <v>42205</v>
      </c>
      <c r="O674" s="93">
        <v>2.5</v>
      </c>
      <c r="P674" s="93">
        <v>5.68</v>
      </c>
      <c r="Q674" s="94">
        <v>21</v>
      </c>
      <c r="R674" s="93">
        <f t="shared" si="40"/>
        <v>119.28</v>
      </c>
      <c r="S674" s="95">
        <v>7.0000000000000007E-2</v>
      </c>
      <c r="T674" s="96">
        <f t="shared" si="41"/>
        <v>8.3496000000000006</v>
      </c>
      <c r="U674" s="96">
        <f t="shared" si="42"/>
        <v>119.21000000000001</v>
      </c>
      <c r="V674" s="93">
        <v>3.6</v>
      </c>
      <c r="W674" s="97">
        <f t="shared" si="43"/>
        <v>122.81</v>
      </c>
    </row>
    <row r="675" spans="1:23" x14ac:dyDescent="0.25">
      <c r="A675" s="61" t="s">
        <v>768</v>
      </c>
      <c r="B675" s="91">
        <v>42203</v>
      </c>
      <c r="C675" s="92" t="s">
        <v>1411</v>
      </c>
      <c r="D675" s="92" t="s">
        <v>1412</v>
      </c>
      <c r="E675" s="92" t="s">
        <v>1199</v>
      </c>
      <c r="F675" s="92" t="s">
        <v>1254</v>
      </c>
      <c r="G675" s="92" t="s">
        <v>1200</v>
      </c>
      <c r="H675" s="92" t="s">
        <v>1274</v>
      </c>
      <c r="I675" s="92" t="s">
        <v>1317</v>
      </c>
      <c r="J675" s="92" t="s">
        <v>1300</v>
      </c>
      <c r="K675" s="92" t="s">
        <v>1243</v>
      </c>
      <c r="L675" s="92" t="s">
        <v>1260</v>
      </c>
      <c r="M675" s="92" t="s">
        <v>1241</v>
      </c>
      <c r="N675" s="91">
        <v>42205</v>
      </c>
      <c r="O675" s="93">
        <v>2.2599999999999998</v>
      </c>
      <c r="P675" s="93">
        <v>3.58</v>
      </c>
      <c r="Q675" s="94">
        <v>43</v>
      </c>
      <c r="R675" s="93">
        <f t="shared" si="40"/>
        <v>153.94</v>
      </c>
      <c r="S675" s="95">
        <v>0.08</v>
      </c>
      <c r="T675" s="96">
        <f t="shared" si="41"/>
        <v>12.315200000000001</v>
      </c>
      <c r="U675" s="96">
        <f t="shared" si="42"/>
        <v>153.85999999999999</v>
      </c>
      <c r="V675" s="93">
        <v>5.47</v>
      </c>
      <c r="W675" s="97">
        <f t="shared" si="43"/>
        <v>159.32999999999998</v>
      </c>
    </row>
    <row r="676" spans="1:23" x14ac:dyDescent="0.25">
      <c r="A676" s="61" t="s">
        <v>769</v>
      </c>
      <c r="B676" s="91">
        <v>42204</v>
      </c>
      <c r="C676" s="92" t="s">
        <v>1460</v>
      </c>
      <c r="D676" s="92" t="s">
        <v>1461</v>
      </c>
      <c r="E676" s="92" t="s">
        <v>1199</v>
      </c>
      <c r="F676" s="92" t="s">
        <v>1254</v>
      </c>
      <c r="G676" s="92" t="s">
        <v>1201</v>
      </c>
      <c r="H676" s="92" t="s">
        <v>1255</v>
      </c>
      <c r="I676" s="92" t="s">
        <v>1237</v>
      </c>
      <c r="J676" s="92" t="s">
        <v>1590</v>
      </c>
      <c r="K676" s="92" t="s">
        <v>1243</v>
      </c>
      <c r="L676" s="92" t="s">
        <v>1260</v>
      </c>
      <c r="M676" s="92" t="s">
        <v>1241</v>
      </c>
      <c r="N676" s="91">
        <v>42205</v>
      </c>
      <c r="O676" s="93">
        <v>3.5</v>
      </c>
      <c r="P676" s="93">
        <v>5.74</v>
      </c>
      <c r="Q676" s="94">
        <v>41</v>
      </c>
      <c r="R676" s="93">
        <f t="shared" si="40"/>
        <v>235.34</v>
      </c>
      <c r="S676" s="95">
        <v>0.08</v>
      </c>
      <c r="T676" s="96">
        <f t="shared" si="41"/>
        <v>18.827200000000001</v>
      </c>
      <c r="U676" s="96">
        <f t="shared" si="42"/>
        <v>235.26</v>
      </c>
      <c r="V676" s="93">
        <v>5.01</v>
      </c>
      <c r="W676" s="97">
        <f t="shared" si="43"/>
        <v>240.26999999999998</v>
      </c>
    </row>
    <row r="677" spans="1:23" x14ac:dyDescent="0.25">
      <c r="A677" s="61" t="s">
        <v>770</v>
      </c>
      <c r="B677" s="91">
        <v>42205</v>
      </c>
      <c r="C677" s="92" t="s">
        <v>1603</v>
      </c>
      <c r="D677" s="92" t="s">
        <v>1451</v>
      </c>
      <c r="E677" s="92" t="s">
        <v>1198</v>
      </c>
      <c r="F677" s="92" t="s">
        <v>1235</v>
      </c>
      <c r="G677" s="92" t="s">
        <v>1202</v>
      </c>
      <c r="H677" s="92" t="s">
        <v>1291</v>
      </c>
      <c r="I677" s="92" t="s">
        <v>1264</v>
      </c>
      <c r="J677" s="92" t="s">
        <v>1363</v>
      </c>
      <c r="K677" s="92" t="s">
        <v>1243</v>
      </c>
      <c r="L677" s="92" t="s">
        <v>1240</v>
      </c>
      <c r="M677" s="92" t="s">
        <v>1241</v>
      </c>
      <c r="N677" s="91">
        <v>42208</v>
      </c>
      <c r="O677" s="93">
        <v>4.0999999999999996</v>
      </c>
      <c r="P677" s="93">
        <v>9.31</v>
      </c>
      <c r="Q677" s="94">
        <v>26</v>
      </c>
      <c r="R677" s="93">
        <f t="shared" si="40"/>
        <v>242.06</v>
      </c>
      <c r="S677" s="95">
        <v>0.06</v>
      </c>
      <c r="T677" s="96">
        <f t="shared" si="41"/>
        <v>14.5236</v>
      </c>
      <c r="U677" s="96">
        <f t="shared" si="42"/>
        <v>242</v>
      </c>
      <c r="V677" s="93">
        <v>3.98</v>
      </c>
      <c r="W677" s="97">
        <f t="shared" si="43"/>
        <v>245.98</v>
      </c>
    </row>
    <row r="678" spans="1:23" x14ac:dyDescent="0.25">
      <c r="A678" s="61" t="s">
        <v>771</v>
      </c>
      <c r="B678" s="91">
        <v>42208</v>
      </c>
      <c r="C678" s="92" t="s">
        <v>1939</v>
      </c>
      <c r="D678" s="92" t="s">
        <v>1370</v>
      </c>
      <c r="E678" s="92" t="s">
        <v>1198</v>
      </c>
      <c r="F678" s="92" t="s">
        <v>1235</v>
      </c>
      <c r="G678" s="92" t="s">
        <v>1203</v>
      </c>
      <c r="H678" s="92" t="s">
        <v>1236</v>
      </c>
      <c r="I678" s="92" t="s">
        <v>1248</v>
      </c>
      <c r="J678" s="92" t="s">
        <v>1391</v>
      </c>
      <c r="K678" s="92" t="s">
        <v>1239</v>
      </c>
      <c r="L678" s="92" t="s">
        <v>1260</v>
      </c>
      <c r="M678" s="92" t="s">
        <v>1241</v>
      </c>
      <c r="N678" s="91">
        <v>42215</v>
      </c>
      <c r="O678" s="93">
        <v>32.020000000000003</v>
      </c>
      <c r="P678" s="93">
        <v>152.47999999999999</v>
      </c>
      <c r="Q678" s="94">
        <v>14</v>
      </c>
      <c r="R678" s="93">
        <f t="shared" si="40"/>
        <v>2134.7199999999998</v>
      </c>
      <c r="S678" s="95">
        <v>0.03</v>
      </c>
      <c r="T678" s="96">
        <f t="shared" si="41"/>
        <v>64.041599999999988</v>
      </c>
      <c r="U678" s="96">
        <f t="shared" si="42"/>
        <v>2134.6899999999996</v>
      </c>
      <c r="V678" s="93">
        <v>4</v>
      </c>
      <c r="W678" s="97">
        <f t="shared" si="43"/>
        <v>2138.6899999999996</v>
      </c>
    </row>
    <row r="679" spans="1:23" x14ac:dyDescent="0.25">
      <c r="A679" s="61" t="s">
        <v>772</v>
      </c>
      <c r="B679" s="91">
        <v>42208</v>
      </c>
      <c r="C679" s="92" t="s">
        <v>1940</v>
      </c>
      <c r="D679" s="92" t="s">
        <v>1347</v>
      </c>
      <c r="E679" s="92" t="s">
        <v>1198</v>
      </c>
      <c r="F679" s="92" t="s">
        <v>1235</v>
      </c>
      <c r="G679" s="92" t="s">
        <v>1200</v>
      </c>
      <c r="H679" s="92" t="s">
        <v>1236</v>
      </c>
      <c r="I679" s="92" t="s">
        <v>1256</v>
      </c>
      <c r="J679" s="92" t="s">
        <v>1249</v>
      </c>
      <c r="K679" s="92" t="s">
        <v>1243</v>
      </c>
      <c r="L679" s="92" t="s">
        <v>1244</v>
      </c>
      <c r="M679" s="92" t="s">
        <v>1250</v>
      </c>
      <c r="N679" s="91">
        <v>42209</v>
      </c>
      <c r="O679" s="93">
        <v>3.32</v>
      </c>
      <c r="P679" s="93">
        <v>5.18</v>
      </c>
      <c r="Q679" s="94">
        <v>1</v>
      </c>
      <c r="R679" s="93">
        <f t="shared" si="40"/>
        <v>5.18</v>
      </c>
      <c r="S679" s="95">
        <v>0</v>
      </c>
      <c r="T679" s="96">
        <f t="shared" si="41"/>
        <v>0</v>
      </c>
      <c r="U679" s="96">
        <f t="shared" si="42"/>
        <v>5.18</v>
      </c>
      <c r="V679" s="93">
        <v>2.04</v>
      </c>
      <c r="W679" s="97">
        <f t="shared" si="43"/>
        <v>7.22</v>
      </c>
    </row>
    <row r="680" spans="1:23" x14ac:dyDescent="0.25">
      <c r="A680" s="61" t="s">
        <v>773</v>
      </c>
      <c r="B680" s="91">
        <v>42208</v>
      </c>
      <c r="C680" s="92" t="s">
        <v>1538</v>
      </c>
      <c r="D680" s="92" t="s">
        <v>1461</v>
      </c>
      <c r="E680" s="92" t="s">
        <v>1199</v>
      </c>
      <c r="F680" s="92" t="s">
        <v>1254</v>
      </c>
      <c r="G680" s="92" t="s">
        <v>1202</v>
      </c>
      <c r="H680" s="92" t="s">
        <v>1255</v>
      </c>
      <c r="I680" s="92" t="s">
        <v>1264</v>
      </c>
      <c r="J680" s="92" t="s">
        <v>1324</v>
      </c>
      <c r="K680" s="92" t="s">
        <v>1243</v>
      </c>
      <c r="L680" s="92" t="s">
        <v>1260</v>
      </c>
      <c r="M680" s="92" t="s">
        <v>1241</v>
      </c>
      <c r="N680" s="91">
        <v>42209</v>
      </c>
      <c r="O680" s="93">
        <v>1.18</v>
      </c>
      <c r="P680" s="93">
        <v>1.88</v>
      </c>
      <c r="Q680" s="94">
        <v>8</v>
      </c>
      <c r="R680" s="93">
        <f t="shared" si="40"/>
        <v>15.04</v>
      </c>
      <c r="S680" s="95">
        <v>0.05</v>
      </c>
      <c r="T680" s="96">
        <f t="shared" si="41"/>
        <v>0.752</v>
      </c>
      <c r="U680" s="96">
        <f t="shared" si="42"/>
        <v>14.989999999999998</v>
      </c>
      <c r="V680" s="93">
        <v>1.49</v>
      </c>
      <c r="W680" s="97">
        <f t="shared" si="43"/>
        <v>16.479999999999997</v>
      </c>
    </row>
    <row r="681" spans="1:23" x14ac:dyDescent="0.25">
      <c r="A681" s="61" t="s">
        <v>774</v>
      </c>
      <c r="B681" s="91">
        <v>42209</v>
      </c>
      <c r="C681" s="92" t="s">
        <v>1941</v>
      </c>
      <c r="D681" s="92" t="s">
        <v>1430</v>
      </c>
      <c r="E681" s="92" t="s">
        <v>1199</v>
      </c>
      <c r="F681" s="92" t="s">
        <v>1254</v>
      </c>
      <c r="G681" s="92" t="s">
        <v>1203</v>
      </c>
      <c r="H681" s="92" t="s">
        <v>1255</v>
      </c>
      <c r="I681" s="92" t="s">
        <v>1317</v>
      </c>
      <c r="J681" s="92" t="s">
        <v>1417</v>
      </c>
      <c r="K681" s="92" t="s">
        <v>1243</v>
      </c>
      <c r="L681" s="92" t="s">
        <v>1260</v>
      </c>
      <c r="M681" s="92" t="s">
        <v>1241</v>
      </c>
      <c r="N681" s="91">
        <v>42211</v>
      </c>
      <c r="O681" s="93">
        <v>1.19</v>
      </c>
      <c r="P681" s="93">
        <v>1.98</v>
      </c>
      <c r="Q681" s="94">
        <v>21</v>
      </c>
      <c r="R681" s="93">
        <f t="shared" si="40"/>
        <v>41.58</v>
      </c>
      <c r="S681" s="95">
        <v>0.01</v>
      </c>
      <c r="T681" s="96">
        <f t="shared" si="41"/>
        <v>0.4158</v>
      </c>
      <c r="U681" s="96">
        <f t="shared" si="42"/>
        <v>41.57</v>
      </c>
      <c r="V681" s="93">
        <v>4.7699999999999996</v>
      </c>
      <c r="W681" s="97">
        <f t="shared" si="43"/>
        <v>46.34</v>
      </c>
    </row>
    <row r="682" spans="1:23" x14ac:dyDescent="0.25">
      <c r="A682" s="61" t="s">
        <v>775</v>
      </c>
      <c r="B682" s="91">
        <v>42209</v>
      </c>
      <c r="C682" s="92" t="s">
        <v>1765</v>
      </c>
      <c r="D682" s="92" t="s">
        <v>1562</v>
      </c>
      <c r="E682" s="92" t="s">
        <v>1198</v>
      </c>
      <c r="F682" s="92" t="s">
        <v>1235</v>
      </c>
      <c r="G682" s="92" t="s">
        <v>1200</v>
      </c>
      <c r="H682" s="92" t="s">
        <v>1304</v>
      </c>
      <c r="I682" s="92" t="s">
        <v>1317</v>
      </c>
      <c r="J682" s="92" t="s">
        <v>1378</v>
      </c>
      <c r="K682" s="92" t="s">
        <v>1243</v>
      </c>
      <c r="L682" s="92" t="s">
        <v>1244</v>
      </c>
      <c r="M682" s="92" t="s">
        <v>1241</v>
      </c>
      <c r="N682" s="91">
        <v>42211</v>
      </c>
      <c r="O682" s="93">
        <v>1.76</v>
      </c>
      <c r="P682" s="93">
        <v>2.94</v>
      </c>
      <c r="Q682" s="94">
        <v>35</v>
      </c>
      <c r="R682" s="93">
        <f t="shared" si="40"/>
        <v>102.89999999999999</v>
      </c>
      <c r="S682" s="95">
        <v>0.09</v>
      </c>
      <c r="T682" s="96">
        <f t="shared" si="41"/>
        <v>9.2609999999999992</v>
      </c>
      <c r="U682" s="96">
        <f t="shared" si="42"/>
        <v>102.80999999999999</v>
      </c>
      <c r="V682" s="93">
        <v>0.81</v>
      </c>
      <c r="W682" s="97">
        <f t="shared" si="43"/>
        <v>103.61999999999999</v>
      </c>
    </row>
    <row r="683" spans="1:23" x14ac:dyDescent="0.25">
      <c r="A683" s="61" t="s">
        <v>776</v>
      </c>
      <c r="B683" s="91">
        <v>42210</v>
      </c>
      <c r="C683" s="92" t="s">
        <v>1904</v>
      </c>
      <c r="D683" s="92" t="s">
        <v>1316</v>
      </c>
      <c r="E683" s="92" t="s">
        <v>1199</v>
      </c>
      <c r="F683" s="92" t="s">
        <v>1254</v>
      </c>
      <c r="G683" s="92" t="s">
        <v>1203</v>
      </c>
      <c r="H683" s="92" t="s">
        <v>1274</v>
      </c>
      <c r="I683" s="92" t="s">
        <v>1264</v>
      </c>
      <c r="J683" s="92" t="s">
        <v>1554</v>
      </c>
      <c r="K683" s="92" t="s">
        <v>1243</v>
      </c>
      <c r="L683" s="92" t="s">
        <v>1260</v>
      </c>
      <c r="M683" s="92" t="s">
        <v>1241</v>
      </c>
      <c r="N683" s="91">
        <v>42213</v>
      </c>
      <c r="O683" s="93">
        <v>1.98</v>
      </c>
      <c r="P683" s="93">
        <v>3.15</v>
      </c>
      <c r="Q683" s="94">
        <v>17</v>
      </c>
      <c r="R683" s="93">
        <f t="shared" si="40"/>
        <v>53.55</v>
      </c>
      <c r="S683" s="95">
        <v>0.05</v>
      </c>
      <c r="T683" s="96">
        <f t="shared" si="41"/>
        <v>2.6775000000000002</v>
      </c>
      <c r="U683" s="96">
        <f t="shared" si="42"/>
        <v>53.5</v>
      </c>
      <c r="V683" s="93">
        <v>0.49</v>
      </c>
      <c r="W683" s="97">
        <f t="shared" si="43"/>
        <v>53.99</v>
      </c>
    </row>
    <row r="684" spans="1:23" x14ac:dyDescent="0.25">
      <c r="A684" s="61" t="s">
        <v>777</v>
      </c>
      <c r="B684" s="91">
        <v>42211</v>
      </c>
      <c r="C684" s="92" t="s">
        <v>1473</v>
      </c>
      <c r="D684" s="92" t="s">
        <v>1323</v>
      </c>
      <c r="E684" s="92" t="s">
        <v>1198</v>
      </c>
      <c r="F684" s="92" t="s">
        <v>1235</v>
      </c>
      <c r="G684" s="92" t="s">
        <v>1202</v>
      </c>
      <c r="H684" s="92" t="s">
        <v>1263</v>
      </c>
      <c r="I684" s="92" t="s">
        <v>1237</v>
      </c>
      <c r="J684" s="92" t="s">
        <v>1405</v>
      </c>
      <c r="K684" s="92" t="s">
        <v>1243</v>
      </c>
      <c r="L684" s="92" t="s">
        <v>1260</v>
      </c>
      <c r="M684" s="92" t="s">
        <v>1250</v>
      </c>
      <c r="N684" s="91">
        <v>42212</v>
      </c>
      <c r="O684" s="93">
        <v>4.59</v>
      </c>
      <c r="P684" s="93">
        <v>7.28</v>
      </c>
      <c r="Q684" s="94">
        <v>20</v>
      </c>
      <c r="R684" s="93">
        <f t="shared" si="40"/>
        <v>145.6</v>
      </c>
      <c r="S684" s="95">
        <v>0.1</v>
      </c>
      <c r="T684" s="96">
        <f t="shared" si="41"/>
        <v>14.56</v>
      </c>
      <c r="U684" s="96">
        <f t="shared" si="42"/>
        <v>145.5</v>
      </c>
      <c r="V684" s="93">
        <v>11.15</v>
      </c>
      <c r="W684" s="97">
        <f t="shared" si="43"/>
        <v>156.65</v>
      </c>
    </row>
    <row r="685" spans="1:23" x14ac:dyDescent="0.25">
      <c r="A685" s="61" t="s">
        <v>778</v>
      </c>
      <c r="B685" s="91">
        <v>42211</v>
      </c>
      <c r="C685" s="92" t="s">
        <v>1814</v>
      </c>
      <c r="D685" s="92" t="s">
        <v>1815</v>
      </c>
      <c r="E685" s="92" t="s">
        <v>1198</v>
      </c>
      <c r="F685" s="92" t="s">
        <v>1235</v>
      </c>
      <c r="G685" s="92" t="s">
        <v>1200</v>
      </c>
      <c r="H685" s="92" t="s">
        <v>1304</v>
      </c>
      <c r="I685" s="92" t="s">
        <v>1317</v>
      </c>
      <c r="J685" s="92" t="s">
        <v>1305</v>
      </c>
      <c r="K685" s="92" t="s">
        <v>1243</v>
      </c>
      <c r="L685" s="92" t="s">
        <v>1260</v>
      </c>
      <c r="M685" s="92" t="s">
        <v>1241</v>
      </c>
      <c r="N685" s="91">
        <v>42211</v>
      </c>
      <c r="O685" s="93">
        <v>4.53</v>
      </c>
      <c r="P685" s="93">
        <v>7.3</v>
      </c>
      <c r="Q685" s="94">
        <v>12</v>
      </c>
      <c r="R685" s="93">
        <f t="shared" si="40"/>
        <v>87.6</v>
      </c>
      <c r="S685" s="95">
        <v>0.03</v>
      </c>
      <c r="T685" s="96">
        <f t="shared" si="41"/>
        <v>2.6279999999999997</v>
      </c>
      <c r="U685" s="96">
        <f t="shared" si="42"/>
        <v>87.57</v>
      </c>
      <c r="V685" s="93">
        <v>7.72</v>
      </c>
      <c r="W685" s="97">
        <f t="shared" si="43"/>
        <v>95.289999999999992</v>
      </c>
    </row>
    <row r="686" spans="1:23" x14ac:dyDescent="0.25">
      <c r="A686" s="61" t="s">
        <v>779</v>
      </c>
      <c r="B686" s="91">
        <v>42214</v>
      </c>
      <c r="C686" s="92" t="s">
        <v>1942</v>
      </c>
      <c r="D686" s="92" t="s">
        <v>1253</v>
      </c>
      <c r="E686" s="92" t="s">
        <v>1199</v>
      </c>
      <c r="F686" s="92" t="s">
        <v>1254</v>
      </c>
      <c r="G686" s="92" t="s">
        <v>1200</v>
      </c>
      <c r="H686" s="92" t="s">
        <v>1255</v>
      </c>
      <c r="I686" s="92" t="s">
        <v>1317</v>
      </c>
      <c r="J686" s="92" t="s">
        <v>1396</v>
      </c>
      <c r="K686" s="92" t="s">
        <v>1243</v>
      </c>
      <c r="L686" s="92" t="s">
        <v>1244</v>
      </c>
      <c r="M686" s="92" t="s">
        <v>1241</v>
      </c>
      <c r="N686" s="91">
        <v>42216</v>
      </c>
      <c r="O686" s="93">
        <v>1.53</v>
      </c>
      <c r="P686" s="93">
        <v>2.78</v>
      </c>
      <c r="Q686" s="94">
        <v>38</v>
      </c>
      <c r="R686" s="93">
        <f t="shared" si="40"/>
        <v>105.63999999999999</v>
      </c>
      <c r="S686" s="95">
        <v>0.1</v>
      </c>
      <c r="T686" s="96">
        <f t="shared" si="41"/>
        <v>10.564</v>
      </c>
      <c r="U686" s="96">
        <f t="shared" si="42"/>
        <v>105.53999999999999</v>
      </c>
      <c r="V686" s="93">
        <v>1.34</v>
      </c>
      <c r="W686" s="97">
        <f t="shared" si="43"/>
        <v>106.88</v>
      </c>
    </row>
    <row r="687" spans="1:23" x14ac:dyDescent="0.25">
      <c r="A687" s="61" t="s">
        <v>780</v>
      </c>
      <c r="B687" s="91">
        <v>42214</v>
      </c>
      <c r="C687" s="92" t="s">
        <v>1943</v>
      </c>
      <c r="D687" s="92" t="s">
        <v>1365</v>
      </c>
      <c r="E687" s="92" t="s">
        <v>1198</v>
      </c>
      <c r="F687" s="92" t="s">
        <v>1235</v>
      </c>
      <c r="G687" s="92" t="s">
        <v>1203</v>
      </c>
      <c r="H687" s="92" t="s">
        <v>1263</v>
      </c>
      <c r="I687" s="92" t="s">
        <v>1256</v>
      </c>
      <c r="J687" s="92" t="s">
        <v>1426</v>
      </c>
      <c r="K687" s="92" t="s">
        <v>1243</v>
      </c>
      <c r="L687" s="92" t="s">
        <v>1260</v>
      </c>
      <c r="M687" s="92" t="s">
        <v>1241</v>
      </c>
      <c r="N687" s="91">
        <v>42215</v>
      </c>
      <c r="O687" s="93">
        <v>54.29</v>
      </c>
      <c r="P687" s="93">
        <v>90.48</v>
      </c>
      <c r="Q687" s="94">
        <v>15</v>
      </c>
      <c r="R687" s="93">
        <f t="shared" si="40"/>
        <v>1357.2</v>
      </c>
      <c r="S687" s="95">
        <v>0.01</v>
      </c>
      <c r="T687" s="96">
        <f t="shared" si="41"/>
        <v>13.572000000000001</v>
      </c>
      <c r="U687" s="96">
        <f t="shared" si="42"/>
        <v>1357.19</v>
      </c>
      <c r="V687" s="93">
        <v>19.989999999999998</v>
      </c>
      <c r="W687" s="97">
        <f t="shared" si="43"/>
        <v>1377.18</v>
      </c>
    </row>
    <row r="688" spans="1:23" x14ac:dyDescent="0.25">
      <c r="A688" s="61" t="s">
        <v>781</v>
      </c>
      <c r="B688" s="91">
        <v>42215</v>
      </c>
      <c r="C688" s="92" t="s">
        <v>1944</v>
      </c>
      <c r="D688" s="92" t="s">
        <v>1454</v>
      </c>
      <c r="E688" s="92" t="s">
        <v>1198</v>
      </c>
      <c r="F688" s="92" t="s">
        <v>1235</v>
      </c>
      <c r="G688" s="92" t="s">
        <v>1203</v>
      </c>
      <c r="H688" s="92" t="s">
        <v>1304</v>
      </c>
      <c r="I688" s="92" t="s">
        <v>1317</v>
      </c>
      <c r="J688" s="92" t="s">
        <v>1373</v>
      </c>
      <c r="K688" s="92" t="s">
        <v>1243</v>
      </c>
      <c r="L688" s="92" t="s">
        <v>1260</v>
      </c>
      <c r="M688" s="92" t="s">
        <v>1250</v>
      </c>
      <c r="N688" s="91">
        <v>42216</v>
      </c>
      <c r="O688" s="93">
        <v>2.29</v>
      </c>
      <c r="P688" s="93">
        <v>3.69</v>
      </c>
      <c r="Q688" s="94">
        <v>48</v>
      </c>
      <c r="R688" s="93">
        <f t="shared" si="40"/>
        <v>177.12</v>
      </c>
      <c r="S688" s="95">
        <v>0.1</v>
      </c>
      <c r="T688" s="96">
        <f t="shared" si="41"/>
        <v>17.712</v>
      </c>
      <c r="U688" s="96">
        <f t="shared" si="42"/>
        <v>177.02</v>
      </c>
      <c r="V688" s="93">
        <v>0.5</v>
      </c>
      <c r="W688" s="97">
        <f t="shared" si="43"/>
        <v>177.52</v>
      </c>
    </row>
    <row r="689" spans="1:23" x14ac:dyDescent="0.25">
      <c r="A689" s="61" t="s">
        <v>782</v>
      </c>
      <c r="B689" s="91">
        <v>42215</v>
      </c>
      <c r="C689" s="92" t="s">
        <v>1706</v>
      </c>
      <c r="D689" s="92" t="s">
        <v>1491</v>
      </c>
      <c r="E689" s="92" t="s">
        <v>1198</v>
      </c>
      <c r="F689" s="92" t="s">
        <v>1235</v>
      </c>
      <c r="G689" s="92" t="s">
        <v>1203</v>
      </c>
      <c r="H689" s="92" t="s">
        <v>1313</v>
      </c>
      <c r="I689" s="92" t="s">
        <v>1237</v>
      </c>
      <c r="J689" s="92" t="s">
        <v>1400</v>
      </c>
      <c r="K689" s="92" t="s">
        <v>1239</v>
      </c>
      <c r="L689" s="92" t="s">
        <v>1260</v>
      </c>
      <c r="M689" s="92" t="s">
        <v>1250</v>
      </c>
      <c r="N689" s="91">
        <v>42216</v>
      </c>
      <c r="O689" s="93">
        <v>14.7</v>
      </c>
      <c r="P689" s="93">
        <v>29.99</v>
      </c>
      <c r="Q689" s="94">
        <v>27</v>
      </c>
      <c r="R689" s="93">
        <f t="shared" si="40"/>
        <v>809.7299999999999</v>
      </c>
      <c r="S689" s="95">
        <v>0.05</v>
      </c>
      <c r="T689" s="96">
        <f t="shared" si="41"/>
        <v>40.486499999999999</v>
      </c>
      <c r="U689" s="96">
        <f t="shared" si="42"/>
        <v>809.68</v>
      </c>
      <c r="V689" s="93">
        <v>5.5</v>
      </c>
      <c r="W689" s="97">
        <f t="shared" si="43"/>
        <v>815.18</v>
      </c>
    </row>
    <row r="690" spans="1:23" x14ac:dyDescent="0.25">
      <c r="A690" s="61" t="s">
        <v>783</v>
      </c>
      <c r="B690" s="91">
        <v>42217</v>
      </c>
      <c r="C690" s="92" t="s">
        <v>1568</v>
      </c>
      <c r="D690" s="92" t="s">
        <v>1494</v>
      </c>
      <c r="E690" s="92" t="s">
        <v>1198</v>
      </c>
      <c r="F690" s="92" t="s">
        <v>1235</v>
      </c>
      <c r="G690" s="92" t="s">
        <v>1203</v>
      </c>
      <c r="H690" s="92" t="s">
        <v>1236</v>
      </c>
      <c r="I690" s="92" t="s">
        <v>1264</v>
      </c>
      <c r="J690" s="92" t="s">
        <v>1353</v>
      </c>
      <c r="K690" s="92" t="s">
        <v>1239</v>
      </c>
      <c r="L690" s="92" t="s">
        <v>1260</v>
      </c>
      <c r="M690" s="92" t="s">
        <v>1241</v>
      </c>
      <c r="N690" s="91">
        <v>42219</v>
      </c>
      <c r="O690" s="93">
        <v>42.11</v>
      </c>
      <c r="P690" s="93">
        <v>80.98</v>
      </c>
      <c r="Q690" s="94">
        <v>22</v>
      </c>
      <c r="R690" s="93">
        <f t="shared" si="40"/>
        <v>1781.5600000000002</v>
      </c>
      <c r="S690" s="95">
        <v>0.1</v>
      </c>
      <c r="T690" s="96">
        <f t="shared" si="41"/>
        <v>178.15600000000003</v>
      </c>
      <c r="U690" s="96">
        <f t="shared" si="42"/>
        <v>1781.4600000000003</v>
      </c>
      <c r="V690" s="93">
        <v>7.18</v>
      </c>
      <c r="W690" s="97">
        <f t="shared" si="43"/>
        <v>1788.6400000000003</v>
      </c>
    </row>
    <row r="691" spans="1:23" x14ac:dyDescent="0.25">
      <c r="A691" s="61" t="s">
        <v>784</v>
      </c>
      <c r="B691" s="91">
        <v>42218</v>
      </c>
      <c r="C691" s="92" t="s">
        <v>1945</v>
      </c>
      <c r="D691" s="92" t="s">
        <v>1946</v>
      </c>
      <c r="E691" s="92" t="s">
        <v>1198</v>
      </c>
      <c r="F691" s="92" t="s">
        <v>1235</v>
      </c>
      <c r="G691" s="92" t="s">
        <v>1203</v>
      </c>
      <c r="H691" s="92" t="s">
        <v>1404</v>
      </c>
      <c r="I691" s="92" t="s">
        <v>1256</v>
      </c>
      <c r="J691" s="92" t="s">
        <v>1318</v>
      </c>
      <c r="K691" s="92" t="s">
        <v>1239</v>
      </c>
      <c r="L691" s="92" t="s">
        <v>1296</v>
      </c>
      <c r="M691" s="92" t="s">
        <v>1241</v>
      </c>
      <c r="N691" s="91">
        <v>42220</v>
      </c>
      <c r="O691" s="93">
        <v>216</v>
      </c>
      <c r="P691" s="93">
        <v>449.99</v>
      </c>
      <c r="Q691" s="94">
        <v>29</v>
      </c>
      <c r="R691" s="93">
        <f t="shared" si="40"/>
        <v>13049.710000000001</v>
      </c>
      <c r="S691" s="95">
        <v>0</v>
      </c>
      <c r="T691" s="96">
        <f t="shared" si="41"/>
        <v>0</v>
      </c>
      <c r="U691" s="96">
        <f t="shared" si="42"/>
        <v>13049.710000000001</v>
      </c>
      <c r="V691" s="93">
        <v>24.49</v>
      </c>
      <c r="W691" s="97">
        <f t="shared" si="43"/>
        <v>13074.2</v>
      </c>
    </row>
    <row r="692" spans="1:23" x14ac:dyDescent="0.25">
      <c r="A692" s="61" t="s">
        <v>785</v>
      </c>
      <c r="B692" s="91">
        <v>42218</v>
      </c>
      <c r="C692" s="92" t="s">
        <v>1947</v>
      </c>
      <c r="D692" s="92" t="s">
        <v>1316</v>
      </c>
      <c r="E692" s="92" t="s">
        <v>1199</v>
      </c>
      <c r="F692" s="92" t="s">
        <v>1254</v>
      </c>
      <c r="G692" s="92" t="s">
        <v>1202</v>
      </c>
      <c r="H692" s="92" t="s">
        <v>1255</v>
      </c>
      <c r="I692" s="92" t="s">
        <v>1256</v>
      </c>
      <c r="J692" s="92" t="s">
        <v>1517</v>
      </c>
      <c r="K692" s="92" t="s">
        <v>1243</v>
      </c>
      <c r="L692" s="92" t="s">
        <v>1260</v>
      </c>
      <c r="M692" s="92" t="s">
        <v>1241</v>
      </c>
      <c r="N692" s="91">
        <v>42220</v>
      </c>
      <c r="O692" s="93">
        <v>12.39</v>
      </c>
      <c r="P692" s="93">
        <v>19.98</v>
      </c>
      <c r="Q692" s="94">
        <v>44</v>
      </c>
      <c r="R692" s="93">
        <f t="shared" si="40"/>
        <v>879.12</v>
      </c>
      <c r="S692" s="95">
        <v>7.0000000000000007E-2</v>
      </c>
      <c r="T692" s="96">
        <f t="shared" si="41"/>
        <v>61.538400000000003</v>
      </c>
      <c r="U692" s="96">
        <f t="shared" si="42"/>
        <v>879.05</v>
      </c>
      <c r="V692" s="93">
        <v>5.77</v>
      </c>
      <c r="W692" s="97">
        <f t="shared" si="43"/>
        <v>884.81999999999994</v>
      </c>
    </row>
    <row r="693" spans="1:23" x14ac:dyDescent="0.25">
      <c r="A693" s="61" t="s">
        <v>786</v>
      </c>
      <c r="B693" s="91">
        <v>42219</v>
      </c>
      <c r="C693" s="92" t="s">
        <v>1855</v>
      </c>
      <c r="D693" s="92" t="s">
        <v>1598</v>
      </c>
      <c r="E693" s="92" t="s">
        <v>1198</v>
      </c>
      <c r="F693" s="92" t="s">
        <v>1235</v>
      </c>
      <c r="G693" s="92" t="s">
        <v>1200</v>
      </c>
      <c r="H693" s="92" t="s">
        <v>1471</v>
      </c>
      <c r="I693" s="92" t="s">
        <v>1248</v>
      </c>
      <c r="J693" s="92" t="s">
        <v>1547</v>
      </c>
      <c r="K693" s="92" t="s">
        <v>1243</v>
      </c>
      <c r="L693" s="92" t="s">
        <v>1260</v>
      </c>
      <c r="M693" s="92" t="s">
        <v>1241</v>
      </c>
      <c r="N693" s="91">
        <v>42224</v>
      </c>
      <c r="O693" s="93">
        <v>1.33</v>
      </c>
      <c r="P693" s="93">
        <v>2.08</v>
      </c>
      <c r="Q693" s="94">
        <v>20</v>
      </c>
      <c r="R693" s="93">
        <f t="shared" si="40"/>
        <v>41.6</v>
      </c>
      <c r="S693" s="95">
        <v>0.1</v>
      </c>
      <c r="T693" s="96">
        <f t="shared" si="41"/>
        <v>4.16</v>
      </c>
      <c r="U693" s="96">
        <f t="shared" si="42"/>
        <v>41.5</v>
      </c>
      <c r="V693" s="93">
        <v>1.49</v>
      </c>
      <c r="W693" s="97">
        <f t="shared" si="43"/>
        <v>42.99</v>
      </c>
    </row>
    <row r="694" spans="1:23" x14ac:dyDescent="0.25">
      <c r="A694" s="61" t="s">
        <v>787</v>
      </c>
      <c r="B694" s="91">
        <v>42223</v>
      </c>
      <c r="C694" s="92" t="s">
        <v>1892</v>
      </c>
      <c r="D694" s="92" t="s">
        <v>1674</v>
      </c>
      <c r="E694" s="92" t="s">
        <v>1198</v>
      </c>
      <c r="F694" s="92" t="s">
        <v>1235</v>
      </c>
      <c r="G694" s="92" t="s">
        <v>1200</v>
      </c>
      <c r="H694" s="92" t="s">
        <v>1409</v>
      </c>
      <c r="I694" s="92" t="s">
        <v>1264</v>
      </c>
      <c r="J694" s="92" t="s">
        <v>1297</v>
      </c>
      <c r="K694" s="92" t="s">
        <v>1243</v>
      </c>
      <c r="L694" s="92" t="s">
        <v>1244</v>
      </c>
      <c r="M694" s="92" t="s">
        <v>1241</v>
      </c>
      <c r="N694" s="91">
        <v>42224</v>
      </c>
      <c r="O694" s="93">
        <v>2.59</v>
      </c>
      <c r="P694" s="93">
        <v>3.98</v>
      </c>
      <c r="Q694" s="94">
        <v>16</v>
      </c>
      <c r="R694" s="93">
        <f t="shared" si="40"/>
        <v>63.68</v>
      </c>
      <c r="S694" s="95">
        <v>0.09</v>
      </c>
      <c r="T694" s="96">
        <f t="shared" si="41"/>
        <v>5.7311999999999994</v>
      </c>
      <c r="U694" s="96">
        <f t="shared" si="42"/>
        <v>63.589999999999996</v>
      </c>
      <c r="V694" s="93">
        <v>2.97</v>
      </c>
      <c r="W694" s="97">
        <f t="shared" si="43"/>
        <v>66.56</v>
      </c>
    </row>
    <row r="695" spans="1:23" x14ac:dyDescent="0.25">
      <c r="A695" s="61" t="s">
        <v>788</v>
      </c>
      <c r="B695" s="91">
        <v>42224</v>
      </c>
      <c r="C695" s="92" t="s">
        <v>1665</v>
      </c>
      <c r="D695" s="92" t="s">
        <v>1581</v>
      </c>
      <c r="E695" s="92" t="s">
        <v>1199</v>
      </c>
      <c r="F695" s="92" t="s">
        <v>1254</v>
      </c>
      <c r="G695" s="92" t="s">
        <v>1200</v>
      </c>
      <c r="H695" s="92" t="s">
        <v>1274</v>
      </c>
      <c r="I695" s="92" t="s">
        <v>1317</v>
      </c>
      <c r="J695" s="92" t="s">
        <v>1282</v>
      </c>
      <c r="K695" s="92" t="s">
        <v>1243</v>
      </c>
      <c r="L695" s="92" t="s">
        <v>1260</v>
      </c>
      <c r="M695" s="92" t="s">
        <v>1250</v>
      </c>
      <c r="N695" s="91">
        <v>42225</v>
      </c>
      <c r="O695" s="93">
        <v>5.33</v>
      </c>
      <c r="P695" s="93">
        <v>8.6</v>
      </c>
      <c r="Q695" s="94">
        <v>15</v>
      </c>
      <c r="R695" s="93">
        <f t="shared" si="40"/>
        <v>129</v>
      </c>
      <c r="S695" s="95">
        <v>0.04</v>
      </c>
      <c r="T695" s="96">
        <f t="shared" si="41"/>
        <v>5.16</v>
      </c>
      <c r="U695" s="96">
        <f t="shared" si="42"/>
        <v>128.96</v>
      </c>
      <c r="V695" s="93">
        <v>6.19</v>
      </c>
      <c r="W695" s="97">
        <f t="shared" si="43"/>
        <v>135.15</v>
      </c>
    </row>
    <row r="696" spans="1:23" x14ac:dyDescent="0.25">
      <c r="A696" s="61" t="s">
        <v>789</v>
      </c>
      <c r="B696" s="91">
        <v>42227</v>
      </c>
      <c r="C696" s="92" t="s">
        <v>1780</v>
      </c>
      <c r="D696" s="92" t="s">
        <v>1262</v>
      </c>
      <c r="E696" s="92" t="s">
        <v>1198</v>
      </c>
      <c r="F696" s="92" t="s">
        <v>1235</v>
      </c>
      <c r="G696" s="92" t="s">
        <v>1202</v>
      </c>
      <c r="H696" s="92" t="s">
        <v>1263</v>
      </c>
      <c r="I696" s="92" t="s">
        <v>1317</v>
      </c>
      <c r="J696" s="92" t="s">
        <v>1295</v>
      </c>
      <c r="K696" s="92" t="s">
        <v>1239</v>
      </c>
      <c r="L696" s="92" t="s">
        <v>1296</v>
      </c>
      <c r="M696" s="92" t="s">
        <v>1241</v>
      </c>
      <c r="N696" s="91">
        <v>42228</v>
      </c>
      <c r="O696" s="93">
        <v>377.99</v>
      </c>
      <c r="P696" s="93">
        <v>599.99</v>
      </c>
      <c r="Q696" s="94">
        <v>46</v>
      </c>
      <c r="R696" s="93">
        <f t="shared" si="40"/>
        <v>27599.54</v>
      </c>
      <c r="S696" s="95">
        <v>7.0000000000000007E-2</v>
      </c>
      <c r="T696" s="96">
        <f t="shared" si="41"/>
        <v>1931.9678000000004</v>
      </c>
      <c r="U696" s="96">
        <f t="shared" si="42"/>
        <v>27599.47</v>
      </c>
      <c r="V696" s="93">
        <v>24.49</v>
      </c>
      <c r="W696" s="97">
        <f t="shared" si="43"/>
        <v>27623.960000000003</v>
      </c>
    </row>
    <row r="697" spans="1:23" x14ac:dyDescent="0.25">
      <c r="A697" s="61" t="s">
        <v>790</v>
      </c>
      <c r="B697" s="91">
        <v>42227</v>
      </c>
      <c r="C697" s="92" t="s">
        <v>1852</v>
      </c>
      <c r="D697" s="92" t="s">
        <v>1361</v>
      </c>
      <c r="E697" s="92" t="s">
        <v>1198</v>
      </c>
      <c r="F697" s="92" t="s">
        <v>1235</v>
      </c>
      <c r="G697" s="92" t="s">
        <v>1201</v>
      </c>
      <c r="H697" s="92" t="s">
        <v>1286</v>
      </c>
      <c r="I697" s="92" t="s">
        <v>1317</v>
      </c>
      <c r="J697" s="92" t="s">
        <v>1378</v>
      </c>
      <c r="K697" s="92" t="s">
        <v>1243</v>
      </c>
      <c r="L697" s="92" t="s">
        <v>1244</v>
      </c>
      <c r="M697" s="92" t="s">
        <v>1241</v>
      </c>
      <c r="N697" s="91">
        <v>42230</v>
      </c>
      <c r="O697" s="93">
        <v>1.76</v>
      </c>
      <c r="P697" s="93">
        <v>2.94</v>
      </c>
      <c r="Q697" s="94">
        <v>39</v>
      </c>
      <c r="R697" s="93">
        <f t="shared" si="40"/>
        <v>114.66</v>
      </c>
      <c r="S697" s="95">
        <v>0.04</v>
      </c>
      <c r="T697" s="96">
        <f t="shared" si="41"/>
        <v>4.5864000000000003</v>
      </c>
      <c r="U697" s="96">
        <f t="shared" si="42"/>
        <v>114.61999999999999</v>
      </c>
      <c r="V697" s="93">
        <v>0.81</v>
      </c>
      <c r="W697" s="97">
        <f t="shared" si="43"/>
        <v>115.42999999999999</v>
      </c>
    </row>
    <row r="698" spans="1:23" x14ac:dyDescent="0.25">
      <c r="A698" s="61" t="s">
        <v>791</v>
      </c>
      <c r="B698" s="91">
        <v>42227</v>
      </c>
      <c r="C698" s="92" t="s">
        <v>1948</v>
      </c>
      <c r="D698" s="92" t="s">
        <v>1458</v>
      </c>
      <c r="E698" s="92" t="s">
        <v>1198</v>
      </c>
      <c r="F698" s="92" t="s">
        <v>1235</v>
      </c>
      <c r="G698" s="92" t="s">
        <v>1202</v>
      </c>
      <c r="H698" s="92" t="s">
        <v>1404</v>
      </c>
      <c r="I698" s="92" t="s">
        <v>1317</v>
      </c>
      <c r="J698" s="92" t="s">
        <v>1475</v>
      </c>
      <c r="K698" s="92" t="s">
        <v>1239</v>
      </c>
      <c r="L698" s="92" t="s">
        <v>1260</v>
      </c>
      <c r="M698" s="92" t="s">
        <v>1250</v>
      </c>
      <c r="N698" s="91">
        <v>42228</v>
      </c>
      <c r="O698" s="93">
        <v>10.07</v>
      </c>
      <c r="P698" s="93">
        <v>15.98</v>
      </c>
      <c r="Q698" s="94">
        <v>7</v>
      </c>
      <c r="R698" s="93">
        <f t="shared" si="40"/>
        <v>111.86</v>
      </c>
      <c r="S698" s="95">
        <v>0.04</v>
      </c>
      <c r="T698" s="96">
        <f t="shared" si="41"/>
        <v>4.4744000000000002</v>
      </c>
      <c r="U698" s="96">
        <f t="shared" si="42"/>
        <v>111.82</v>
      </c>
      <c r="V698" s="93">
        <v>4</v>
      </c>
      <c r="W698" s="97">
        <f t="shared" si="43"/>
        <v>115.82</v>
      </c>
    </row>
    <row r="699" spans="1:23" x14ac:dyDescent="0.25">
      <c r="A699" s="61" t="s">
        <v>792</v>
      </c>
      <c r="B699" s="91">
        <v>42228</v>
      </c>
      <c r="C699" s="92" t="s">
        <v>1485</v>
      </c>
      <c r="D699" s="92" t="s">
        <v>1486</v>
      </c>
      <c r="E699" s="92" t="s">
        <v>1198</v>
      </c>
      <c r="F699" s="92" t="s">
        <v>1235</v>
      </c>
      <c r="G699" s="92" t="s">
        <v>1200</v>
      </c>
      <c r="H699" s="92" t="s">
        <v>1291</v>
      </c>
      <c r="I699" s="92" t="s">
        <v>1256</v>
      </c>
      <c r="J699" s="92" t="s">
        <v>1567</v>
      </c>
      <c r="K699" s="92" t="s">
        <v>1239</v>
      </c>
      <c r="L699" s="92" t="s">
        <v>1260</v>
      </c>
      <c r="M699" s="92" t="s">
        <v>1241</v>
      </c>
      <c r="N699" s="91">
        <v>42231</v>
      </c>
      <c r="O699" s="93">
        <v>6.51</v>
      </c>
      <c r="P699" s="93">
        <v>30.98</v>
      </c>
      <c r="Q699" s="94">
        <v>8</v>
      </c>
      <c r="R699" s="93">
        <f t="shared" si="40"/>
        <v>247.84</v>
      </c>
      <c r="S699" s="95">
        <v>0.06</v>
      </c>
      <c r="T699" s="96">
        <f t="shared" si="41"/>
        <v>14.8704</v>
      </c>
      <c r="U699" s="96">
        <f t="shared" si="42"/>
        <v>247.78</v>
      </c>
      <c r="V699" s="93">
        <v>6.5</v>
      </c>
      <c r="W699" s="97">
        <f t="shared" si="43"/>
        <v>254.28</v>
      </c>
    </row>
    <row r="700" spans="1:23" x14ac:dyDescent="0.25">
      <c r="A700" s="61" t="s">
        <v>793</v>
      </c>
      <c r="B700" s="91">
        <v>42230</v>
      </c>
      <c r="C700" s="92" t="s">
        <v>1949</v>
      </c>
      <c r="D700" s="92" t="s">
        <v>1430</v>
      </c>
      <c r="E700" s="92" t="s">
        <v>1199</v>
      </c>
      <c r="F700" s="92" t="s">
        <v>1254</v>
      </c>
      <c r="G700" s="92" t="s">
        <v>1200</v>
      </c>
      <c r="H700" s="92" t="s">
        <v>1255</v>
      </c>
      <c r="I700" s="92" t="s">
        <v>1237</v>
      </c>
      <c r="J700" s="92" t="s">
        <v>1499</v>
      </c>
      <c r="K700" s="92" t="s">
        <v>1243</v>
      </c>
      <c r="L700" s="92" t="s">
        <v>1244</v>
      </c>
      <c r="M700" s="92" t="s">
        <v>1241</v>
      </c>
      <c r="N700" s="91">
        <v>42232</v>
      </c>
      <c r="O700" s="93">
        <v>3.75</v>
      </c>
      <c r="P700" s="93">
        <v>7.08</v>
      </c>
      <c r="Q700" s="94">
        <v>48</v>
      </c>
      <c r="R700" s="93">
        <f t="shared" si="40"/>
        <v>339.84000000000003</v>
      </c>
      <c r="S700" s="95">
        <v>0.03</v>
      </c>
      <c r="T700" s="96">
        <f t="shared" si="41"/>
        <v>10.1952</v>
      </c>
      <c r="U700" s="96">
        <f t="shared" si="42"/>
        <v>339.81000000000006</v>
      </c>
      <c r="V700" s="93">
        <v>2.35</v>
      </c>
      <c r="W700" s="97">
        <f t="shared" si="43"/>
        <v>342.16000000000008</v>
      </c>
    </row>
    <row r="701" spans="1:23" x14ac:dyDescent="0.25">
      <c r="A701" s="61" t="s">
        <v>794</v>
      </c>
      <c r="B701" s="91">
        <v>42231</v>
      </c>
      <c r="C701" s="92" t="s">
        <v>1535</v>
      </c>
      <c r="D701" s="92" t="s">
        <v>1532</v>
      </c>
      <c r="E701" s="92" t="s">
        <v>1198</v>
      </c>
      <c r="F701" s="92" t="s">
        <v>1235</v>
      </c>
      <c r="G701" s="92" t="s">
        <v>1202</v>
      </c>
      <c r="H701" s="92" t="s">
        <v>1263</v>
      </c>
      <c r="I701" s="92" t="s">
        <v>1317</v>
      </c>
      <c r="J701" s="92" t="s">
        <v>1590</v>
      </c>
      <c r="K701" s="92" t="s">
        <v>1243</v>
      </c>
      <c r="L701" s="92" t="s">
        <v>1260</v>
      </c>
      <c r="M701" s="92" t="s">
        <v>1250</v>
      </c>
      <c r="N701" s="91">
        <v>42233</v>
      </c>
      <c r="O701" s="93">
        <v>3.5</v>
      </c>
      <c r="P701" s="93">
        <v>5.74</v>
      </c>
      <c r="Q701" s="94">
        <v>32</v>
      </c>
      <c r="R701" s="93">
        <f t="shared" si="40"/>
        <v>183.68</v>
      </c>
      <c r="S701" s="95">
        <v>0.08</v>
      </c>
      <c r="T701" s="96">
        <f t="shared" si="41"/>
        <v>14.694400000000002</v>
      </c>
      <c r="U701" s="96">
        <f t="shared" si="42"/>
        <v>183.6</v>
      </c>
      <c r="V701" s="93">
        <v>5.01</v>
      </c>
      <c r="W701" s="97">
        <f t="shared" si="43"/>
        <v>188.60999999999999</v>
      </c>
    </row>
    <row r="702" spans="1:23" x14ac:dyDescent="0.25">
      <c r="A702" s="61" t="s">
        <v>795</v>
      </c>
      <c r="B702" s="91">
        <v>42237</v>
      </c>
      <c r="C702" s="92" t="s">
        <v>1945</v>
      </c>
      <c r="D702" s="92" t="s">
        <v>1946</v>
      </c>
      <c r="E702" s="92" t="s">
        <v>1198</v>
      </c>
      <c r="F702" s="92" t="s">
        <v>1235</v>
      </c>
      <c r="G702" s="92" t="s">
        <v>1203</v>
      </c>
      <c r="H702" s="92" t="s">
        <v>1404</v>
      </c>
      <c r="I702" s="92" t="s">
        <v>1256</v>
      </c>
      <c r="J702" s="92" t="s">
        <v>1593</v>
      </c>
      <c r="K702" s="92" t="s">
        <v>1243</v>
      </c>
      <c r="L702" s="92" t="s">
        <v>1260</v>
      </c>
      <c r="M702" s="92" t="s">
        <v>1241</v>
      </c>
      <c r="N702" s="91">
        <v>42239</v>
      </c>
      <c r="O702" s="93">
        <v>2.1800000000000002</v>
      </c>
      <c r="P702" s="93">
        <v>3.52</v>
      </c>
      <c r="Q702" s="94">
        <v>38</v>
      </c>
      <c r="R702" s="93">
        <f t="shared" si="40"/>
        <v>133.76</v>
      </c>
      <c r="S702" s="95">
        <v>0.09</v>
      </c>
      <c r="T702" s="96">
        <f t="shared" si="41"/>
        <v>12.038399999999999</v>
      </c>
      <c r="U702" s="96">
        <f t="shared" si="42"/>
        <v>133.66999999999999</v>
      </c>
      <c r="V702" s="93">
        <v>6.83</v>
      </c>
      <c r="W702" s="97">
        <f t="shared" si="43"/>
        <v>140.5</v>
      </c>
    </row>
    <row r="703" spans="1:23" x14ac:dyDescent="0.25">
      <c r="A703" s="61" t="s">
        <v>796</v>
      </c>
      <c r="B703" s="91">
        <v>42238</v>
      </c>
      <c r="C703" s="92" t="s">
        <v>1936</v>
      </c>
      <c r="D703" s="92" t="s">
        <v>1691</v>
      </c>
      <c r="E703" s="92" t="s">
        <v>1198</v>
      </c>
      <c r="F703" s="92" t="s">
        <v>1235</v>
      </c>
      <c r="G703" s="92" t="s">
        <v>1203</v>
      </c>
      <c r="H703" s="92" t="s">
        <v>1471</v>
      </c>
      <c r="I703" s="92" t="s">
        <v>1248</v>
      </c>
      <c r="J703" s="92" t="s">
        <v>1475</v>
      </c>
      <c r="K703" s="92" t="s">
        <v>1239</v>
      </c>
      <c r="L703" s="92" t="s">
        <v>1260</v>
      </c>
      <c r="M703" s="92" t="s">
        <v>1241</v>
      </c>
      <c r="N703" s="91">
        <v>42243</v>
      </c>
      <c r="O703" s="93">
        <v>10.07</v>
      </c>
      <c r="P703" s="93">
        <v>15.98</v>
      </c>
      <c r="Q703" s="94">
        <v>6</v>
      </c>
      <c r="R703" s="93">
        <f t="shared" si="40"/>
        <v>95.88</v>
      </c>
      <c r="S703" s="95">
        <v>0.1</v>
      </c>
      <c r="T703" s="96">
        <f t="shared" si="41"/>
        <v>9.5879999999999992</v>
      </c>
      <c r="U703" s="96">
        <f t="shared" si="42"/>
        <v>95.78</v>
      </c>
      <c r="V703" s="93">
        <v>4</v>
      </c>
      <c r="W703" s="97">
        <f t="shared" si="43"/>
        <v>99.78</v>
      </c>
    </row>
    <row r="704" spans="1:23" x14ac:dyDescent="0.25">
      <c r="A704" s="61" t="s">
        <v>797</v>
      </c>
      <c r="B704" s="91">
        <v>42239</v>
      </c>
      <c r="C704" s="92" t="s">
        <v>1950</v>
      </c>
      <c r="D704" s="92" t="s">
        <v>1770</v>
      </c>
      <c r="E704" s="92" t="s">
        <v>1199</v>
      </c>
      <c r="F704" s="92" t="s">
        <v>1254</v>
      </c>
      <c r="G704" s="92" t="s">
        <v>1201</v>
      </c>
      <c r="H704" s="92" t="s">
        <v>1274</v>
      </c>
      <c r="I704" s="92" t="s">
        <v>1248</v>
      </c>
      <c r="J704" s="92" t="s">
        <v>1897</v>
      </c>
      <c r="K704" s="92" t="s">
        <v>1243</v>
      </c>
      <c r="L704" s="92" t="s">
        <v>1260</v>
      </c>
      <c r="M704" s="92" t="s">
        <v>1250</v>
      </c>
      <c r="N704" s="91">
        <v>42246</v>
      </c>
      <c r="O704" s="93">
        <v>3.53</v>
      </c>
      <c r="P704" s="93">
        <v>8.6199999999999992</v>
      </c>
      <c r="Q704" s="94">
        <v>8</v>
      </c>
      <c r="R704" s="93">
        <f t="shared" si="40"/>
        <v>68.959999999999994</v>
      </c>
      <c r="S704" s="95">
        <v>0</v>
      </c>
      <c r="T704" s="96">
        <f t="shared" si="41"/>
        <v>0</v>
      </c>
      <c r="U704" s="96">
        <f t="shared" si="42"/>
        <v>68.959999999999994</v>
      </c>
      <c r="V704" s="93">
        <v>4.5</v>
      </c>
      <c r="W704" s="97">
        <f t="shared" si="43"/>
        <v>73.459999999999994</v>
      </c>
    </row>
    <row r="705" spans="1:23" x14ac:dyDescent="0.25">
      <c r="A705" s="61" t="s">
        <v>798</v>
      </c>
      <c r="B705" s="91">
        <v>42240</v>
      </c>
      <c r="C705" s="92" t="s">
        <v>1375</v>
      </c>
      <c r="D705" s="92" t="s">
        <v>1376</v>
      </c>
      <c r="E705" s="92" t="s">
        <v>1199</v>
      </c>
      <c r="F705" s="92" t="s">
        <v>1254</v>
      </c>
      <c r="G705" s="92" t="s">
        <v>1201</v>
      </c>
      <c r="H705" s="92" t="s">
        <v>1255</v>
      </c>
      <c r="I705" s="92" t="s">
        <v>1317</v>
      </c>
      <c r="J705" s="92" t="s">
        <v>1745</v>
      </c>
      <c r="K705" s="92" t="s">
        <v>1243</v>
      </c>
      <c r="L705" s="92" t="s">
        <v>1260</v>
      </c>
      <c r="M705" s="92" t="s">
        <v>1250</v>
      </c>
      <c r="N705" s="91">
        <v>42241</v>
      </c>
      <c r="O705" s="93">
        <v>84.22</v>
      </c>
      <c r="P705" s="93">
        <v>210.55</v>
      </c>
      <c r="Q705" s="94">
        <v>2</v>
      </c>
      <c r="R705" s="93">
        <f t="shared" si="40"/>
        <v>421.1</v>
      </c>
      <c r="S705" s="95">
        <v>0.05</v>
      </c>
      <c r="T705" s="96">
        <f t="shared" si="41"/>
        <v>21.055000000000003</v>
      </c>
      <c r="U705" s="96">
        <f t="shared" si="42"/>
        <v>421.05</v>
      </c>
      <c r="V705" s="93">
        <v>9.99</v>
      </c>
      <c r="W705" s="97">
        <f t="shared" si="43"/>
        <v>431.04</v>
      </c>
    </row>
    <row r="706" spans="1:23" x14ac:dyDescent="0.25">
      <c r="A706" s="61" t="s">
        <v>799</v>
      </c>
      <c r="B706" s="91">
        <v>42240</v>
      </c>
      <c r="C706" s="92" t="s">
        <v>1951</v>
      </c>
      <c r="D706" s="92" t="s">
        <v>1380</v>
      </c>
      <c r="E706" s="92" t="s">
        <v>1198</v>
      </c>
      <c r="F706" s="92" t="s">
        <v>1235</v>
      </c>
      <c r="G706" s="92" t="s">
        <v>1200</v>
      </c>
      <c r="H706" s="92" t="s">
        <v>1291</v>
      </c>
      <c r="I706" s="92" t="s">
        <v>1248</v>
      </c>
      <c r="J706" s="92" t="s">
        <v>1759</v>
      </c>
      <c r="K706" s="92" t="s">
        <v>1243</v>
      </c>
      <c r="L706" s="92" t="s">
        <v>1244</v>
      </c>
      <c r="M706" s="92" t="s">
        <v>1241</v>
      </c>
      <c r="N706" s="91">
        <v>42244</v>
      </c>
      <c r="O706" s="93">
        <v>1.0900000000000001</v>
      </c>
      <c r="P706" s="93">
        <v>1.82</v>
      </c>
      <c r="Q706" s="94">
        <v>42</v>
      </c>
      <c r="R706" s="93">
        <f t="shared" si="40"/>
        <v>76.44</v>
      </c>
      <c r="S706" s="95">
        <v>0.08</v>
      </c>
      <c r="T706" s="96">
        <f t="shared" si="41"/>
        <v>6.1151999999999997</v>
      </c>
      <c r="U706" s="96">
        <f t="shared" si="42"/>
        <v>76.36</v>
      </c>
      <c r="V706" s="93">
        <v>1</v>
      </c>
      <c r="W706" s="97">
        <f t="shared" si="43"/>
        <v>77.36</v>
      </c>
    </row>
    <row r="707" spans="1:23" x14ac:dyDescent="0.25">
      <c r="A707" s="61" t="s">
        <v>800</v>
      </c>
      <c r="B707" s="91">
        <v>42240</v>
      </c>
      <c r="C707" s="92" t="s">
        <v>1641</v>
      </c>
      <c r="D707" s="92" t="s">
        <v>1636</v>
      </c>
      <c r="E707" s="92" t="s">
        <v>1198</v>
      </c>
      <c r="F707" s="92" t="s">
        <v>1235</v>
      </c>
      <c r="G707" s="92" t="s">
        <v>1201</v>
      </c>
      <c r="H707" s="92" t="s">
        <v>1409</v>
      </c>
      <c r="I707" s="92" t="s">
        <v>1264</v>
      </c>
      <c r="J707" s="92" t="s">
        <v>1645</v>
      </c>
      <c r="K707" s="92" t="s">
        <v>1243</v>
      </c>
      <c r="L707" s="92" t="s">
        <v>1240</v>
      </c>
      <c r="M707" s="92" t="s">
        <v>1241</v>
      </c>
      <c r="N707" s="91">
        <v>42242</v>
      </c>
      <c r="O707" s="93">
        <v>16.8</v>
      </c>
      <c r="P707" s="93">
        <v>40.97</v>
      </c>
      <c r="Q707" s="94">
        <v>28</v>
      </c>
      <c r="R707" s="93">
        <f t="shared" si="40"/>
        <v>1147.1599999999999</v>
      </c>
      <c r="S707" s="95">
        <v>0.04</v>
      </c>
      <c r="T707" s="96">
        <f t="shared" si="41"/>
        <v>45.886399999999995</v>
      </c>
      <c r="U707" s="96">
        <f t="shared" si="42"/>
        <v>1147.1199999999999</v>
      </c>
      <c r="V707" s="93">
        <v>8.99</v>
      </c>
      <c r="W707" s="97">
        <f t="shared" si="43"/>
        <v>1156.1099999999999</v>
      </c>
    </row>
    <row r="708" spans="1:23" x14ac:dyDescent="0.25">
      <c r="A708" s="61" t="s">
        <v>801</v>
      </c>
      <c r="B708" s="91">
        <v>42242</v>
      </c>
      <c r="C708" s="92" t="s">
        <v>1472</v>
      </c>
      <c r="D708" s="92" t="s">
        <v>1355</v>
      </c>
      <c r="E708" s="92" t="s">
        <v>1199</v>
      </c>
      <c r="F708" s="92" t="s">
        <v>1254</v>
      </c>
      <c r="G708" s="92" t="s">
        <v>1200</v>
      </c>
      <c r="H708" s="92" t="s">
        <v>1274</v>
      </c>
      <c r="I708" s="92" t="s">
        <v>1237</v>
      </c>
      <c r="J708" s="92" t="s">
        <v>1720</v>
      </c>
      <c r="K708" s="92" t="s">
        <v>1243</v>
      </c>
      <c r="L708" s="92" t="s">
        <v>1260</v>
      </c>
      <c r="M708" s="92" t="s">
        <v>1241</v>
      </c>
      <c r="N708" s="91">
        <v>42244</v>
      </c>
      <c r="O708" s="93">
        <v>52.04</v>
      </c>
      <c r="P708" s="93">
        <v>83.93</v>
      </c>
      <c r="Q708" s="94">
        <v>3</v>
      </c>
      <c r="R708" s="93">
        <f t="shared" si="40"/>
        <v>251.79000000000002</v>
      </c>
      <c r="S708" s="95">
        <v>0</v>
      </c>
      <c r="T708" s="96">
        <f t="shared" si="41"/>
        <v>0</v>
      </c>
      <c r="U708" s="96">
        <f t="shared" si="42"/>
        <v>251.79000000000002</v>
      </c>
      <c r="V708" s="93">
        <v>19.989999999999998</v>
      </c>
      <c r="W708" s="97">
        <f t="shared" si="43"/>
        <v>271.78000000000003</v>
      </c>
    </row>
    <row r="709" spans="1:23" x14ac:dyDescent="0.25">
      <c r="A709" s="61" t="s">
        <v>802</v>
      </c>
      <c r="B709" s="91">
        <v>42242</v>
      </c>
      <c r="C709" s="92" t="s">
        <v>1453</v>
      </c>
      <c r="D709" s="92" t="s">
        <v>1454</v>
      </c>
      <c r="E709" s="92" t="s">
        <v>1198</v>
      </c>
      <c r="F709" s="92" t="s">
        <v>1235</v>
      </c>
      <c r="G709" s="92" t="s">
        <v>1200</v>
      </c>
      <c r="H709" s="92" t="s">
        <v>1304</v>
      </c>
      <c r="I709" s="92" t="s">
        <v>1256</v>
      </c>
      <c r="J709" s="92" t="s">
        <v>1373</v>
      </c>
      <c r="K709" s="92" t="s">
        <v>1243</v>
      </c>
      <c r="L709" s="92" t="s">
        <v>1260</v>
      </c>
      <c r="M709" s="92" t="s">
        <v>1241</v>
      </c>
      <c r="N709" s="91">
        <v>42243</v>
      </c>
      <c r="O709" s="93">
        <v>2.29</v>
      </c>
      <c r="P709" s="93">
        <v>3.69</v>
      </c>
      <c r="Q709" s="94">
        <v>39</v>
      </c>
      <c r="R709" s="93">
        <f t="shared" ref="R709:R772" si="44">P709*Q709</f>
        <v>143.91</v>
      </c>
      <c r="S709" s="95">
        <v>0.03</v>
      </c>
      <c r="T709" s="96">
        <f t="shared" ref="T709:T772" si="45">R709*S709</f>
        <v>4.3172999999999995</v>
      </c>
      <c r="U709" s="96">
        <f t="shared" ref="U709:U772" si="46">R709-S709</f>
        <v>143.88</v>
      </c>
      <c r="V709" s="93">
        <v>0.5</v>
      </c>
      <c r="W709" s="97">
        <f t="shared" ref="W709:W772" si="47">U709+V709</f>
        <v>144.38</v>
      </c>
    </row>
    <row r="710" spans="1:23" x14ac:dyDescent="0.25">
      <c r="A710" s="61" t="s">
        <v>803</v>
      </c>
      <c r="B710" s="91">
        <v>42243</v>
      </c>
      <c r="C710" s="92" t="s">
        <v>1944</v>
      </c>
      <c r="D710" s="92" t="s">
        <v>1454</v>
      </c>
      <c r="E710" s="92" t="s">
        <v>1198</v>
      </c>
      <c r="F710" s="92" t="s">
        <v>1235</v>
      </c>
      <c r="G710" s="92" t="s">
        <v>1200</v>
      </c>
      <c r="H710" s="92" t="s">
        <v>1304</v>
      </c>
      <c r="I710" s="92" t="s">
        <v>1317</v>
      </c>
      <c r="J710" s="92" t="s">
        <v>1331</v>
      </c>
      <c r="K710" s="92" t="s">
        <v>1243</v>
      </c>
      <c r="L710" s="92" t="s">
        <v>1240</v>
      </c>
      <c r="M710" s="92" t="s">
        <v>1250</v>
      </c>
      <c r="N710" s="91">
        <v>42244</v>
      </c>
      <c r="O710" s="93">
        <v>5.19</v>
      </c>
      <c r="P710" s="93">
        <v>12.98</v>
      </c>
      <c r="Q710" s="94">
        <v>42</v>
      </c>
      <c r="R710" s="93">
        <f t="shared" si="44"/>
        <v>545.16</v>
      </c>
      <c r="S710" s="95">
        <v>0.05</v>
      </c>
      <c r="T710" s="96">
        <f t="shared" si="45"/>
        <v>27.257999999999999</v>
      </c>
      <c r="U710" s="96">
        <f t="shared" si="46"/>
        <v>545.11</v>
      </c>
      <c r="V710" s="93">
        <v>3.14</v>
      </c>
      <c r="W710" s="97">
        <f t="shared" si="47"/>
        <v>548.25</v>
      </c>
    </row>
    <row r="711" spans="1:23" x14ac:dyDescent="0.25">
      <c r="A711" s="61" t="s">
        <v>804</v>
      </c>
      <c r="B711" s="91">
        <v>42244</v>
      </c>
      <c r="C711" s="92" t="s">
        <v>1661</v>
      </c>
      <c r="D711" s="92" t="s">
        <v>1458</v>
      </c>
      <c r="E711" s="92" t="s">
        <v>1198</v>
      </c>
      <c r="F711" s="92" t="s">
        <v>1235</v>
      </c>
      <c r="G711" s="92" t="s">
        <v>1201</v>
      </c>
      <c r="H711" s="92" t="s">
        <v>1404</v>
      </c>
      <c r="I711" s="92" t="s">
        <v>1264</v>
      </c>
      <c r="J711" s="92" t="s">
        <v>1575</v>
      </c>
      <c r="K711" s="92" t="s">
        <v>1243</v>
      </c>
      <c r="L711" s="92" t="s">
        <v>1260</v>
      </c>
      <c r="M711" s="92" t="s">
        <v>1241</v>
      </c>
      <c r="N711" s="91">
        <v>42246</v>
      </c>
      <c r="O711" s="93">
        <v>1.94</v>
      </c>
      <c r="P711" s="93">
        <v>3.08</v>
      </c>
      <c r="Q711" s="94">
        <v>6</v>
      </c>
      <c r="R711" s="93">
        <f t="shared" si="44"/>
        <v>18.48</v>
      </c>
      <c r="S711" s="95">
        <v>0.02</v>
      </c>
      <c r="T711" s="96">
        <f t="shared" si="45"/>
        <v>0.36960000000000004</v>
      </c>
      <c r="U711" s="96">
        <f t="shared" si="46"/>
        <v>18.46</v>
      </c>
      <c r="V711" s="93">
        <v>0.99</v>
      </c>
      <c r="W711" s="97">
        <f t="shared" si="47"/>
        <v>19.45</v>
      </c>
    </row>
    <row r="712" spans="1:23" x14ac:dyDescent="0.25">
      <c r="A712" s="61" t="s">
        <v>805</v>
      </c>
      <c r="B712" s="91">
        <v>42246</v>
      </c>
      <c r="C712" s="92" t="s">
        <v>1952</v>
      </c>
      <c r="D712" s="92" t="s">
        <v>1953</v>
      </c>
      <c r="E712" s="92" t="s">
        <v>1198</v>
      </c>
      <c r="F712" s="92" t="s">
        <v>1235</v>
      </c>
      <c r="G712" s="92" t="s">
        <v>1200</v>
      </c>
      <c r="H712" s="92" t="s">
        <v>1409</v>
      </c>
      <c r="I712" s="92" t="s">
        <v>1237</v>
      </c>
      <c r="J712" s="92" t="s">
        <v>1631</v>
      </c>
      <c r="K712" s="92" t="s">
        <v>1239</v>
      </c>
      <c r="L712" s="92" t="s">
        <v>1260</v>
      </c>
      <c r="M712" s="92" t="s">
        <v>1241</v>
      </c>
      <c r="N712" s="91">
        <v>42248</v>
      </c>
      <c r="O712" s="93">
        <v>41.28</v>
      </c>
      <c r="P712" s="93">
        <v>95.99</v>
      </c>
      <c r="Q712" s="94">
        <v>26</v>
      </c>
      <c r="R712" s="93">
        <f t="shared" si="44"/>
        <v>2495.7399999999998</v>
      </c>
      <c r="S712" s="95">
        <v>0.02</v>
      </c>
      <c r="T712" s="96">
        <f t="shared" si="45"/>
        <v>49.9148</v>
      </c>
      <c r="U712" s="96">
        <f t="shared" si="46"/>
        <v>2495.7199999999998</v>
      </c>
      <c r="V712" s="93">
        <v>8.99</v>
      </c>
      <c r="W712" s="97">
        <f t="shared" si="47"/>
        <v>2504.7099999999996</v>
      </c>
    </row>
    <row r="713" spans="1:23" x14ac:dyDescent="0.25">
      <c r="A713" s="61" t="s">
        <v>806</v>
      </c>
      <c r="B713" s="91">
        <v>42247</v>
      </c>
      <c r="C713" s="92" t="s">
        <v>1383</v>
      </c>
      <c r="D713" s="92" t="s">
        <v>1262</v>
      </c>
      <c r="E713" s="92" t="s">
        <v>1198</v>
      </c>
      <c r="F713" s="92" t="s">
        <v>1235</v>
      </c>
      <c r="G713" s="92" t="s">
        <v>1202</v>
      </c>
      <c r="H713" s="92" t="s">
        <v>1263</v>
      </c>
      <c r="I713" s="92" t="s">
        <v>1248</v>
      </c>
      <c r="J713" s="92" t="s">
        <v>1259</v>
      </c>
      <c r="K713" s="92" t="s">
        <v>1243</v>
      </c>
      <c r="L713" s="92" t="s">
        <v>1260</v>
      </c>
      <c r="M713" s="92" t="s">
        <v>1241</v>
      </c>
      <c r="N713" s="91">
        <v>42247</v>
      </c>
      <c r="O713" s="93">
        <v>3.4</v>
      </c>
      <c r="P713" s="93">
        <v>5.4</v>
      </c>
      <c r="Q713" s="94">
        <v>14</v>
      </c>
      <c r="R713" s="93">
        <f t="shared" si="44"/>
        <v>75.600000000000009</v>
      </c>
      <c r="S713" s="95">
        <v>0.02</v>
      </c>
      <c r="T713" s="96">
        <f t="shared" si="45"/>
        <v>1.5120000000000002</v>
      </c>
      <c r="U713" s="96">
        <f t="shared" si="46"/>
        <v>75.580000000000013</v>
      </c>
      <c r="V713" s="93">
        <v>7.78</v>
      </c>
      <c r="W713" s="97">
        <f t="shared" si="47"/>
        <v>83.360000000000014</v>
      </c>
    </row>
    <row r="714" spans="1:23" x14ac:dyDescent="0.25">
      <c r="A714" s="61" t="s">
        <v>807</v>
      </c>
      <c r="B714" s="91">
        <v>42247</v>
      </c>
      <c r="C714" s="92" t="s">
        <v>1954</v>
      </c>
      <c r="D714" s="92" t="s">
        <v>1581</v>
      </c>
      <c r="E714" s="92" t="s">
        <v>1199</v>
      </c>
      <c r="F714" s="92" t="s">
        <v>1254</v>
      </c>
      <c r="G714" s="92" t="s">
        <v>1203</v>
      </c>
      <c r="H714" s="92" t="s">
        <v>1274</v>
      </c>
      <c r="I714" s="92" t="s">
        <v>1264</v>
      </c>
      <c r="J714" s="92" t="s">
        <v>1384</v>
      </c>
      <c r="K714" s="92" t="s">
        <v>1243</v>
      </c>
      <c r="L714" s="92" t="s">
        <v>1260</v>
      </c>
      <c r="M714" s="92" t="s">
        <v>1241</v>
      </c>
      <c r="N714" s="91">
        <v>42248</v>
      </c>
      <c r="O714" s="93">
        <v>4.46</v>
      </c>
      <c r="P714" s="93">
        <v>10.89</v>
      </c>
      <c r="Q714" s="94">
        <v>50</v>
      </c>
      <c r="R714" s="93">
        <f t="shared" si="44"/>
        <v>544.5</v>
      </c>
      <c r="S714" s="95">
        <v>0.09</v>
      </c>
      <c r="T714" s="96">
        <f t="shared" si="45"/>
        <v>49.004999999999995</v>
      </c>
      <c r="U714" s="96">
        <f t="shared" si="46"/>
        <v>544.41</v>
      </c>
      <c r="V714" s="93">
        <v>4.5</v>
      </c>
      <c r="W714" s="97">
        <f t="shared" si="47"/>
        <v>548.91</v>
      </c>
    </row>
    <row r="715" spans="1:23" x14ac:dyDescent="0.25">
      <c r="A715" s="61" t="s">
        <v>808</v>
      </c>
      <c r="B715" s="91">
        <v>42249</v>
      </c>
      <c r="C715" s="92" t="s">
        <v>1812</v>
      </c>
      <c r="D715" s="92" t="s">
        <v>1299</v>
      </c>
      <c r="E715" s="92" t="s">
        <v>1198</v>
      </c>
      <c r="F715" s="92" t="s">
        <v>1235</v>
      </c>
      <c r="G715" s="92" t="s">
        <v>1203</v>
      </c>
      <c r="H715" s="92" t="s">
        <v>1236</v>
      </c>
      <c r="I715" s="92" t="s">
        <v>1237</v>
      </c>
      <c r="J715" s="92" t="s">
        <v>1522</v>
      </c>
      <c r="K715" s="92" t="s">
        <v>1239</v>
      </c>
      <c r="L715" s="92" t="s">
        <v>1260</v>
      </c>
      <c r="M715" s="92" t="s">
        <v>1241</v>
      </c>
      <c r="N715" s="91">
        <v>42252</v>
      </c>
      <c r="O715" s="93">
        <v>60.59</v>
      </c>
      <c r="P715" s="93">
        <v>100.98</v>
      </c>
      <c r="Q715" s="94">
        <v>9</v>
      </c>
      <c r="R715" s="93">
        <f t="shared" si="44"/>
        <v>908.82</v>
      </c>
      <c r="S715" s="95">
        <v>0.1</v>
      </c>
      <c r="T715" s="96">
        <f t="shared" si="45"/>
        <v>90.882000000000005</v>
      </c>
      <c r="U715" s="96">
        <f t="shared" si="46"/>
        <v>908.72</v>
      </c>
      <c r="V715" s="93">
        <v>7.18</v>
      </c>
      <c r="W715" s="97">
        <f t="shared" si="47"/>
        <v>915.9</v>
      </c>
    </row>
    <row r="716" spans="1:23" x14ac:dyDescent="0.25">
      <c r="A716" s="61" t="s">
        <v>809</v>
      </c>
      <c r="B716" s="91">
        <v>42249</v>
      </c>
      <c r="C716" s="92" t="s">
        <v>1635</v>
      </c>
      <c r="D716" s="92" t="s">
        <v>1636</v>
      </c>
      <c r="E716" s="92" t="s">
        <v>1198</v>
      </c>
      <c r="F716" s="92" t="s">
        <v>1235</v>
      </c>
      <c r="G716" s="92" t="s">
        <v>1200</v>
      </c>
      <c r="H716" s="92" t="s">
        <v>1409</v>
      </c>
      <c r="I716" s="92" t="s">
        <v>1237</v>
      </c>
      <c r="J716" s="92" t="s">
        <v>1512</v>
      </c>
      <c r="K716" s="92" t="s">
        <v>1239</v>
      </c>
      <c r="L716" s="92" t="s">
        <v>1260</v>
      </c>
      <c r="M716" s="92" t="s">
        <v>1241</v>
      </c>
      <c r="N716" s="91">
        <v>42251</v>
      </c>
      <c r="O716" s="93">
        <v>156.5</v>
      </c>
      <c r="P716" s="93">
        <v>300.97000000000003</v>
      </c>
      <c r="Q716" s="94">
        <v>20</v>
      </c>
      <c r="R716" s="93">
        <f t="shared" si="44"/>
        <v>6019.4000000000005</v>
      </c>
      <c r="S716" s="95">
        <v>0.05</v>
      </c>
      <c r="T716" s="96">
        <f t="shared" si="45"/>
        <v>300.97000000000003</v>
      </c>
      <c r="U716" s="96">
        <f t="shared" si="46"/>
        <v>6019.35</v>
      </c>
      <c r="V716" s="93">
        <v>7.18</v>
      </c>
      <c r="W716" s="97">
        <f t="shared" si="47"/>
        <v>6026.5300000000007</v>
      </c>
    </row>
    <row r="717" spans="1:23" x14ac:dyDescent="0.25">
      <c r="A717" s="61" t="s">
        <v>810</v>
      </c>
      <c r="B717" s="91">
        <v>42250</v>
      </c>
      <c r="C717" s="92" t="s">
        <v>1612</v>
      </c>
      <c r="D717" s="92" t="s">
        <v>1613</v>
      </c>
      <c r="E717" s="92" t="s">
        <v>1198</v>
      </c>
      <c r="F717" s="92" t="s">
        <v>1235</v>
      </c>
      <c r="G717" s="92" t="s">
        <v>1200</v>
      </c>
      <c r="H717" s="92" t="s">
        <v>1313</v>
      </c>
      <c r="I717" s="92" t="s">
        <v>1248</v>
      </c>
      <c r="J717" s="92" t="s">
        <v>1384</v>
      </c>
      <c r="K717" s="92" t="s">
        <v>1243</v>
      </c>
      <c r="L717" s="92" t="s">
        <v>1260</v>
      </c>
      <c r="M717" s="92" t="s">
        <v>1241</v>
      </c>
      <c r="N717" s="91">
        <v>42254</v>
      </c>
      <c r="O717" s="93">
        <v>4.46</v>
      </c>
      <c r="P717" s="93">
        <v>10.89</v>
      </c>
      <c r="Q717" s="94">
        <v>3</v>
      </c>
      <c r="R717" s="93">
        <f t="shared" si="44"/>
        <v>32.67</v>
      </c>
      <c r="S717" s="95">
        <v>0.08</v>
      </c>
      <c r="T717" s="96">
        <f t="shared" si="45"/>
        <v>2.6136000000000004</v>
      </c>
      <c r="U717" s="96">
        <f t="shared" si="46"/>
        <v>32.590000000000003</v>
      </c>
      <c r="V717" s="93">
        <v>4.5</v>
      </c>
      <c r="W717" s="97">
        <f t="shared" si="47"/>
        <v>37.090000000000003</v>
      </c>
    </row>
    <row r="718" spans="1:23" x14ac:dyDescent="0.25">
      <c r="A718" s="61" t="s">
        <v>811</v>
      </c>
      <c r="B718" s="91">
        <v>42251</v>
      </c>
      <c r="C718" s="92" t="s">
        <v>1955</v>
      </c>
      <c r="D718" s="92" t="s">
        <v>1788</v>
      </c>
      <c r="E718" s="92" t="s">
        <v>1198</v>
      </c>
      <c r="F718" s="92" t="s">
        <v>1235</v>
      </c>
      <c r="G718" s="92" t="s">
        <v>1201</v>
      </c>
      <c r="H718" s="92" t="s">
        <v>1263</v>
      </c>
      <c r="I718" s="92" t="s">
        <v>1237</v>
      </c>
      <c r="J718" s="92" t="s">
        <v>1509</v>
      </c>
      <c r="K718" s="92" t="s">
        <v>1243</v>
      </c>
      <c r="L718" s="92" t="s">
        <v>1260</v>
      </c>
      <c r="M718" s="92" t="s">
        <v>1241</v>
      </c>
      <c r="N718" s="91">
        <v>42254</v>
      </c>
      <c r="O718" s="93">
        <v>3.84</v>
      </c>
      <c r="P718" s="93">
        <v>6.3</v>
      </c>
      <c r="Q718" s="94">
        <v>40</v>
      </c>
      <c r="R718" s="93">
        <f t="shared" si="44"/>
        <v>252</v>
      </c>
      <c r="S718" s="95">
        <v>0.04</v>
      </c>
      <c r="T718" s="96">
        <f t="shared" si="45"/>
        <v>10.08</v>
      </c>
      <c r="U718" s="96">
        <f t="shared" si="46"/>
        <v>251.96</v>
      </c>
      <c r="V718" s="93">
        <v>0.5</v>
      </c>
      <c r="W718" s="97">
        <f t="shared" si="47"/>
        <v>252.46</v>
      </c>
    </row>
    <row r="719" spans="1:23" x14ac:dyDescent="0.25">
      <c r="A719" s="61" t="s">
        <v>812</v>
      </c>
      <c r="B719" s="91">
        <v>42251</v>
      </c>
      <c r="C719" s="92" t="s">
        <v>1956</v>
      </c>
      <c r="D719" s="92" t="s">
        <v>1253</v>
      </c>
      <c r="E719" s="92" t="s">
        <v>1199</v>
      </c>
      <c r="F719" s="92" t="s">
        <v>1254</v>
      </c>
      <c r="G719" s="92" t="s">
        <v>1202</v>
      </c>
      <c r="H719" s="92" t="s">
        <v>1255</v>
      </c>
      <c r="I719" s="92" t="s">
        <v>1237</v>
      </c>
      <c r="J719" s="92" t="s">
        <v>1413</v>
      </c>
      <c r="K719" s="92" t="s">
        <v>1239</v>
      </c>
      <c r="L719" s="92" t="s">
        <v>1319</v>
      </c>
      <c r="M719" s="92" t="s">
        <v>1320</v>
      </c>
      <c r="N719" s="91">
        <v>42253</v>
      </c>
      <c r="O719" s="93">
        <v>75</v>
      </c>
      <c r="P719" s="93">
        <v>120.97</v>
      </c>
      <c r="Q719" s="94">
        <v>46</v>
      </c>
      <c r="R719" s="93">
        <f t="shared" si="44"/>
        <v>5564.62</v>
      </c>
      <c r="S719" s="95">
        <v>7.0000000000000007E-2</v>
      </c>
      <c r="T719" s="96">
        <f t="shared" si="45"/>
        <v>389.52340000000004</v>
      </c>
      <c r="U719" s="96">
        <f t="shared" si="46"/>
        <v>5564.55</v>
      </c>
      <c r="V719" s="93">
        <v>26.3</v>
      </c>
      <c r="W719" s="97">
        <f t="shared" si="47"/>
        <v>5590.85</v>
      </c>
    </row>
    <row r="720" spans="1:23" x14ac:dyDescent="0.25">
      <c r="A720" s="61" t="s">
        <v>813</v>
      </c>
      <c r="B720" s="91">
        <v>42253</v>
      </c>
      <c r="C720" s="92" t="s">
        <v>1495</v>
      </c>
      <c r="D720" s="92" t="s">
        <v>1496</v>
      </c>
      <c r="E720" s="92" t="s">
        <v>1198</v>
      </c>
      <c r="F720" s="92" t="s">
        <v>1235</v>
      </c>
      <c r="G720" s="92" t="s">
        <v>1200</v>
      </c>
      <c r="H720" s="92" t="s">
        <v>1313</v>
      </c>
      <c r="I720" s="92" t="s">
        <v>1264</v>
      </c>
      <c r="J720" s="92" t="s">
        <v>1522</v>
      </c>
      <c r="K720" s="92" t="s">
        <v>1239</v>
      </c>
      <c r="L720" s="92" t="s">
        <v>1260</v>
      </c>
      <c r="M720" s="92" t="s">
        <v>1241</v>
      </c>
      <c r="N720" s="91">
        <v>42254</v>
      </c>
      <c r="O720" s="93">
        <v>60.59</v>
      </c>
      <c r="P720" s="93">
        <v>100.98</v>
      </c>
      <c r="Q720" s="94">
        <v>44</v>
      </c>
      <c r="R720" s="93">
        <f t="shared" si="44"/>
        <v>4443.12</v>
      </c>
      <c r="S720" s="95">
        <v>0.09</v>
      </c>
      <c r="T720" s="96">
        <f t="shared" si="45"/>
        <v>399.88079999999997</v>
      </c>
      <c r="U720" s="96">
        <f t="shared" si="46"/>
        <v>4443.03</v>
      </c>
      <c r="V720" s="93">
        <v>7.18</v>
      </c>
      <c r="W720" s="97">
        <f t="shared" si="47"/>
        <v>4450.21</v>
      </c>
    </row>
    <row r="721" spans="1:23" x14ac:dyDescent="0.25">
      <c r="A721" s="61" t="s">
        <v>814</v>
      </c>
      <c r="B721" s="91">
        <v>42254</v>
      </c>
      <c r="C721" s="92" t="s">
        <v>1957</v>
      </c>
      <c r="D721" s="92" t="s">
        <v>1549</v>
      </c>
      <c r="E721" s="92" t="s">
        <v>1198</v>
      </c>
      <c r="F721" s="92" t="s">
        <v>1235</v>
      </c>
      <c r="G721" s="92" t="s">
        <v>1201</v>
      </c>
      <c r="H721" s="92" t="s">
        <v>1409</v>
      </c>
      <c r="I721" s="92" t="s">
        <v>1317</v>
      </c>
      <c r="J721" s="92" t="s">
        <v>1477</v>
      </c>
      <c r="K721" s="92" t="s">
        <v>1243</v>
      </c>
      <c r="L721" s="92" t="s">
        <v>1240</v>
      </c>
      <c r="M721" s="92" t="s">
        <v>1241</v>
      </c>
      <c r="N721" s="91">
        <v>42256</v>
      </c>
      <c r="O721" s="93">
        <v>4.79</v>
      </c>
      <c r="P721" s="93">
        <v>11.97</v>
      </c>
      <c r="Q721" s="94">
        <v>48</v>
      </c>
      <c r="R721" s="93">
        <f t="shared" si="44"/>
        <v>574.56000000000006</v>
      </c>
      <c r="S721" s="95">
        <v>0.02</v>
      </c>
      <c r="T721" s="96">
        <f t="shared" si="45"/>
        <v>11.491200000000001</v>
      </c>
      <c r="U721" s="96">
        <f t="shared" si="46"/>
        <v>574.54000000000008</v>
      </c>
      <c r="V721" s="93">
        <v>5.81</v>
      </c>
      <c r="W721" s="97">
        <f t="shared" si="47"/>
        <v>580.35</v>
      </c>
    </row>
    <row r="722" spans="1:23" x14ac:dyDescent="0.25">
      <c r="A722" s="61" t="s">
        <v>815</v>
      </c>
      <c r="B722" s="91">
        <v>42255</v>
      </c>
      <c r="C722" s="92" t="s">
        <v>1531</v>
      </c>
      <c r="D722" s="92" t="s">
        <v>1532</v>
      </c>
      <c r="E722" s="92" t="s">
        <v>1198</v>
      </c>
      <c r="F722" s="92" t="s">
        <v>1235</v>
      </c>
      <c r="G722" s="92" t="s">
        <v>1200</v>
      </c>
      <c r="H722" s="92" t="s">
        <v>1263</v>
      </c>
      <c r="I722" s="92" t="s">
        <v>1317</v>
      </c>
      <c r="J722" s="92" t="s">
        <v>1249</v>
      </c>
      <c r="K722" s="92" t="s">
        <v>1243</v>
      </c>
      <c r="L722" s="92" t="s">
        <v>1244</v>
      </c>
      <c r="M722" s="92" t="s">
        <v>1241</v>
      </c>
      <c r="N722" s="91">
        <v>42257</v>
      </c>
      <c r="O722" s="93">
        <v>3.32</v>
      </c>
      <c r="P722" s="93">
        <v>5.18</v>
      </c>
      <c r="Q722" s="94">
        <v>20</v>
      </c>
      <c r="R722" s="93">
        <f t="shared" si="44"/>
        <v>103.6</v>
      </c>
      <c r="S722" s="95">
        <v>0.06</v>
      </c>
      <c r="T722" s="96">
        <f t="shared" si="45"/>
        <v>6.2159999999999993</v>
      </c>
      <c r="U722" s="96">
        <f t="shared" si="46"/>
        <v>103.53999999999999</v>
      </c>
      <c r="V722" s="93">
        <v>2.04</v>
      </c>
      <c r="W722" s="97">
        <f t="shared" si="47"/>
        <v>105.58</v>
      </c>
    </row>
    <row r="723" spans="1:23" x14ac:dyDescent="0.25">
      <c r="A723" s="61" t="s">
        <v>816</v>
      </c>
      <c r="B723" s="91">
        <v>42255</v>
      </c>
      <c r="C723" s="92" t="s">
        <v>1460</v>
      </c>
      <c r="D723" s="92" t="s">
        <v>1461</v>
      </c>
      <c r="E723" s="92" t="s">
        <v>1199</v>
      </c>
      <c r="F723" s="92" t="s">
        <v>1254</v>
      </c>
      <c r="G723" s="92" t="s">
        <v>1201</v>
      </c>
      <c r="H723" s="92" t="s">
        <v>1255</v>
      </c>
      <c r="I723" s="92" t="s">
        <v>1317</v>
      </c>
      <c r="J723" s="92" t="s">
        <v>1344</v>
      </c>
      <c r="K723" s="92" t="s">
        <v>1243</v>
      </c>
      <c r="L723" s="92" t="s">
        <v>1244</v>
      </c>
      <c r="M723" s="92" t="s">
        <v>1241</v>
      </c>
      <c r="N723" s="91">
        <v>42257</v>
      </c>
      <c r="O723" s="93">
        <v>0.24</v>
      </c>
      <c r="P723" s="93">
        <v>1.26</v>
      </c>
      <c r="Q723" s="94">
        <v>31</v>
      </c>
      <c r="R723" s="93">
        <f t="shared" si="44"/>
        <v>39.06</v>
      </c>
      <c r="S723" s="95">
        <v>0.06</v>
      </c>
      <c r="T723" s="96">
        <f t="shared" si="45"/>
        <v>2.3435999999999999</v>
      </c>
      <c r="U723" s="96">
        <f t="shared" si="46"/>
        <v>39</v>
      </c>
      <c r="V723" s="93">
        <v>0.7</v>
      </c>
      <c r="W723" s="97">
        <f t="shared" si="47"/>
        <v>39.700000000000003</v>
      </c>
    </row>
    <row r="724" spans="1:23" x14ac:dyDescent="0.25">
      <c r="A724" s="61" t="s">
        <v>817</v>
      </c>
      <c r="B724" s="91">
        <v>42257</v>
      </c>
      <c r="C724" s="92" t="s">
        <v>1768</v>
      </c>
      <c r="D724" s="92" t="s">
        <v>1744</v>
      </c>
      <c r="E724" s="92" t="s">
        <v>1198</v>
      </c>
      <c r="F724" s="92" t="s">
        <v>1235</v>
      </c>
      <c r="G724" s="92" t="s">
        <v>1200</v>
      </c>
      <c r="H724" s="92" t="s">
        <v>1471</v>
      </c>
      <c r="I724" s="92" t="s">
        <v>1264</v>
      </c>
      <c r="J724" s="92" t="s">
        <v>1515</v>
      </c>
      <c r="K724" s="92" t="s">
        <v>1243</v>
      </c>
      <c r="L724" s="92" t="s">
        <v>1260</v>
      </c>
      <c r="M724" s="92" t="s">
        <v>1250</v>
      </c>
      <c r="N724" s="91">
        <v>42258</v>
      </c>
      <c r="O724" s="93">
        <v>2.25</v>
      </c>
      <c r="P724" s="93">
        <v>3.69</v>
      </c>
      <c r="Q724" s="94">
        <v>23</v>
      </c>
      <c r="R724" s="93">
        <f t="shared" si="44"/>
        <v>84.87</v>
      </c>
      <c r="S724" s="95">
        <v>0.02</v>
      </c>
      <c r="T724" s="96">
        <f t="shared" si="45"/>
        <v>1.6974</v>
      </c>
      <c r="U724" s="96">
        <f t="shared" si="46"/>
        <v>84.850000000000009</v>
      </c>
      <c r="V724" s="93">
        <v>2.5</v>
      </c>
      <c r="W724" s="97">
        <f t="shared" si="47"/>
        <v>87.350000000000009</v>
      </c>
    </row>
    <row r="725" spans="1:23" x14ac:dyDescent="0.25">
      <c r="A725" s="61" t="s">
        <v>818</v>
      </c>
      <c r="B725" s="91">
        <v>42258</v>
      </c>
      <c r="C725" s="92" t="s">
        <v>1958</v>
      </c>
      <c r="D725" s="92" t="s">
        <v>1615</v>
      </c>
      <c r="E725" s="92" t="s">
        <v>1198</v>
      </c>
      <c r="F725" s="92" t="s">
        <v>1235</v>
      </c>
      <c r="G725" s="92" t="s">
        <v>1202</v>
      </c>
      <c r="H725" s="92" t="s">
        <v>1404</v>
      </c>
      <c r="I725" s="92" t="s">
        <v>1256</v>
      </c>
      <c r="J725" s="92" t="s">
        <v>1378</v>
      </c>
      <c r="K725" s="92" t="s">
        <v>1243</v>
      </c>
      <c r="L725" s="92" t="s">
        <v>1244</v>
      </c>
      <c r="M725" s="92" t="s">
        <v>1250</v>
      </c>
      <c r="N725" s="91">
        <v>42258</v>
      </c>
      <c r="O725" s="93">
        <v>1.76</v>
      </c>
      <c r="P725" s="93">
        <v>2.94</v>
      </c>
      <c r="Q725" s="94">
        <v>47</v>
      </c>
      <c r="R725" s="93">
        <f t="shared" si="44"/>
        <v>138.18</v>
      </c>
      <c r="S725" s="95">
        <v>0.04</v>
      </c>
      <c r="T725" s="96">
        <f t="shared" si="45"/>
        <v>5.5272000000000006</v>
      </c>
      <c r="U725" s="96">
        <f t="shared" si="46"/>
        <v>138.14000000000001</v>
      </c>
      <c r="V725" s="93">
        <v>0.81</v>
      </c>
      <c r="W725" s="97">
        <f t="shared" si="47"/>
        <v>138.95000000000002</v>
      </c>
    </row>
    <row r="726" spans="1:23" x14ac:dyDescent="0.25">
      <c r="A726" s="61" t="s">
        <v>819</v>
      </c>
      <c r="B726" s="91">
        <v>42259</v>
      </c>
      <c r="C726" s="92" t="s">
        <v>1716</v>
      </c>
      <c r="D726" s="92" t="s">
        <v>1326</v>
      </c>
      <c r="E726" s="92" t="s">
        <v>1199</v>
      </c>
      <c r="F726" s="92" t="s">
        <v>1254</v>
      </c>
      <c r="G726" s="92" t="s">
        <v>1201</v>
      </c>
      <c r="H726" s="92" t="s">
        <v>1255</v>
      </c>
      <c r="I726" s="92" t="s">
        <v>1256</v>
      </c>
      <c r="J726" s="92" t="s">
        <v>1301</v>
      </c>
      <c r="K726" s="92" t="s">
        <v>1243</v>
      </c>
      <c r="L726" s="92" t="s">
        <v>1244</v>
      </c>
      <c r="M726" s="92" t="s">
        <v>1241</v>
      </c>
      <c r="N726" s="91">
        <v>42260</v>
      </c>
      <c r="O726" s="93">
        <v>0.87</v>
      </c>
      <c r="P726" s="93">
        <v>1.81</v>
      </c>
      <c r="Q726" s="94">
        <v>6</v>
      </c>
      <c r="R726" s="93">
        <f t="shared" si="44"/>
        <v>10.86</v>
      </c>
      <c r="S726" s="95">
        <v>7.0000000000000007E-2</v>
      </c>
      <c r="T726" s="96">
        <f t="shared" si="45"/>
        <v>0.76019999999999999</v>
      </c>
      <c r="U726" s="96">
        <f t="shared" si="46"/>
        <v>10.79</v>
      </c>
      <c r="V726" s="93">
        <v>0.75</v>
      </c>
      <c r="W726" s="97">
        <f t="shared" si="47"/>
        <v>11.54</v>
      </c>
    </row>
    <row r="727" spans="1:23" x14ac:dyDescent="0.25">
      <c r="A727" s="61" t="s">
        <v>820</v>
      </c>
      <c r="B727" s="91">
        <v>42262</v>
      </c>
      <c r="C727" s="92" t="s">
        <v>1959</v>
      </c>
      <c r="D727" s="92" t="s">
        <v>1496</v>
      </c>
      <c r="E727" s="92" t="s">
        <v>1198</v>
      </c>
      <c r="F727" s="92" t="s">
        <v>1235</v>
      </c>
      <c r="G727" s="92" t="s">
        <v>1200</v>
      </c>
      <c r="H727" s="92" t="s">
        <v>1313</v>
      </c>
      <c r="I727" s="92" t="s">
        <v>1264</v>
      </c>
      <c r="J727" s="92" t="s">
        <v>1328</v>
      </c>
      <c r="K727" s="92" t="s">
        <v>1243</v>
      </c>
      <c r="L727" s="92" t="s">
        <v>1244</v>
      </c>
      <c r="M727" s="92" t="s">
        <v>1241</v>
      </c>
      <c r="N727" s="91">
        <v>42264</v>
      </c>
      <c r="O727" s="93">
        <v>0.93</v>
      </c>
      <c r="P727" s="93">
        <v>1.48</v>
      </c>
      <c r="Q727" s="94">
        <v>1</v>
      </c>
      <c r="R727" s="93">
        <f t="shared" si="44"/>
        <v>1.48</v>
      </c>
      <c r="S727" s="95">
        <v>0.01</v>
      </c>
      <c r="T727" s="96">
        <f t="shared" si="45"/>
        <v>1.4800000000000001E-2</v>
      </c>
      <c r="U727" s="96">
        <f t="shared" si="46"/>
        <v>1.47</v>
      </c>
      <c r="V727" s="93">
        <v>0.7</v>
      </c>
      <c r="W727" s="97">
        <f t="shared" si="47"/>
        <v>2.17</v>
      </c>
    </row>
    <row r="728" spans="1:23" x14ac:dyDescent="0.25">
      <c r="A728" s="61" t="s">
        <v>821</v>
      </c>
      <c r="B728" s="91">
        <v>42263</v>
      </c>
      <c r="C728" s="92" t="s">
        <v>1555</v>
      </c>
      <c r="D728" s="92" t="s">
        <v>1299</v>
      </c>
      <c r="E728" s="92" t="s">
        <v>1198</v>
      </c>
      <c r="F728" s="92" t="s">
        <v>1235</v>
      </c>
      <c r="G728" s="92" t="s">
        <v>1200</v>
      </c>
      <c r="H728" s="92" t="s">
        <v>1236</v>
      </c>
      <c r="I728" s="92" t="s">
        <v>1248</v>
      </c>
      <c r="J728" s="92" t="s">
        <v>1659</v>
      </c>
      <c r="K728" s="92" t="s">
        <v>1243</v>
      </c>
      <c r="L728" s="92" t="s">
        <v>1240</v>
      </c>
      <c r="M728" s="92" t="s">
        <v>1250</v>
      </c>
      <c r="N728" s="91">
        <v>42268</v>
      </c>
      <c r="O728" s="93">
        <v>3.51</v>
      </c>
      <c r="P728" s="93">
        <v>8.57</v>
      </c>
      <c r="Q728" s="94">
        <v>49</v>
      </c>
      <c r="R728" s="93">
        <f t="shared" si="44"/>
        <v>419.93</v>
      </c>
      <c r="S728" s="95">
        <v>0.01</v>
      </c>
      <c r="T728" s="96">
        <f t="shared" si="45"/>
        <v>4.1993</v>
      </c>
      <c r="U728" s="96">
        <f t="shared" si="46"/>
        <v>419.92</v>
      </c>
      <c r="V728" s="93">
        <v>6.14</v>
      </c>
      <c r="W728" s="97">
        <f t="shared" si="47"/>
        <v>426.06</v>
      </c>
    </row>
    <row r="729" spans="1:23" x14ac:dyDescent="0.25">
      <c r="A729" s="61" t="s">
        <v>822</v>
      </c>
      <c r="B729" s="91">
        <v>42264</v>
      </c>
      <c r="C729" s="92" t="s">
        <v>1957</v>
      </c>
      <c r="D729" s="92" t="s">
        <v>1549</v>
      </c>
      <c r="E729" s="92" t="s">
        <v>1198</v>
      </c>
      <c r="F729" s="92" t="s">
        <v>1235</v>
      </c>
      <c r="G729" s="92" t="s">
        <v>1201</v>
      </c>
      <c r="H729" s="92" t="s">
        <v>1409</v>
      </c>
      <c r="I729" s="92" t="s">
        <v>1256</v>
      </c>
      <c r="J729" s="92" t="s">
        <v>1449</v>
      </c>
      <c r="K729" s="92" t="s">
        <v>1243</v>
      </c>
      <c r="L729" s="92" t="s">
        <v>1244</v>
      </c>
      <c r="M729" s="92" t="s">
        <v>1241</v>
      </c>
      <c r="N729" s="91">
        <v>42264</v>
      </c>
      <c r="O729" s="93">
        <v>1.82</v>
      </c>
      <c r="P729" s="93">
        <v>2.98</v>
      </c>
      <c r="Q729" s="94">
        <v>3</v>
      </c>
      <c r="R729" s="93">
        <f t="shared" si="44"/>
        <v>8.94</v>
      </c>
      <c r="S729" s="95">
        <v>0.04</v>
      </c>
      <c r="T729" s="96">
        <f t="shared" si="45"/>
        <v>0.35759999999999997</v>
      </c>
      <c r="U729" s="96">
        <f t="shared" si="46"/>
        <v>8.9</v>
      </c>
      <c r="V729" s="93">
        <v>1.58</v>
      </c>
      <c r="W729" s="97">
        <f t="shared" si="47"/>
        <v>10.48</v>
      </c>
    </row>
    <row r="730" spans="1:23" x14ac:dyDescent="0.25">
      <c r="A730" s="61" t="s">
        <v>823</v>
      </c>
      <c r="B730" s="91">
        <v>42272</v>
      </c>
      <c r="C730" s="92" t="s">
        <v>1553</v>
      </c>
      <c r="D730" s="92" t="s">
        <v>1330</v>
      </c>
      <c r="E730" s="92" t="s">
        <v>1199</v>
      </c>
      <c r="F730" s="92" t="s">
        <v>1254</v>
      </c>
      <c r="G730" s="92" t="s">
        <v>1203</v>
      </c>
      <c r="H730" s="92" t="s">
        <v>1255</v>
      </c>
      <c r="I730" s="92" t="s">
        <v>1256</v>
      </c>
      <c r="J730" s="92" t="s">
        <v>1502</v>
      </c>
      <c r="K730" s="92" t="s">
        <v>1243</v>
      </c>
      <c r="L730" s="92" t="s">
        <v>1260</v>
      </c>
      <c r="M730" s="92" t="s">
        <v>1241</v>
      </c>
      <c r="N730" s="91">
        <v>42273</v>
      </c>
      <c r="O730" s="93">
        <v>13.64</v>
      </c>
      <c r="P730" s="93">
        <v>20.98</v>
      </c>
      <c r="Q730" s="94">
        <v>10</v>
      </c>
      <c r="R730" s="93">
        <f t="shared" si="44"/>
        <v>209.8</v>
      </c>
      <c r="S730" s="95">
        <v>0.06</v>
      </c>
      <c r="T730" s="96">
        <f t="shared" si="45"/>
        <v>12.588000000000001</v>
      </c>
      <c r="U730" s="96">
        <f t="shared" si="46"/>
        <v>209.74</v>
      </c>
      <c r="V730" s="93">
        <v>1.49</v>
      </c>
      <c r="W730" s="97">
        <f t="shared" si="47"/>
        <v>211.23000000000002</v>
      </c>
    </row>
    <row r="731" spans="1:23" x14ac:dyDescent="0.25">
      <c r="A731" s="61" t="s">
        <v>824</v>
      </c>
      <c r="B731" s="91">
        <v>42272</v>
      </c>
      <c r="C731" s="92" t="s">
        <v>1960</v>
      </c>
      <c r="D731" s="92" t="s">
        <v>1326</v>
      </c>
      <c r="E731" s="92" t="s">
        <v>1199</v>
      </c>
      <c r="F731" s="92" t="s">
        <v>1254</v>
      </c>
      <c r="G731" s="92" t="s">
        <v>1200</v>
      </c>
      <c r="H731" s="92" t="s">
        <v>1255</v>
      </c>
      <c r="I731" s="92" t="s">
        <v>1264</v>
      </c>
      <c r="J731" s="92" t="s">
        <v>1593</v>
      </c>
      <c r="K731" s="92" t="s">
        <v>1243</v>
      </c>
      <c r="L731" s="92" t="s">
        <v>1260</v>
      </c>
      <c r="M731" s="92" t="s">
        <v>1241</v>
      </c>
      <c r="N731" s="91">
        <v>42274</v>
      </c>
      <c r="O731" s="93">
        <v>2.1800000000000002</v>
      </c>
      <c r="P731" s="93">
        <v>3.52</v>
      </c>
      <c r="Q731" s="94">
        <v>13</v>
      </c>
      <c r="R731" s="93">
        <f t="shared" si="44"/>
        <v>45.76</v>
      </c>
      <c r="S731" s="95">
        <v>0.08</v>
      </c>
      <c r="T731" s="96">
        <f t="shared" si="45"/>
        <v>3.6608000000000001</v>
      </c>
      <c r="U731" s="96">
        <f t="shared" si="46"/>
        <v>45.68</v>
      </c>
      <c r="V731" s="93">
        <v>6.83</v>
      </c>
      <c r="W731" s="97">
        <f t="shared" si="47"/>
        <v>52.51</v>
      </c>
    </row>
    <row r="732" spans="1:23" x14ac:dyDescent="0.25">
      <c r="A732" s="61" t="s">
        <v>825</v>
      </c>
      <c r="B732" s="91">
        <v>42273</v>
      </c>
      <c r="C732" s="92" t="s">
        <v>1708</v>
      </c>
      <c r="D732" s="92" t="s">
        <v>1395</v>
      </c>
      <c r="E732" s="92" t="s">
        <v>1198</v>
      </c>
      <c r="F732" s="92" t="s">
        <v>1235</v>
      </c>
      <c r="G732" s="92" t="s">
        <v>1200</v>
      </c>
      <c r="H732" s="92" t="s">
        <v>1236</v>
      </c>
      <c r="I732" s="92" t="s">
        <v>1317</v>
      </c>
      <c r="J732" s="92" t="s">
        <v>1259</v>
      </c>
      <c r="K732" s="92" t="s">
        <v>1243</v>
      </c>
      <c r="L732" s="92" t="s">
        <v>1260</v>
      </c>
      <c r="M732" s="92" t="s">
        <v>1241</v>
      </c>
      <c r="N732" s="91">
        <v>42275</v>
      </c>
      <c r="O732" s="93">
        <v>3.4</v>
      </c>
      <c r="P732" s="93">
        <v>5.4</v>
      </c>
      <c r="Q732" s="94">
        <v>10</v>
      </c>
      <c r="R732" s="93">
        <f t="shared" si="44"/>
        <v>54</v>
      </c>
      <c r="S732" s="95">
        <v>0.04</v>
      </c>
      <c r="T732" s="96">
        <f t="shared" si="45"/>
        <v>2.16</v>
      </c>
      <c r="U732" s="96">
        <f t="shared" si="46"/>
        <v>53.96</v>
      </c>
      <c r="V732" s="93">
        <v>7.78</v>
      </c>
      <c r="W732" s="97">
        <f t="shared" si="47"/>
        <v>61.74</v>
      </c>
    </row>
    <row r="733" spans="1:23" x14ac:dyDescent="0.25">
      <c r="A733" s="61" t="s">
        <v>826</v>
      </c>
      <c r="B733" s="91">
        <v>42274</v>
      </c>
      <c r="C733" s="92" t="s">
        <v>1961</v>
      </c>
      <c r="D733" s="92" t="s">
        <v>1395</v>
      </c>
      <c r="E733" s="92" t="s">
        <v>1198</v>
      </c>
      <c r="F733" s="92" t="s">
        <v>1235</v>
      </c>
      <c r="G733" s="92" t="s">
        <v>1201</v>
      </c>
      <c r="H733" s="92" t="s">
        <v>1236</v>
      </c>
      <c r="I733" s="92" t="s">
        <v>1256</v>
      </c>
      <c r="J733" s="92" t="s">
        <v>1517</v>
      </c>
      <c r="K733" s="92" t="s">
        <v>1243</v>
      </c>
      <c r="L733" s="92" t="s">
        <v>1260</v>
      </c>
      <c r="M733" s="92" t="s">
        <v>1241</v>
      </c>
      <c r="N733" s="91">
        <v>42276</v>
      </c>
      <c r="O733" s="93">
        <v>12.39</v>
      </c>
      <c r="P733" s="93">
        <v>19.98</v>
      </c>
      <c r="Q733" s="94">
        <v>20</v>
      </c>
      <c r="R733" s="93">
        <f t="shared" si="44"/>
        <v>399.6</v>
      </c>
      <c r="S733" s="95">
        <v>0.05</v>
      </c>
      <c r="T733" s="96">
        <f t="shared" si="45"/>
        <v>19.980000000000004</v>
      </c>
      <c r="U733" s="96">
        <f t="shared" si="46"/>
        <v>399.55</v>
      </c>
      <c r="V733" s="93">
        <v>5.77</v>
      </c>
      <c r="W733" s="97">
        <f t="shared" si="47"/>
        <v>405.32</v>
      </c>
    </row>
    <row r="734" spans="1:23" x14ac:dyDescent="0.25">
      <c r="A734" s="61" t="s">
        <v>827</v>
      </c>
      <c r="B734" s="91">
        <v>42274</v>
      </c>
      <c r="C734" s="92" t="s">
        <v>1893</v>
      </c>
      <c r="D734" s="92" t="s">
        <v>1430</v>
      </c>
      <c r="E734" s="92" t="s">
        <v>1199</v>
      </c>
      <c r="F734" s="92" t="s">
        <v>1254</v>
      </c>
      <c r="G734" s="92" t="s">
        <v>1200</v>
      </c>
      <c r="H734" s="92" t="s">
        <v>1274</v>
      </c>
      <c r="I734" s="92" t="s">
        <v>1248</v>
      </c>
      <c r="J734" s="92" t="s">
        <v>1517</v>
      </c>
      <c r="K734" s="92" t="s">
        <v>1243</v>
      </c>
      <c r="L734" s="92" t="s">
        <v>1260</v>
      </c>
      <c r="M734" s="92" t="s">
        <v>1241</v>
      </c>
      <c r="N734" s="91">
        <v>42274</v>
      </c>
      <c r="O734" s="93">
        <v>12.39</v>
      </c>
      <c r="P734" s="93">
        <v>19.98</v>
      </c>
      <c r="Q734" s="94">
        <v>34</v>
      </c>
      <c r="R734" s="93">
        <f t="shared" si="44"/>
        <v>679.32</v>
      </c>
      <c r="S734" s="95">
        <v>0.06</v>
      </c>
      <c r="T734" s="96">
        <f t="shared" si="45"/>
        <v>40.7592</v>
      </c>
      <c r="U734" s="96">
        <f t="shared" si="46"/>
        <v>679.2600000000001</v>
      </c>
      <c r="V734" s="93">
        <v>5.77</v>
      </c>
      <c r="W734" s="97">
        <f t="shared" si="47"/>
        <v>685.03000000000009</v>
      </c>
    </row>
    <row r="735" spans="1:23" x14ac:dyDescent="0.25">
      <c r="A735" s="61" t="s">
        <v>828</v>
      </c>
      <c r="B735" s="91">
        <v>42275</v>
      </c>
      <c r="C735" s="92" t="s">
        <v>1962</v>
      </c>
      <c r="D735" s="92" t="s">
        <v>1347</v>
      </c>
      <c r="E735" s="92" t="s">
        <v>1198</v>
      </c>
      <c r="F735" s="92" t="s">
        <v>1235</v>
      </c>
      <c r="G735" s="92" t="s">
        <v>1203</v>
      </c>
      <c r="H735" s="92" t="s">
        <v>1236</v>
      </c>
      <c r="I735" s="92" t="s">
        <v>1256</v>
      </c>
      <c r="J735" s="92" t="s">
        <v>1499</v>
      </c>
      <c r="K735" s="92" t="s">
        <v>1243</v>
      </c>
      <c r="L735" s="92" t="s">
        <v>1244</v>
      </c>
      <c r="M735" s="92" t="s">
        <v>1241</v>
      </c>
      <c r="N735" s="91">
        <v>42277</v>
      </c>
      <c r="O735" s="93">
        <v>3.75</v>
      </c>
      <c r="P735" s="93">
        <v>7.08</v>
      </c>
      <c r="Q735" s="94">
        <v>37</v>
      </c>
      <c r="R735" s="93">
        <f t="shared" si="44"/>
        <v>261.95999999999998</v>
      </c>
      <c r="S735" s="95">
        <v>0.08</v>
      </c>
      <c r="T735" s="96">
        <f t="shared" si="45"/>
        <v>20.956799999999998</v>
      </c>
      <c r="U735" s="96">
        <f t="shared" si="46"/>
        <v>261.88</v>
      </c>
      <c r="V735" s="93">
        <v>2.35</v>
      </c>
      <c r="W735" s="97">
        <f t="shared" si="47"/>
        <v>264.23</v>
      </c>
    </row>
    <row r="736" spans="1:23" x14ac:dyDescent="0.25">
      <c r="A736" s="61" t="s">
        <v>829</v>
      </c>
      <c r="B736" s="91">
        <v>42276</v>
      </c>
      <c r="C736" s="92" t="s">
        <v>1358</v>
      </c>
      <c r="D736" s="92" t="s">
        <v>1330</v>
      </c>
      <c r="E736" s="92" t="s">
        <v>1199</v>
      </c>
      <c r="F736" s="92" t="s">
        <v>1254</v>
      </c>
      <c r="G736" s="92" t="s">
        <v>1201</v>
      </c>
      <c r="H736" s="92" t="s">
        <v>1255</v>
      </c>
      <c r="I736" s="92" t="s">
        <v>1237</v>
      </c>
      <c r="J736" s="92" t="s">
        <v>1590</v>
      </c>
      <c r="K736" s="92" t="s">
        <v>1243</v>
      </c>
      <c r="L736" s="92" t="s">
        <v>1260</v>
      </c>
      <c r="M736" s="92" t="s">
        <v>1250</v>
      </c>
      <c r="N736" s="91">
        <v>42277</v>
      </c>
      <c r="O736" s="93">
        <v>3.5</v>
      </c>
      <c r="P736" s="93">
        <v>5.74</v>
      </c>
      <c r="Q736" s="94">
        <v>26</v>
      </c>
      <c r="R736" s="93">
        <f t="shared" si="44"/>
        <v>149.24</v>
      </c>
      <c r="S736" s="95">
        <v>0.03</v>
      </c>
      <c r="T736" s="96">
        <f t="shared" si="45"/>
        <v>4.4771999999999998</v>
      </c>
      <c r="U736" s="96">
        <f t="shared" si="46"/>
        <v>149.21</v>
      </c>
      <c r="V736" s="93">
        <v>5.01</v>
      </c>
      <c r="W736" s="97">
        <f t="shared" si="47"/>
        <v>154.22</v>
      </c>
    </row>
    <row r="737" spans="1:23" x14ac:dyDescent="0.25">
      <c r="A737" s="61" t="s">
        <v>830</v>
      </c>
      <c r="B737" s="91">
        <v>42278</v>
      </c>
      <c r="C737" s="92" t="s">
        <v>1963</v>
      </c>
      <c r="D737" s="92" t="s">
        <v>1458</v>
      </c>
      <c r="E737" s="92" t="s">
        <v>1198</v>
      </c>
      <c r="F737" s="92" t="s">
        <v>1235</v>
      </c>
      <c r="G737" s="92" t="s">
        <v>1200</v>
      </c>
      <c r="H737" s="92" t="s">
        <v>1404</v>
      </c>
      <c r="I737" s="92" t="s">
        <v>1248</v>
      </c>
      <c r="J737" s="92" t="s">
        <v>1734</v>
      </c>
      <c r="K737" s="92" t="s">
        <v>1243</v>
      </c>
      <c r="L737" s="92" t="s">
        <v>1244</v>
      </c>
      <c r="M737" s="92" t="s">
        <v>1241</v>
      </c>
      <c r="N737" s="91">
        <v>42287</v>
      </c>
      <c r="O737" s="93">
        <v>1.05</v>
      </c>
      <c r="P737" s="93">
        <v>1.95</v>
      </c>
      <c r="Q737" s="94">
        <v>4</v>
      </c>
      <c r="R737" s="93">
        <f t="shared" si="44"/>
        <v>7.8</v>
      </c>
      <c r="S737" s="95">
        <v>0.09</v>
      </c>
      <c r="T737" s="96">
        <f t="shared" si="45"/>
        <v>0.70199999999999996</v>
      </c>
      <c r="U737" s="96">
        <f t="shared" si="46"/>
        <v>7.71</v>
      </c>
      <c r="V737" s="93">
        <v>1.63</v>
      </c>
      <c r="W737" s="97">
        <f t="shared" si="47"/>
        <v>9.34</v>
      </c>
    </row>
    <row r="738" spans="1:23" x14ac:dyDescent="0.25">
      <c r="A738" s="61" t="s">
        <v>831</v>
      </c>
      <c r="B738" s="91">
        <v>42286</v>
      </c>
      <c r="C738" s="92" t="s">
        <v>1964</v>
      </c>
      <c r="D738" s="92" t="s">
        <v>1299</v>
      </c>
      <c r="E738" s="92" t="s">
        <v>1198</v>
      </c>
      <c r="F738" s="92" t="s">
        <v>1235</v>
      </c>
      <c r="G738" s="92" t="s">
        <v>1202</v>
      </c>
      <c r="H738" s="92" t="s">
        <v>1236</v>
      </c>
      <c r="I738" s="92" t="s">
        <v>1317</v>
      </c>
      <c r="J738" s="92" t="s">
        <v>1736</v>
      </c>
      <c r="K738" s="92" t="s">
        <v>1239</v>
      </c>
      <c r="L738" s="92" t="s">
        <v>1319</v>
      </c>
      <c r="M738" s="92" t="s">
        <v>1320</v>
      </c>
      <c r="N738" s="91">
        <v>42288</v>
      </c>
      <c r="O738" s="93">
        <v>315.61</v>
      </c>
      <c r="P738" s="93">
        <v>500.97</v>
      </c>
      <c r="Q738" s="94">
        <v>25</v>
      </c>
      <c r="R738" s="93">
        <f t="shared" si="44"/>
        <v>12524.25</v>
      </c>
      <c r="S738" s="95">
        <v>0.02</v>
      </c>
      <c r="T738" s="96">
        <f t="shared" si="45"/>
        <v>250.48500000000001</v>
      </c>
      <c r="U738" s="96">
        <f t="shared" si="46"/>
        <v>12524.23</v>
      </c>
      <c r="V738" s="93">
        <v>69.3</v>
      </c>
      <c r="W738" s="97">
        <f t="shared" si="47"/>
        <v>12593.529999999999</v>
      </c>
    </row>
    <row r="739" spans="1:23" x14ac:dyDescent="0.25">
      <c r="A739" s="61" t="s">
        <v>832</v>
      </c>
      <c r="B739" s="91">
        <v>42289</v>
      </c>
      <c r="C739" s="92" t="s">
        <v>1367</v>
      </c>
      <c r="D739" s="92" t="s">
        <v>1323</v>
      </c>
      <c r="E739" s="92" t="s">
        <v>1198</v>
      </c>
      <c r="F739" s="92" t="s">
        <v>1235</v>
      </c>
      <c r="G739" s="92" t="s">
        <v>1200</v>
      </c>
      <c r="H739" s="92" t="s">
        <v>1263</v>
      </c>
      <c r="I739" s="92" t="s">
        <v>1317</v>
      </c>
      <c r="J739" s="92" t="s">
        <v>1324</v>
      </c>
      <c r="K739" s="92" t="s">
        <v>1243</v>
      </c>
      <c r="L739" s="92" t="s">
        <v>1260</v>
      </c>
      <c r="M739" s="92" t="s">
        <v>1241</v>
      </c>
      <c r="N739" s="91">
        <v>42291</v>
      </c>
      <c r="O739" s="93">
        <v>1.18</v>
      </c>
      <c r="P739" s="93">
        <v>1.88</v>
      </c>
      <c r="Q739" s="94">
        <v>29</v>
      </c>
      <c r="R739" s="93">
        <f t="shared" si="44"/>
        <v>54.519999999999996</v>
      </c>
      <c r="S739" s="95">
        <v>0.1</v>
      </c>
      <c r="T739" s="96">
        <f t="shared" si="45"/>
        <v>5.452</v>
      </c>
      <c r="U739" s="96">
        <f t="shared" si="46"/>
        <v>54.419999999999995</v>
      </c>
      <c r="V739" s="93">
        <v>1.49</v>
      </c>
      <c r="W739" s="97">
        <f t="shared" si="47"/>
        <v>55.91</v>
      </c>
    </row>
    <row r="740" spans="1:23" x14ac:dyDescent="0.25">
      <c r="A740" s="61" t="s">
        <v>833</v>
      </c>
      <c r="B740" s="91">
        <v>42290</v>
      </c>
      <c r="C740" s="92" t="s">
        <v>1753</v>
      </c>
      <c r="D740" s="92" t="s">
        <v>1754</v>
      </c>
      <c r="E740" s="92" t="s">
        <v>1198</v>
      </c>
      <c r="F740" s="92" t="s">
        <v>1235</v>
      </c>
      <c r="G740" s="92" t="s">
        <v>1201</v>
      </c>
      <c r="H740" s="92" t="s">
        <v>1269</v>
      </c>
      <c r="I740" s="92" t="s">
        <v>1248</v>
      </c>
      <c r="J740" s="92" t="s">
        <v>1318</v>
      </c>
      <c r="K740" s="92" t="s">
        <v>1239</v>
      </c>
      <c r="L740" s="92" t="s">
        <v>1319</v>
      </c>
      <c r="M740" s="92" t="s">
        <v>1320</v>
      </c>
      <c r="N740" s="91">
        <v>42292</v>
      </c>
      <c r="O740" s="93">
        <v>278.99</v>
      </c>
      <c r="P740" s="93">
        <v>449.99</v>
      </c>
      <c r="Q740" s="94">
        <v>47</v>
      </c>
      <c r="R740" s="93">
        <f t="shared" si="44"/>
        <v>21149.53</v>
      </c>
      <c r="S740" s="95">
        <v>0.02</v>
      </c>
      <c r="T740" s="96">
        <f t="shared" si="45"/>
        <v>422.99059999999997</v>
      </c>
      <c r="U740" s="96">
        <f t="shared" si="46"/>
        <v>21149.51</v>
      </c>
      <c r="V740" s="93">
        <v>49</v>
      </c>
      <c r="W740" s="97">
        <f t="shared" si="47"/>
        <v>21198.51</v>
      </c>
    </row>
    <row r="741" spans="1:23" x14ac:dyDescent="0.25">
      <c r="A741" s="61" t="s">
        <v>834</v>
      </c>
      <c r="B741" s="91">
        <v>42292</v>
      </c>
      <c r="C741" s="92" t="s">
        <v>1965</v>
      </c>
      <c r="D741" s="92" t="s">
        <v>1253</v>
      </c>
      <c r="E741" s="92" t="s">
        <v>1199</v>
      </c>
      <c r="F741" s="92" t="s">
        <v>1254</v>
      </c>
      <c r="G741" s="92" t="s">
        <v>1201</v>
      </c>
      <c r="H741" s="92" t="s">
        <v>1255</v>
      </c>
      <c r="I741" s="92" t="s">
        <v>1264</v>
      </c>
      <c r="J741" s="92" t="s">
        <v>1259</v>
      </c>
      <c r="K741" s="92" t="s">
        <v>1243</v>
      </c>
      <c r="L741" s="92" t="s">
        <v>1260</v>
      </c>
      <c r="M741" s="92" t="s">
        <v>1241</v>
      </c>
      <c r="N741" s="91">
        <v>42293</v>
      </c>
      <c r="O741" s="93">
        <v>3.4</v>
      </c>
      <c r="P741" s="93">
        <v>5.4</v>
      </c>
      <c r="Q741" s="94">
        <v>8</v>
      </c>
      <c r="R741" s="93">
        <f t="shared" si="44"/>
        <v>43.2</v>
      </c>
      <c r="S741" s="95">
        <v>0</v>
      </c>
      <c r="T741" s="96">
        <f t="shared" si="45"/>
        <v>0</v>
      </c>
      <c r="U741" s="96">
        <f t="shared" si="46"/>
        <v>43.2</v>
      </c>
      <c r="V741" s="93">
        <v>7.78</v>
      </c>
      <c r="W741" s="97">
        <f t="shared" si="47"/>
        <v>50.980000000000004</v>
      </c>
    </row>
    <row r="742" spans="1:23" x14ac:dyDescent="0.25">
      <c r="A742" s="61" t="s">
        <v>835</v>
      </c>
      <c r="B742" s="91">
        <v>42297</v>
      </c>
      <c r="C742" s="92" t="s">
        <v>1966</v>
      </c>
      <c r="D742" s="92" t="s">
        <v>1615</v>
      </c>
      <c r="E742" s="92" t="s">
        <v>1198</v>
      </c>
      <c r="F742" s="92" t="s">
        <v>1235</v>
      </c>
      <c r="G742" s="92" t="s">
        <v>1203</v>
      </c>
      <c r="H742" s="92" t="s">
        <v>1404</v>
      </c>
      <c r="I742" s="92" t="s">
        <v>1248</v>
      </c>
      <c r="J742" s="92" t="s">
        <v>1417</v>
      </c>
      <c r="K742" s="92" t="s">
        <v>1243</v>
      </c>
      <c r="L742" s="92" t="s">
        <v>1260</v>
      </c>
      <c r="M742" s="92" t="s">
        <v>1241</v>
      </c>
      <c r="N742" s="91">
        <v>42301</v>
      </c>
      <c r="O742" s="93">
        <v>1.19</v>
      </c>
      <c r="P742" s="93">
        <v>1.98</v>
      </c>
      <c r="Q742" s="94">
        <v>4</v>
      </c>
      <c r="R742" s="93">
        <f t="shared" si="44"/>
        <v>7.92</v>
      </c>
      <c r="S742" s="95">
        <v>0.08</v>
      </c>
      <c r="T742" s="96">
        <f t="shared" si="45"/>
        <v>0.63360000000000005</v>
      </c>
      <c r="U742" s="96">
        <f t="shared" si="46"/>
        <v>7.84</v>
      </c>
      <c r="V742" s="93">
        <v>4.7699999999999996</v>
      </c>
      <c r="W742" s="97">
        <f t="shared" si="47"/>
        <v>12.61</v>
      </c>
    </row>
    <row r="743" spans="1:23" x14ac:dyDescent="0.25">
      <c r="A743" s="61" t="s">
        <v>836</v>
      </c>
      <c r="B743" s="91">
        <v>42298</v>
      </c>
      <c r="C743" s="92" t="s">
        <v>1513</v>
      </c>
      <c r="D743" s="92" t="s">
        <v>1514</v>
      </c>
      <c r="E743" s="92" t="s">
        <v>1198</v>
      </c>
      <c r="F743" s="92" t="s">
        <v>1235</v>
      </c>
      <c r="G743" s="92" t="s">
        <v>1203</v>
      </c>
      <c r="H743" s="92" t="s">
        <v>1291</v>
      </c>
      <c r="I743" s="92" t="s">
        <v>1237</v>
      </c>
      <c r="J743" s="92" t="s">
        <v>1732</v>
      </c>
      <c r="K743" s="92" t="s">
        <v>1243</v>
      </c>
      <c r="L743" s="92" t="s">
        <v>1244</v>
      </c>
      <c r="M743" s="92" t="s">
        <v>1250</v>
      </c>
      <c r="N743" s="91">
        <v>42300</v>
      </c>
      <c r="O743" s="93">
        <v>2.13</v>
      </c>
      <c r="P743" s="93">
        <v>3.49</v>
      </c>
      <c r="Q743" s="94">
        <v>3</v>
      </c>
      <c r="R743" s="93">
        <f t="shared" si="44"/>
        <v>10.47</v>
      </c>
      <c r="S743" s="95">
        <v>0.01</v>
      </c>
      <c r="T743" s="96">
        <f t="shared" si="45"/>
        <v>0.10470000000000002</v>
      </c>
      <c r="U743" s="96">
        <f t="shared" si="46"/>
        <v>10.46</v>
      </c>
      <c r="V743" s="93">
        <v>0.76</v>
      </c>
      <c r="W743" s="97">
        <f t="shared" si="47"/>
        <v>11.22</v>
      </c>
    </row>
    <row r="744" spans="1:23" x14ac:dyDescent="0.25">
      <c r="A744" s="61" t="s">
        <v>837</v>
      </c>
      <c r="B744" s="91">
        <v>42298</v>
      </c>
      <c r="C744" s="92" t="s">
        <v>1967</v>
      </c>
      <c r="D744" s="92" t="s">
        <v>1833</v>
      </c>
      <c r="E744" s="92" t="s">
        <v>1198</v>
      </c>
      <c r="F744" s="92" t="s">
        <v>1235</v>
      </c>
      <c r="G744" s="92" t="s">
        <v>1200</v>
      </c>
      <c r="H744" s="92" t="s">
        <v>1409</v>
      </c>
      <c r="I744" s="92" t="s">
        <v>1317</v>
      </c>
      <c r="J744" s="92" t="s">
        <v>1324</v>
      </c>
      <c r="K744" s="92" t="s">
        <v>1243</v>
      </c>
      <c r="L744" s="92" t="s">
        <v>1260</v>
      </c>
      <c r="M744" s="92" t="s">
        <v>1241</v>
      </c>
      <c r="N744" s="91">
        <v>42300</v>
      </c>
      <c r="O744" s="93">
        <v>1.18</v>
      </c>
      <c r="P744" s="93">
        <v>1.88</v>
      </c>
      <c r="Q744" s="94">
        <v>6</v>
      </c>
      <c r="R744" s="93">
        <f t="shared" si="44"/>
        <v>11.28</v>
      </c>
      <c r="S744" s="95">
        <v>7.0000000000000007E-2</v>
      </c>
      <c r="T744" s="96">
        <f t="shared" si="45"/>
        <v>0.78960000000000008</v>
      </c>
      <c r="U744" s="96">
        <f t="shared" si="46"/>
        <v>11.209999999999999</v>
      </c>
      <c r="V744" s="93">
        <v>1.49</v>
      </c>
      <c r="W744" s="97">
        <f t="shared" si="47"/>
        <v>12.7</v>
      </c>
    </row>
    <row r="745" spans="1:23" x14ac:dyDescent="0.25">
      <c r="A745" s="61" t="s">
        <v>838</v>
      </c>
      <c r="B745" s="91">
        <v>42301</v>
      </c>
      <c r="C745" s="92" t="s">
        <v>1354</v>
      </c>
      <c r="D745" s="92" t="s">
        <v>1355</v>
      </c>
      <c r="E745" s="92" t="s">
        <v>1199</v>
      </c>
      <c r="F745" s="92" t="s">
        <v>1254</v>
      </c>
      <c r="G745" s="92" t="s">
        <v>1202</v>
      </c>
      <c r="H745" s="92" t="s">
        <v>1274</v>
      </c>
      <c r="I745" s="92" t="s">
        <v>1264</v>
      </c>
      <c r="J745" s="92" t="s">
        <v>1305</v>
      </c>
      <c r="K745" s="92" t="s">
        <v>1243</v>
      </c>
      <c r="L745" s="92" t="s">
        <v>1260</v>
      </c>
      <c r="M745" s="92" t="s">
        <v>1241</v>
      </c>
      <c r="N745" s="91">
        <v>42303</v>
      </c>
      <c r="O745" s="93">
        <v>4.53</v>
      </c>
      <c r="P745" s="93">
        <v>7.3</v>
      </c>
      <c r="Q745" s="94">
        <v>34</v>
      </c>
      <c r="R745" s="93">
        <f t="shared" si="44"/>
        <v>248.2</v>
      </c>
      <c r="S745" s="95">
        <v>0.03</v>
      </c>
      <c r="T745" s="96">
        <f t="shared" si="45"/>
        <v>7.4459999999999997</v>
      </c>
      <c r="U745" s="96">
        <f t="shared" si="46"/>
        <v>248.17</v>
      </c>
      <c r="V745" s="93">
        <v>7.72</v>
      </c>
      <c r="W745" s="97">
        <f t="shared" si="47"/>
        <v>255.89</v>
      </c>
    </row>
    <row r="746" spans="1:23" x14ac:dyDescent="0.25">
      <c r="A746" s="61" t="s">
        <v>839</v>
      </c>
      <c r="B746" s="91">
        <v>42301</v>
      </c>
      <c r="C746" s="92" t="s">
        <v>1968</v>
      </c>
      <c r="D746" s="92" t="s">
        <v>1491</v>
      </c>
      <c r="E746" s="92" t="s">
        <v>1198</v>
      </c>
      <c r="F746" s="92" t="s">
        <v>1235</v>
      </c>
      <c r="G746" s="92" t="s">
        <v>1201</v>
      </c>
      <c r="H746" s="92" t="s">
        <v>1313</v>
      </c>
      <c r="I746" s="92" t="s">
        <v>1317</v>
      </c>
      <c r="J746" s="92" t="s">
        <v>1515</v>
      </c>
      <c r="K746" s="92" t="s">
        <v>1243</v>
      </c>
      <c r="L746" s="92" t="s">
        <v>1260</v>
      </c>
      <c r="M746" s="92" t="s">
        <v>1241</v>
      </c>
      <c r="N746" s="91">
        <v>42303</v>
      </c>
      <c r="O746" s="93">
        <v>2.25</v>
      </c>
      <c r="P746" s="93">
        <v>3.69</v>
      </c>
      <c r="Q746" s="94">
        <v>47</v>
      </c>
      <c r="R746" s="93">
        <f t="shared" si="44"/>
        <v>173.43</v>
      </c>
      <c r="S746" s="95">
        <v>0</v>
      </c>
      <c r="T746" s="96">
        <f t="shared" si="45"/>
        <v>0</v>
      </c>
      <c r="U746" s="96">
        <f t="shared" si="46"/>
        <v>173.43</v>
      </c>
      <c r="V746" s="93">
        <v>2.5</v>
      </c>
      <c r="W746" s="97">
        <f t="shared" si="47"/>
        <v>175.93</v>
      </c>
    </row>
    <row r="747" spans="1:23" x14ac:dyDescent="0.25">
      <c r="A747" s="61" t="s">
        <v>840</v>
      </c>
      <c r="B747" s="91">
        <v>42305</v>
      </c>
      <c r="C747" s="92" t="s">
        <v>1476</v>
      </c>
      <c r="D747" s="92" t="s">
        <v>1412</v>
      </c>
      <c r="E747" s="92" t="s">
        <v>1199</v>
      </c>
      <c r="F747" s="92" t="s">
        <v>1254</v>
      </c>
      <c r="G747" s="92" t="s">
        <v>1200</v>
      </c>
      <c r="H747" s="92" t="s">
        <v>1274</v>
      </c>
      <c r="I747" s="92" t="s">
        <v>1256</v>
      </c>
      <c r="J747" s="92" t="s">
        <v>1550</v>
      </c>
      <c r="K747" s="92" t="s">
        <v>1239</v>
      </c>
      <c r="L747" s="92" t="s">
        <v>1258</v>
      </c>
      <c r="M747" s="92" t="s">
        <v>1241</v>
      </c>
      <c r="N747" s="91">
        <v>42307</v>
      </c>
      <c r="O747" s="93">
        <v>7.92</v>
      </c>
      <c r="P747" s="93">
        <v>12.99</v>
      </c>
      <c r="Q747" s="94">
        <v>46</v>
      </c>
      <c r="R747" s="93">
        <f t="shared" si="44"/>
        <v>597.54</v>
      </c>
      <c r="S747" s="95">
        <v>0.01</v>
      </c>
      <c r="T747" s="96">
        <f t="shared" si="45"/>
        <v>5.9753999999999996</v>
      </c>
      <c r="U747" s="96">
        <f t="shared" si="46"/>
        <v>597.53</v>
      </c>
      <c r="V747" s="93">
        <v>9.44</v>
      </c>
      <c r="W747" s="97">
        <f t="shared" si="47"/>
        <v>606.97</v>
      </c>
    </row>
    <row r="748" spans="1:23" x14ac:dyDescent="0.25">
      <c r="A748" s="61" t="s">
        <v>841</v>
      </c>
      <c r="B748" s="91">
        <v>42308</v>
      </c>
      <c r="C748" s="92" t="s">
        <v>1969</v>
      </c>
      <c r="D748" s="92" t="s">
        <v>1262</v>
      </c>
      <c r="E748" s="92" t="s">
        <v>1198</v>
      </c>
      <c r="F748" s="92" t="s">
        <v>1235</v>
      </c>
      <c r="G748" s="92" t="s">
        <v>1203</v>
      </c>
      <c r="H748" s="92" t="s">
        <v>1263</v>
      </c>
      <c r="I748" s="92" t="s">
        <v>1317</v>
      </c>
      <c r="J748" s="92" t="s">
        <v>1533</v>
      </c>
      <c r="K748" s="92" t="s">
        <v>1243</v>
      </c>
      <c r="L748" s="92" t="s">
        <v>1260</v>
      </c>
      <c r="M748" s="92" t="s">
        <v>1241</v>
      </c>
      <c r="N748" s="91">
        <v>42308</v>
      </c>
      <c r="O748" s="93">
        <v>178.83</v>
      </c>
      <c r="P748" s="93">
        <v>415.88</v>
      </c>
      <c r="Q748" s="94">
        <v>21</v>
      </c>
      <c r="R748" s="93">
        <f t="shared" si="44"/>
        <v>8733.48</v>
      </c>
      <c r="S748" s="95">
        <v>0.09</v>
      </c>
      <c r="T748" s="96">
        <f t="shared" si="45"/>
        <v>786.01319999999998</v>
      </c>
      <c r="U748" s="96">
        <f t="shared" si="46"/>
        <v>8733.39</v>
      </c>
      <c r="V748" s="93">
        <v>11.37</v>
      </c>
      <c r="W748" s="97">
        <f t="shared" si="47"/>
        <v>8744.76</v>
      </c>
    </row>
    <row r="749" spans="1:23" x14ac:dyDescent="0.25">
      <c r="A749" s="61" t="s">
        <v>842</v>
      </c>
      <c r="B749" s="91">
        <v>42308</v>
      </c>
      <c r="C749" s="92" t="s">
        <v>1970</v>
      </c>
      <c r="D749" s="92" t="s">
        <v>1838</v>
      </c>
      <c r="E749" s="92" t="s">
        <v>1198</v>
      </c>
      <c r="F749" s="92" t="s">
        <v>1235</v>
      </c>
      <c r="G749" s="92" t="s">
        <v>1200</v>
      </c>
      <c r="H749" s="92" t="s">
        <v>1471</v>
      </c>
      <c r="I749" s="92" t="s">
        <v>1317</v>
      </c>
      <c r="J749" s="92" t="s">
        <v>1512</v>
      </c>
      <c r="K749" s="92" t="s">
        <v>1239</v>
      </c>
      <c r="L749" s="92" t="s">
        <v>1260</v>
      </c>
      <c r="M749" s="92" t="s">
        <v>1241</v>
      </c>
      <c r="N749" s="91">
        <v>42309</v>
      </c>
      <c r="O749" s="93">
        <v>156.5</v>
      </c>
      <c r="P749" s="93">
        <v>300.97000000000003</v>
      </c>
      <c r="Q749" s="94">
        <v>23</v>
      </c>
      <c r="R749" s="93">
        <f t="shared" si="44"/>
        <v>6922.31</v>
      </c>
      <c r="S749" s="95">
        <v>0.06</v>
      </c>
      <c r="T749" s="96">
        <f t="shared" si="45"/>
        <v>415.33859999999999</v>
      </c>
      <c r="U749" s="96">
        <f t="shared" si="46"/>
        <v>6922.25</v>
      </c>
      <c r="V749" s="93">
        <v>7.18</v>
      </c>
      <c r="W749" s="97">
        <f t="shared" si="47"/>
        <v>6929.43</v>
      </c>
    </row>
    <row r="750" spans="1:23" x14ac:dyDescent="0.25">
      <c r="A750" s="61" t="s">
        <v>843</v>
      </c>
      <c r="B750" s="91">
        <v>42314</v>
      </c>
      <c r="C750" s="92" t="s">
        <v>1387</v>
      </c>
      <c r="D750" s="92" t="s">
        <v>1388</v>
      </c>
      <c r="E750" s="92" t="s">
        <v>1199</v>
      </c>
      <c r="F750" s="92" t="s">
        <v>1254</v>
      </c>
      <c r="G750" s="92" t="s">
        <v>1200</v>
      </c>
      <c r="H750" s="92" t="s">
        <v>1255</v>
      </c>
      <c r="I750" s="92" t="s">
        <v>1317</v>
      </c>
      <c r="J750" s="92" t="s">
        <v>1400</v>
      </c>
      <c r="K750" s="92" t="s">
        <v>1239</v>
      </c>
      <c r="L750" s="92" t="s">
        <v>1260</v>
      </c>
      <c r="M750" s="92" t="s">
        <v>1250</v>
      </c>
      <c r="N750" s="91">
        <v>42314</v>
      </c>
      <c r="O750" s="93">
        <v>14.7</v>
      </c>
      <c r="P750" s="93">
        <v>29.99</v>
      </c>
      <c r="Q750" s="94">
        <v>20</v>
      </c>
      <c r="R750" s="93">
        <f t="shared" si="44"/>
        <v>599.79999999999995</v>
      </c>
      <c r="S750" s="95">
        <v>0.04</v>
      </c>
      <c r="T750" s="96">
        <f t="shared" si="45"/>
        <v>23.991999999999997</v>
      </c>
      <c r="U750" s="96">
        <f t="shared" si="46"/>
        <v>599.76</v>
      </c>
      <c r="V750" s="93">
        <v>5.5</v>
      </c>
      <c r="W750" s="97">
        <f t="shared" si="47"/>
        <v>605.26</v>
      </c>
    </row>
    <row r="751" spans="1:23" x14ac:dyDescent="0.25">
      <c r="A751" s="61" t="s">
        <v>844</v>
      </c>
      <c r="B751" s="91">
        <v>42314</v>
      </c>
      <c r="C751" s="92" t="s">
        <v>1551</v>
      </c>
      <c r="D751" s="92" t="s">
        <v>1323</v>
      </c>
      <c r="E751" s="92" t="s">
        <v>1198</v>
      </c>
      <c r="F751" s="92" t="s">
        <v>1235</v>
      </c>
      <c r="G751" s="92" t="s">
        <v>1201</v>
      </c>
      <c r="H751" s="92" t="s">
        <v>1263</v>
      </c>
      <c r="I751" s="92" t="s">
        <v>1248</v>
      </c>
      <c r="J751" s="92" t="s">
        <v>1426</v>
      </c>
      <c r="K751" s="92" t="s">
        <v>1243</v>
      </c>
      <c r="L751" s="92" t="s">
        <v>1260</v>
      </c>
      <c r="M751" s="92" t="s">
        <v>1241</v>
      </c>
      <c r="N751" s="91">
        <v>42321</v>
      </c>
      <c r="O751" s="93">
        <v>54.29</v>
      </c>
      <c r="P751" s="93">
        <v>90.48</v>
      </c>
      <c r="Q751" s="94">
        <v>49</v>
      </c>
      <c r="R751" s="93">
        <f t="shared" si="44"/>
        <v>4433.5200000000004</v>
      </c>
      <c r="S751" s="95">
        <v>0.05</v>
      </c>
      <c r="T751" s="96">
        <f t="shared" si="45"/>
        <v>221.67600000000004</v>
      </c>
      <c r="U751" s="96">
        <f t="shared" si="46"/>
        <v>4433.47</v>
      </c>
      <c r="V751" s="93">
        <v>19.989999999999998</v>
      </c>
      <c r="W751" s="97">
        <f t="shared" si="47"/>
        <v>4453.46</v>
      </c>
    </row>
    <row r="752" spans="1:23" x14ac:dyDescent="0.25">
      <c r="A752" s="61" t="s">
        <v>845</v>
      </c>
      <c r="B752" s="91">
        <v>42315</v>
      </c>
      <c r="C752" s="92" t="s">
        <v>1906</v>
      </c>
      <c r="D752" s="92" t="s">
        <v>1461</v>
      </c>
      <c r="E752" s="92" t="s">
        <v>1199</v>
      </c>
      <c r="F752" s="92" t="s">
        <v>1254</v>
      </c>
      <c r="G752" s="92" t="s">
        <v>1200</v>
      </c>
      <c r="H752" s="92" t="s">
        <v>1255</v>
      </c>
      <c r="I752" s="92" t="s">
        <v>1264</v>
      </c>
      <c r="J752" s="92" t="s">
        <v>1242</v>
      </c>
      <c r="K752" s="92" t="s">
        <v>1243</v>
      </c>
      <c r="L752" s="92" t="s">
        <v>1244</v>
      </c>
      <c r="M752" s="92" t="s">
        <v>1241</v>
      </c>
      <c r="N752" s="91">
        <v>42316</v>
      </c>
      <c r="O752" s="93">
        <v>3.47</v>
      </c>
      <c r="P752" s="93">
        <v>6.68</v>
      </c>
      <c r="Q752" s="94">
        <v>12</v>
      </c>
      <c r="R752" s="93">
        <f t="shared" si="44"/>
        <v>80.16</v>
      </c>
      <c r="S752" s="95">
        <v>0.06</v>
      </c>
      <c r="T752" s="96">
        <f t="shared" si="45"/>
        <v>4.8095999999999997</v>
      </c>
      <c r="U752" s="96">
        <f t="shared" si="46"/>
        <v>80.099999999999994</v>
      </c>
      <c r="V752" s="93">
        <v>1.5</v>
      </c>
      <c r="W752" s="97">
        <f t="shared" si="47"/>
        <v>81.599999999999994</v>
      </c>
    </row>
    <row r="753" spans="1:23" x14ac:dyDescent="0.25">
      <c r="A753" s="61" t="s">
        <v>846</v>
      </c>
      <c r="B753" s="91">
        <v>42318</v>
      </c>
      <c r="C753" s="92" t="s">
        <v>1656</v>
      </c>
      <c r="D753" s="92" t="s">
        <v>1285</v>
      </c>
      <c r="E753" s="92" t="s">
        <v>1198</v>
      </c>
      <c r="F753" s="92" t="s">
        <v>1235</v>
      </c>
      <c r="G753" s="92" t="s">
        <v>1200</v>
      </c>
      <c r="H753" s="92" t="s">
        <v>1286</v>
      </c>
      <c r="I753" s="92" t="s">
        <v>1248</v>
      </c>
      <c r="J753" s="92" t="s">
        <v>1328</v>
      </c>
      <c r="K753" s="92" t="s">
        <v>1243</v>
      </c>
      <c r="L753" s="92" t="s">
        <v>1244</v>
      </c>
      <c r="M753" s="92" t="s">
        <v>1241</v>
      </c>
      <c r="N753" s="91">
        <v>42322</v>
      </c>
      <c r="O753" s="93">
        <v>0.93</v>
      </c>
      <c r="P753" s="93">
        <v>1.48</v>
      </c>
      <c r="Q753" s="94">
        <v>19</v>
      </c>
      <c r="R753" s="93">
        <f t="shared" si="44"/>
        <v>28.12</v>
      </c>
      <c r="S753" s="95">
        <v>0</v>
      </c>
      <c r="T753" s="96">
        <f t="shared" si="45"/>
        <v>0</v>
      </c>
      <c r="U753" s="96">
        <f t="shared" si="46"/>
        <v>28.12</v>
      </c>
      <c r="V753" s="93">
        <v>0.7</v>
      </c>
      <c r="W753" s="97">
        <f t="shared" si="47"/>
        <v>28.82</v>
      </c>
    </row>
    <row r="754" spans="1:23" x14ac:dyDescent="0.25">
      <c r="A754" s="61" t="s">
        <v>847</v>
      </c>
      <c r="B754" s="91">
        <v>42318</v>
      </c>
      <c r="C754" s="92" t="s">
        <v>1907</v>
      </c>
      <c r="D754" s="92" t="s">
        <v>1395</v>
      </c>
      <c r="E754" s="92" t="s">
        <v>1198</v>
      </c>
      <c r="F754" s="92" t="s">
        <v>1235</v>
      </c>
      <c r="G754" s="92" t="s">
        <v>1200</v>
      </c>
      <c r="H754" s="92" t="s">
        <v>1236</v>
      </c>
      <c r="I754" s="92" t="s">
        <v>1237</v>
      </c>
      <c r="J754" s="92" t="s">
        <v>1801</v>
      </c>
      <c r="K754" s="92" t="s">
        <v>1243</v>
      </c>
      <c r="L754" s="92" t="s">
        <v>1260</v>
      </c>
      <c r="M754" s="92" t="s">
        <v>1241</v>
      </c>
      <c r="N754" s="91">
        <v>42318</v>
      </c>
      <c r="O754" s="93">
        <v>4.03</v>
      </c>
      <c r="P754" s="93">
        <v>9.3800000000000008</v>
      </c>
      <c r="Q754" s="94">
        <v>24</v>
      </c>
      <c r="R754" s="93">
        <f t="shared" si="44"/>
        <v>225.12</v>
      </c>
      <c r="S754" s="95">
        <v>0.05</v>
      </c>
      <c r="T754" s="96">
        <f t="shared" si="45"/>
        <v>11.256</v>
      </c>
      <c r="U754" s="96">
        <f t="shared" si="46"/>
        <v>225.07</v>
      </c>
      <c r="V754" s="93">
        <v>7.28</v>
      </c>
      <c r="W754" s="97">
        <f t="shared" si="47"/>
        <v>232.35</v>
      </c>
    </row>
    <row r="755" spans="1:23" x14ac:dyDescent="0.25">
      <c r="A755" s="61" t="s">
        <v>848</v>
      </c>
      <c r="B755" s="91">
        <v>42319</v>
      </c>
      <c r="C755" s="92" t="s">
        <v>1360</v>
      </c>
      <c r="D755" s="92" t="s">
        <v>1361</v>
      </c>
      <c r="E755" s="92" t="s">
        <v>1198</v>
      </c>
      <c r="F755" s="92" t="s">
        <v>1235</v>
      </c>
      <c r="G755" s="92" t="s">
        <v>1203</v>
      </c>
      <c r="H755" s="92" t="s">
        <v>1286</v>
      </c>
      <c r="I755" s="92" t="s">
        <v>1317</v>
      </c>
      <c r="J755" s="92" t="s">
        <v>1468</v>
      </c>
      <c r="K755" s="92" t="s">
        <v>1243</v>
      </c>
      <c r="L755" s="92" t="s">
        <v>1260</v>
      </c>
      <c r="M755" s="92" t="s">
        <v>1241</v>
      </c>
      <c r="N755" s="91">
        <v>42321</v>
      </c>
      <c r="O755" s="93">
        <v>1.59</v>
      </c>
      <c r="P755" s="93">
        <v>2.61</v>
      </c>
      <c r="Q755" s="94">
        <v>40</v>
      </c>
      <c r="R755" s="93">
        <f t="shared" si="44"/>
        <v>104.39999999999999</v>
      </c>
      <c r="S755" s="95">
        <v>0.03</v>
      </c>
      <c r="T755" s="96">
        <f t="shared" si="45"/>
        <v>3.1319999999999997</v>
      </c>
      <c r="U755" s="96">
        <f t="shared" si="46"/>
        <v>104.36999999999999</v>
      </c>
      <c r="V755" s="93">
        <v>0.5</v>
      </c>
      <c r="W755" s="97">
        <f t="shared" si="47"/>
        <v>104.86999999999999</v>
      </c>
    </row>
    <row r="756" spans="1:23" x14ac:dyDescent="0.25">
      <c r="A756" s="61" t="s">
        <v>849</v>
      </c>
      <c r="B756" s="91">
        <v>42320</v>
      </c>
      <c r="C756" s="92" t="s">
        <v>1358</v>
      </c>
      <c r="D756" s="92" t="s">
        <v>1330</v>
      </c>
      <c r="E756" s="92" t="s">
        <v>1199</v>
      </c>
      <c r="F756" s="92" t="s">
        <v>1254</v>
      </c>
      <c r="G756" s="92" t="s">
        <v>1201</v>
      </c>
      <c r="H756" s="92" t="s">
        <v>1255</v>
      </c>
      <c r="I756" s="92" t="s">
        <v>1256</v>
      </c>
      <c r="J756" s="92" t="s">
        <v>1348</v>
      </c>
      <c r="K756" s="92" t="s">
        <v>1243</v>
      </c>
      <c r="L756" s="92" t="s">
        <v>1240</v>
      </c>
      <c r="M756" s="92" t="s">
        <v>1241</v>
      </c>
      <c r="N756" s="91">
        <v>42322</v>
      </c>
      <c r="O756" s="93">
        <v>4.1900000000000004</v>
      </c>
      <c r="P756" s="93">
        <v>10.23</v>
      </c>
      <c r="Q756" s="94">
        <v>46</v>
      </c>
      <c r="R756" s="93">
        <f t="shared" si="44"/>
        <v>470.58000000000004</v>
      </c>
      <c r="S756" s="95">
        <v>0.08</v>
      </c>
      <c r="T756" s="96">
        <f t="shared" si="45"/>
        <v>37.646400000000007</v>
      </c>
      <c r="U756" s="96">
        <f t="shared" si="46"/>
        <v>470.50000000000006</v>
      </c>
      <c r="V756" s="93">
        <v>4.68</v>
      </c>
      <c r="W756" s="97">
        <f t="shared" si="47"/>
        <v>475.18000000000006</v>
      </c>
    </row>
    <row r="757" spans="1:23" x14ac:dyDescent="0.25">
      <c r="A757" s="61" t="s">
        <v>850</v>
      </c>
      <c r="B757" s="91">
        <v>42323</v>
      </c>
      <c r="C757" s="92" t="s">
        <v>1971</v>
      </c>
      <c r="D757" s="92" t="s">
        <v>1972</v>
      </c>
      <c r="E757" s="92" t="s">
        <v>1199</v>
      </c>
      <c r="F757" s="92" t="s">
        <v>1254</v>
      </c>
      <c r="G757" s="92" t="s">
        <v>1200</v>
      </c>
      <c r="H757" s="92" t="s">
        <v>1274</v>
      </c>
      <c r="I757" s="92" t="s">
        <v>1248</v>
      </c>
      <c r="J757" s="92" t="s">
        <v>1973</v>
      </c>
      <c r="K757" s="92" t="s">
        <v>1243</v>
      </c>
      <c r="L757" s="92" t="s">
        <v>1244</v>
      </c>
      <c r="M757" s="92" t="s">
        <v>1241</v>
      </c>
      <c r="N757" s="91">
        <v>42332</v>
      </c>
      <c r="O757" s="93">
        <v>3.95</v>
      </c>
      <c r="P757" s="93">
        <v>6.08</v>
      </c>
      <c r="Q757" s="94">
        <v>41</v>
      </c>
      <c r="R757" s="93">
        <f t="shared" si="44"/>
        <v>249.28</v>
      </c>
      <c r="S757" s="95">
        <v>0.03</v>
      </c>
      <c r="T757" s="96">
        <f t="shared" si="45"/>
        <v>7.4783999999999997</v>
      </c>
      <c r="U757" s="96">
        <f t="shared" si="46"/>
        <v>249.25</v>
      </c>
      <c r="V757" s="93">
        <v>1.82</v>
      </c>
      <c r="W757" s="97">
        <f t="shared" si="47"/>
        <v>251.07</v>
      </c>
    </row>
    <row r="758" spans="1:23" x14ac:dyDescent="0.25">
      <c r="A758" s="61" t="s">
        <v>851</v>
      </c>
      <c r="B758" s="91">
        <v>42324</v>
      </c>
      <c r="C758" s="92" t="s">
        <v>1493</v>
      </c>
      <c r="D758" s="92" t="s">
        <v>1494</v>
      </c>
      <c r="E758" s="92" t="s">
        <v>1198</v>
      </c>
      <c r="F758" s="92" t="s">
        <v>1235</v>
      </c>
      <c r="G758" s="92" t="s">
        <v>1202</v>
      </c>
      <c r="H758" s="92" t="s">
        <v>1236</v>
      </c>
      <c r="I758" s="92" t="s">
        <v>1264</v>
      </c>
      <c r="J758" s="92" t="s">
        <v>1265</v>
      </c>
      <c r="K758" s="92" t="s">
        <v>1243</v>
      </c>
      <c r="L758" s="92" t="s">
        <v>1244</v>
      </c>
      <c r="M758" s="92" t="s">
        <v>1241</v>
      </c>
      <c r="N758" s="91">
        <v>42325</v>
      </c>
      <c r="O758" s="93">
        <v>3.88</v>
      </c>
      <c r="P758" s="93">
        <v>6.47</v>
      </c>
      <c r="Q758" s="94">
        <v>22</v>
      </c>
      <c r="R758" s="93">
        <f t="shared" si="44"/>
        <v>142.34</v>
      </c>
      <c r="S758" s="95">
        <v>0.04</v>
      </c>
      <c r="T758" s="96">
        <f t="shared" si="45"/>
        <v>5.6936</v>
      </c>
      <c r="U758" s="96">
        <f t="shared" si="46"/>
        <v>142.30000000000001</v>
      </c>
      <c r="V758" s="93">
        <v>1.22</v>
      </c>
      <c r="W758" s="97">
        <f t="shared" si="47"/>
        <v>143.52000000000001</v>
      </c>
    </row>
    <row r="759" spans="1:23" x14ac:dyDescent="0.25">
      <c r="A759" s="61" t="s">
        <v>852</v>
      </c>
      <c r="B759" s="91">
        <v>42325</v>
      </c>
      <c r="C759" s="92" t="s">
        <v>1974</v>
      </c>
      <c r="D759" s="92" t="s">
        <v>1246</v>
      </c>
      <c r="E759" s="92" t="s">
        <v>1198</v>
      </c>
      <c r="F759" s="92" t="s">
        <v>1235</v>
      </c>
      <c r="G759" s="92" t="s">
        <v>1201</v>
      </c>
      <c r="H759" s="92" t="s">
        <v>1247</v>
      </c>
      <c r="I759" s="92" t="s">
        <v>1264</v>
      </c>
      <c r="J759" s="92" t="s">
        <v>1348</v>
      </c>
      <c r="K759" s="92" t="s">
        <v>1243</v>
      </c>
      <c r="L759" s="92" t="s">
        <v>1240</v>
      </c>
      <c r="M759" s="92" t="s">
        <v>1241</v>
      </c>
      <c r="N759" s="91">
        <v>42327</v>
      </c>
      <c r="O759" s="93">
        <v>4.1900000000000004</v>
      </c>
      <c r="P759" s="93">
        <v>10.23</v>
      </c>
      <c r="Q759" s="94">
        <v>16</v>
      </c>
      <c r="R759" s="93">
        <f t="shared" si="44"/>
        <v>163.68</v>
      </c>
      <c r="S759" s="95">
        <v>0.02</v>
      </c>
      <c r="T759" s="96">
        <f t="shared" si="45"/>
        <v>3.2736000000000001</v>
      </c>
      <c r="U759" s="96">
        <f t="shared" si="46"/>
        <v>163.66</v>
      </c>
      <c r="V759" s="93">
        <v>4.68</v>
      </c>
      <c r="W759" s="97">
        <f t="shared" si="47"/>
        <v>168.34</v>
      </c>
    </row>
    <row r="760" spans="1:23" x14ac:dyDescent="0.25">
      <c r="A760" s="61" t="s">
        <v>853</v>
      </c>
      <c r="B760" s="91">
        <v>42325</v>
      </c>
      <c r="C760" s="92" t="s">
        <v>1968</v>
      </c>
      <c r="D760" s="92" t="s">
        <v>1491</v>
      </c>
      <c r="E760" s="92" t="s">
        <v>1198</v>
      </c>
      <c r="F760" s="92" t="s">
        <v>1235</v>
      </c>
      <c r="G760" s="92" t="s">
        <v>1201</v>
      </c>
      <c r="H760" s="92" t="s">
        <v>1313</v>
      </c>
      <c r="I760" s="92" t="s">
        <v>1248</v>
      </c>
      <c r="J760" s="92" t="s">
        <v>1384</v>
      </c>
      <c r="K760" s="92" t="s">
        <v>1243</v>
      </c>
      <c r="L760" s="92" t="s">
        <v>1260</v>
      </c>
      <c r="M760" s="92" t="s">
        <v>1241</v>
      </c>
      <c r="N760" s="91">
        <v>42332</v>
      </c>
      <c r="O760" s="93">
        <v>4.46</v>
      </c>
      <c r="P760" s="93">
        <v>10.89</v>
      </c>
      <c r="Q760" s="94">
        <v>10</v>
      </c>
      <c r="R760" s="93">
        <f t="shared" si="44"/>
        <v>108.9</v>
      </c>
      <c r="S760" s="95">
        <v>0.1</v>
      </c>
      <c r="T760" s="96">
        <f t="shared" si="45"/>
        <v>10.89</v>
      </c>
      <c r="U760" s="96">
        <f t="shared" si="46"/>
        <v>108.80000000000001</v>
      </c>
      <c r="V760" s="93">
        <v>4.5</v>
      </c>
      <c r="W760" s="97">
        <f t="shared" si="47"/>
        <v>113.30000000000001</v>
      </c>
    </row>
    <row r="761" spans="1:23" x14ac:dyDescent="0.25">
      <c r="A761" s="61" t="s">
        <v>854</v>
      </c>
      <c r="B761" s="91">
        <v>42328</v>
      </c>
      <c r="C761" s="92" t="s">
        <v>1944</v>
      </c>
      <c r="D761" s="92" t="s">
        <v>1454</v>
      </c>
      <c r="E761" s="92" t="s">
        <v>1198</v>
      </c>
      <c r="F761" s="92" t="s">
        <v>1235</v>
      </c>
      <c r="G761" s="92" t="s">
        <v>1203</v>
      </c>
      <c r="H761" s="92" t="s">
        <v>1304</v>
      </c>
      <c r="I761" s="92" t="s">
        <v>1317</v>
      </c>
      <c r="J761" s="92" t="s">
        <v>1575</v>
      </c>
      <c r="K761" s="92" t="s">
        <v>1243</v>
      </c>
      <c r="L761" s="92" t="s">
        <v>1260</v>
      </c>
      <c r="M761" s="92" t="s">
        <v>1241</v>
      </c>
      <c r="N761" s="91">
        <v>42330</v>
      </c>
      <c r="O761" s="93">
        <v>1.94</v>
      </c>
      <c r="P761" s="93">
        <v>3.08</v>
      </c>
      <c r="Q761" s="94">
        <v>11</v>
      </c>
      <c r="R761" s="93">
        <f t="shared" si="44"/>
        <v>33.880000000000003</v>
      </c>
      <c r="S761" s="95">
        <v>0.09</v>
      </c>
      <c r="T761" s="96">
        <f t="shared" si="45"/>
        <v>3.0491999999999999</v>
      </c>
      <c r="U761" s="96">
        <f t="shared" si="46"/>
        <v>33.79</v>
      </c>
      <c r="V761" s="93">
        <v>0.99</v>
      </c>
      <c r="W761" s="97">
        <f t="shared" si="47"/>
        <v>34.78</v>
      </c>
    </row>
    <row r="762" spans="1:23" x14ac:dyDescent="0.25">
      <c r="A762" s="61" t="s">
        <v>855</v>
      </c>
      <c r="B762" s="91">
        <v>42330</v>
      </c>
      <c r="C762" s="92" t="s">
        <v>1854</v>
      </c>
      <c r="D762" s="92" t="s">
        <v>1395</v>
      </c>
      <c r="E762" s="92" t="s">
        <v>1198</v>
      </c>
      <c r="F762" s="92" t="s">
        <v>1235</v>
      </c>
      <c r="G762" s="92" t="s">
        <v>1200</v>
      </c>
      <c r="H762" s="92" t="s">
        <v>1236</v>
      </c>
      <c r="I762" s="92" t="s">
        <v>1237</v>
      </c>
      <c r="J762" s="92" t="s">
        <v>1396</v>
      </c>
      <c r="K762" s="92" t="s">
        <v>1243</v>
      </c>
      <c r="L762" s="92" t="s">
        <v>1244</v>
      </c>
      <c r="M762" s="92" t="s">
        <v>1241</v>
      </c>
      <c r="N762" s="91">
        <v>42331</v>
      </c>
      <c r="O762" s="93">
        <v>1.53</v>
      </c>
      <c r="P762" s="93">
        <v>2.78</v>
      </c>
      <c r="Q762" s="94">
        <v>21</v>
      </c>
      <c r="R762" s="93">
        <f t="shared" si="44"/>
        <v>58.379999999999995</v>
      </c>
      <c r="S762" s="95">
        <v>0.06</v>
      </c>
      <c r="T762" s="96">
        <f t="shared" si="45"/>
        <v>3.5027999999999997</v>
      </c>
      <c r="U762" s="96">
        <f t="shared" si="46"/>
        <v>58.319999999999993</v>
      </c>
      <c r="V762" s="93">
        <v>1.34</v>
      </c>
      <c r="W762" s="97">
        <f t="shared" si="47"/>
        <v>59.66</v>
      </c>
    </row>
    <row r="763" spans="1:23" x14ac:dyDescent="0.25">
      <c r="A763" s="61" t="s">
        <v>856</v>
      </c>
      <c r="B763" s="91">
        <v>42332</v>
      </c>
      <c r="C763" s="92" t="s">
        <v>1676</v>
      </c>
      <c r="D763" s="92" t="s">
        <v>1581</v>
      </c>
      <c r="E763" s="92" t="s">
        <v>1199</v>
      </c>
      <c r="F763" s="92" t="s">
        <v>1254</v>
      </c>
      <c r="G763" s="92" t="s">
        <v>1201</v>
      </c>
      <c r="H763" s="92" t="s">
        <v>1274</v>
      </c>
      <c r="I763" s="92" t="s">
        <v>1248</v>
      </c>
      <c r="J763" s="92" t="s">
        <v>1391</v>
      </c>
      <c r="K763" s="92" t="s">
        <v>1239</v>
      </c>
      <c r="L763" s="92" t="s">
        <v>1260</v>
      </c>
      <c r="M763" s="92" t="s">
        <v>1241</v>
      </c>
      <c r="N763" s="91">
        <v>42332</v>
      </c>
      <c r="O763" s="93">
        <v>39.64</v>
      </c>
      <c r="P763" s="93">
        <v>152.47999999999999</v>
      </c>
      <c r="Q763" s="94">
        <v>17</v>
      </c>
      <c r="R763" s="93">
        <f t="shared" si="44"/>
        <v>2592.16</v>
      </c>
      <c r="S763" s="95">
        <v>0.04</v>
      </c>
      <c r="T763" s="96">
        <f t="shared" si="45"/>
        <v>103.68639999999999</v>
      </c>
      <c r="U763" s="96">
        <f t="shared" si="46"/>
        <v>2592.12</v>
      </c>
      <c r="V763" s="93">
        <v>6.5</v>
      </c>
      <c r="W763" s="97">
        <f t="shared" si="47"/>
        <v>2598.62</v>
      </c>
    </row>
    <row r="764" spans="1:23" x14ac:dyDescent="0.25">
      <c r="A764" s="61" t="s">
        <v>857</v>
      </c>
      <c r="B764" s="91">
        <v>42336</v>
      </c>
      <c r="C764" s="92" t="s">
        <v>1975</v>
      </c>
      <c r="D764" s="92" t="s">
        <v>1544</v>
      </c>
      <c r="E764" s="92" t="s">
        <v>1198</v>
      </c>
      <c r="F764" s="92" t="s">
        <v>1235</v>
      </c>
      <c r="G764" s="92" t="s">
        <v>1201</v>
      </c>
      <c r="H764" s="92" t="s">
        <v>1409</v>
      </c>
      <c r="I764" s="92" t="s">
        <v>1264</v>
      </c>
      <c r="J764" s="92" t="s">
        <v>1265</v>
      </c>
      <c r="K764" s="92" t="s">
        <v>1243</v>
      </c>
      <c r="L764" s="92" t="s">
        <v>1244</v>
      </c>
      <c r="M764" s="92" t="s">
        <v>1241</v>
      </c>
      <c r="N764" s="91">
        <v>42338</v>
      </c>
      <c r="O764" s="93">
        <v>3.88</v>
      </c>
      <c r="P764" s="93">
        <v>6.47</v>
      </c>
      <c r="Q764" s="94">
        <v>16</v>
      </c>
      <c r="R764" s="93">
        <f t="shared" si="44"/>
        <v>103.52</v>
      </c>
      <c r="S764" s="95">
        <v>0.01</v>
      </c>
      <c r="T764" s="96">
        <f t="shared" si="45"/>
        <v>1.0351999999999999</v>
      </c>
      <c r="U764" s="96">
        <f t="shared" si="46"/>
        <v>103.50999999999999</v>
      </c>
      <c r="V764" s="93">
        <v>1.22</v>
      </c>
      <c r="W764" s="97">
        <f t="shared" si="47"/>
        <v>104.72999999999999</v>
      </c>
    </row>
    <row r="765" spans="1:23" x14ac:dyDescent="0.25">
      <c r="A765" s="61" t="s">
        <v>858</v>
      </c>
      <c r="B765" s="91">
        <v>42336</v>
      </c>
      <c r="C765" s="92" t="s">
        <v>1873</v>
      </c>
      <c r="D765" s="92" t="s">
        <v>1532</v>
      </c>
      <c r="E765" s="92" t="s">
        <v>1198</v>
      </c>
      <c r="F765" s="92" t="s">
        <v>1235</v>
      </c>
      <c r="G765" s="92" t="s">
        <v>1200</v>
      </c>
      <c r="H765" s="92" t="s">
        <v>1263</v>
      </c>
      <c r="I765" s="92" t="s">
        <v>1264</v>
      </c>
      <c r="J765" s="92" t="s">
        <v>1297</v>
      </c>
      <c r="K765" s="92" t="s">
        <v>1243</v>
      </c>
      <c r="L765" s="92" t="s">
        <v>1244</v>
      </c>
      <c r="M765" s="92" t="s">
        <v>1241</v>
      </c>
      <c r="N765" s="91">
        <v>42339</v>
      </c>
      <c r="O765" s="93">
        <v>2.59</v>
      </c>
      <c r="P765" s="93">
        <v>3.98</v>
      </c>
      <c r="Q765" s="94">
        <v>11</v>
      </c>
      <c r="R765" s="93">
        <f t="shared" si="44"/>
        <v>43.78</v>
      </c>
      <c r="S765" s="95">
        <v>7.0000000000000007E-2</v>
      </c>
      <c r="T765" s="96">
        <f t="shared" si="45"/>
        <v>3.0646000000000004</v>
      </c>
      <c r="U765" s="96">
        <f t="shared" si="46"/>
        <v>43.71</v>
      </c>
      <c r="V765" s="93">
        <v>2.97</v>
      </c>
      <c r="W765" s="97">
        <f t="shared" si="47"/>
        <v>46.68</v>
      </c>
    </row>
    <row r="766" spans="1:23" x14ac:dyDescent="0.25">
      <c r="A766" s="61" t="s">
        <v>859</v>
      </c>
      <c r="B766" s="91">
        <v>42338</v>
      </c>
      <c r="C766" s="92" t="s">
        <v>1634</v>
      </c>
      <c r="D766" s="92" t="s">
        <v>1572</v>
      </c>
      <c r="E766" s="92" t="s">
        <v>1199</v>
      </c>
      <c r="F766" s="92" t="s">
        <v>1254</v>
      </c>
      <c r="G766" s="92" t="s">
        <v>1200</v>
      </c>
      <c r="H766" s="92" t="s">
        <v>1274</v>
      </c>
      <c r="I766" s="92" t="s">
        <v>1317</v>
      </c>
      <c r="J766" s="92" t="s">
        <v>1436</v>
      </c>
      <c r="K766" s="92" t="s">
        <v>1243</v>
      </c>
      <c r="L766" s="92" t="s">
        <v>1260</v>
      </c>
      <c r="M766" s="92" t="s">
        <v>1241</v>
      </c>
      <c r="N766" s="91">
        <v>42339</v>
      </c>
      <c r="O766" s="93">
        <v>36.020000000000003</v>
      </c>
      <c r="P766" s="93">
        <v>58.1</v>
      </c>
      <c r="Q766" s="94">
        <v>27</v>
      </c>
      <c r="R766" s="93">
        <f t="shared" si="44"/>
        <v>1568.7</v>
      </c>
      <c r="S766" s="95">
        <v>7.0000000000000007E-2</v>
      </c>
      <c r="T766" s="96">
        <f t="shared" si="45"/>
        <v>109.80900000000001</v>
      </c>
      <c r="U766" s="96">
        <f t="shared" si="46"/>
        <v>1568.63</v>
      </c>
      <c r="V766" s="93">
        <v>1.49</v>
      </c>
      <c r="W766" s="97">
        <f t="shared" si="47"/>
        <v>1570.1200000000001</v>
      </c>
    </row>
    <row r="767" spans="1:23" x14ac:dyDescent="0.25">
      <c r="A767" s="61" t="s">
        <v>860</v>
      </c>
      <c r="B767" s="91">
        <v>42338</v>
      </c>
      <c r="C767" s="92" t="s">
        <v>1976</v>
      </c>
      <c r="D767" s="92" t="s">
        <v>1640</v>
      </c>
      <c r="E767" s="92" t="s">
        <v>1198</v>
      </c>
      <c r="F767" s="92" t="s">
        <v>1235</v>
      </c>
      <c r="G767" s="92" t="s">
        <v>1200</v>
      </c>
      <c r="H767" s="92" t="s">
        <v>1263</v>
      </c>
      <c r="I767" s="92" t="s">
        <v>1256</v>
      </c>
      <c r="J767" s="92" t="s">
        <v>1374</v>
      </c>
      <c r="K767" s="92" t="s">
        <v>1243</v>
      </c>
      <c r="L767" s="92" t="s">
        <v>1244</v>
      </c>
      <c r="M767" s="92" t="s">
        <v>1241</v>
      </c>
      <c r="N767" s="91">
        <v>42339</v>
      </c>
      <c r="O767" s="93">
        <v>4.37</v>
      </c>
      <c r="P767" s="93">
        <v>9.11</v>
      </c>
      <c r="Q767" s="94">
        <v>30</v>
      </c>
      <c r="R767" s="93">
        <f t="shared" si="44"/>
        <v>273.29999999999995</v>
      </c>
      <c r="S767" s="95">
        <v>0.03</v>
      </c>
      <c r="T767" s="96">
        <f t="shared" si="45"/>
        <v>8.1989999999999981</v>
      </c>
      <c r="U767" s="96">
        <f t="shared" si="46"/>
        <v>273.27</v>
      </c>
      <c r="V767" s="93">
        <v>2.25</v>
      </c>
      <c r="W767" s="97">
        <f t="shared" si="47"/>
        <v>275.52</v>
      </c>
    </row>
    <row r="768" spans="1:23" x14ac:dyDescent="0.25">
      <c r="A768" s="61" t="s">
        <v>861</v>
      </c>
      <c r="B768" s="91">
        <v>42342</v>
      </c>
      <c r="C768" s="92" t="s">
        <v>1761</v>
      </c>
      <c r="D768" s="92" t="s">
        <v>1308</v>
      </c>
      <c r="E768" s="92" t="s">
        <v>1198</v>
      </c>
      <c r="F768" s="92" t="s">
        <v>1235</v>
      </c>
      <c r="G768" s="92" t="s">
        <v>1201</v>
      </c>
      <c r="H768" s="92" t="s">
        <v>1247</v>
      </c>
      <c r="I768" s="92" t="s">
        <v>1317</v>
      </c>
      <c r="J768" s="92" t="s">
        <v>1773</v>
      </c>
      <c r="K768" s="92" t="s">
        <v>1243</v>
      </c>
      <c r="L768" s="92" t="s">
        <v>1260</v>
      </c>
      <c r="M768" s="92" t="s">
        <v>1241</v>
      </c>
      <c r="N768" s="91">
        <v>42343</v>
      </c>
      <c r="O768" s="93">
        <v>1.84</v>
      </c>
      <c r="P768" s="93">
        <v>2.88</v>
      </c>
      <c r="Q768" s="94">
        <v>28</v>
      </c>
      <c r="R768" s="93">
        <f t="shared" si="44"/>
        <v>80.64</v>
      </c>
      <c r="S768" s="95">
        <v>0.1</v>
      </c>
      <c r="T768" s="96">
        <f t="shared" si="45"/>
        <v>8.0640000000000001</v>
      </c>
      <c r="U768" s="96">
        <f t="shared" si="46"/>
        <v>80.540000000000006</v>
      </c>
      <c r="V768" s="93">
        <v>0.99</v>
      </c>
      <c r="W768" s="97">
        <f t="shared" si="47"/>
        <v>81.53</v>
      </c>
    </row>
    <row r="769" spans="1:23" x14ac:dyDescent="0.25">
      <c r="A769" s="61" t="s">
        <v>862</v>
      </c>
      <c r="B769" s="91">
        <v>42344</v>
      </c>
      <c r="C769" s="92" t="s">
        <v>1889</v>
      </c>
      <c r="D769" s="92" t="s">
        <v>1451</v>
      </c>
      <c r="E769" s="92" t="s">
        <v>1198</v>
      </c>
      <c r="F769" s="92" t="s">
        <v>1235</v>
      </c>
      <c r="G769" s="92" t="s">
        <v>1200</v>
      </c>
      <c r="H769" s="92" t="s">
        <v>1291</v>
      </c>
      <c r="I769" s="92" t="s">
        <v>1248</v>
      </c>
      <c r="J769" s="92" t="s">
        <v>1396</v>
      </c>
      <c r="K769" s="92" t="s">
        <v>1243</v>
      </c>
      <c r="L769" s="92" t="s">
        <v>1244</v>
      </c>
      <c r="M769" s="92" t="s">
        <v>1241</v>
      </c>
      <c r="N769" s="91">
        <v>42346</v>
      </c>
      <c r="O769" s="93">
        <v>1.17</v>
      </c>
      <c r="P769" s="93">
        <v>2.78</v>
      </c>
      <c r="Q769" s="94">
        <v>39</v>
      </c>
      <c r="R769" s="93">
        <f t="shared" si="44"/>
        <v>108.41999999999999</v>
      </c>
      <c r="S769" s="95">
        <v>0.05</v>
      </c>
      <c r="T769" s="96">
        <f t="shared" si="45"/>
        <v>5.4209999999999994</v>
      </c>
      <c r="U769" s="96">
        <f t="shared" si="46"/>
        <v>108.36999999999999</v>
      </c>
      <c r="V769" s="93">
        <v>1.2</v>
      </c>
      <c r="W769" s="97">
        <f t="shared" si="47"/>
        <v>109.57</v>
      </c>
    </row>
    <row r="770" spans="1:23" x14ac:dyDescent="0.25">
      <c r="A770" s="61" t="s">
        <v>863</v>
      </c>
      <c r="B770" s="91">
        <v>42344</v>
      </c>
      <c r="C770" s="92" t="s">
        <v>1977</v>
      </c>
      <c r="D770" s="92" t="s">
        <v>1458</v>
      </c>
      <c r="E770" s="92" t="s">
        <v>1198</v>
      </c>
      <c r="F770" s="92" t="s">
        <v>1235</v>
      </c>
      <c r="G770" s="92" t="s">
        <v>1200</v>
      </c>
      <c r="H770" s="92" t="s">
        <v>1404</v>
      </c>
      <c r="I770" s="92" t="s">
        <v>1256</v>
      </c>
      <c r="J770" s="92" t="s">
        <v>1324</v>
      </c>
      <c r="K770" s="92" t="s">
        <v>1243</v>
      </c>
      <c r="L770" s="92" t="s">
        <v>1260</v>
      </c>
      <c r="M770" s="92" t="s">
        <v>1241</v>
      </c>
      <c r="N770" s="91">
        <v>42345</v>
      </c>
      <c r="O770" s="93">
        <v>1.18</v>
      </c>
      <c r="P770" s="93">
        <v>1.88</v>
      </c>
      <c r="Q770" s="94">
        <v>20</v>
      </c>
      <c r="R770" s="93">
        <f t="shared" si="44"/>
        <v>37.599999999999994</v>
      </c>
      <c r="S770" s="95">
        <v>7.0000000000000007E-2</v>
      </c>
      <c r="T770" s="96">
        <f t="shared" si="45"/>
        <v>2.6319999999999997</v>
      </c>
      <c r="U770" s="96">
        <f t="shared" si="46"/>
        <v>37.529999999999994</v>
      </c>
      <c r="V770" s="93">
        <v>1.49</v>
      </c>
      <c r="W770" s="97">
        <f t="shared" si="47"/>
        <v>39.019999999999996</v>
      </c>
    </row>
    <row r="771" spans="1:23" x14ac:dyDescent="0.25">
      <c r="A771" s="61" t="s">
        <v>864</v>
      </c>
      <c r="B771" s="91">
        <v>42346</v>
      </c>
      <c r="C771" s="92" t="s">
        <v>1594</v>
      </c>
      <c r="D771" s="92" t="s">
        <v>1278</v>
      </c>
      <c r="E771" s="92" t="s">
        <v>1198</v>
      </c>
      <c r="F771" s="92" t="s">
        <v>1235</v>
      </c>
      <c r="G771" s="92" t="s">
        <v>1200</v>
      </c>
      <c r="H771" s="92" t="s">
        <v>1236</v>
      </c>
      <c r="I771" s="92" t="s">
        <v>1248</v>
      </c>
      <c r="J771" s="92" t="s">
        <v>1314</v>
      </c>
      <c r="K771" s="92" t="s">
        <v>1243</v>
      </c>
      <c r="L771" s="92" t="s">
        <v>1244</v>
      </c>
      <c r="M771" s="92" t="s">
        <v>1241</v>
      </c>
      <c r="N771" s="91">
        <v>42350</v>
      </c>
      <c r="O771" s="93">
        <v>1.6</v>
      </c>
      <c r="P771" s="93">
        <v>2.62</v>
      </c>
      <c r="Q771" s="94">
        <v>26</v>
      </c>
      <c r="R771" s="93">
        <f t="shared" si="44"/>
        <v>68.12</v>
      </c>
      <c r="S771" s="95">
        <v>0.08</v>
      </c>
      <c r="T771" s="96">
        <f t="shared" si="45"/>
        <v>5.4496000000000002</v>
      </c>
      <c r="U771" s="96">
        <f t="shared" si="46"/>
        <v>68.040000000000006</v>
      </c>
      <c r="V771" s="93">
        <v>0.8</v>
      </c>
      <c r="W771" s="97">
        <f t="shared" si="47"/>
        <v>68.84</v>
      </c>
    </row>
    <row r="772" spans="1:23" x14ac:dyDescent="0.25">
      <c r="A772" s="61" t="s">
        <v>865</v>
      </c>
      <c r="B772" s="91">
        <v>42347</v>
      </c>
      <c r="C772" s="92" t="s">
        <v>1459</v>
      </c>
      <c r="D772" s="92" t="s">
        <v>1388</v>
      </c>
      <c r="E772" s="92" t="s">
        <v>1199</v>
      </c>
      <c r="F772" s="92" t="s">
        <v>1254</v>
      </c>
      <c r="G772" s="92" t="s">
        <v>1200</v>
      </c>
      <c r="H772" s="92" t="s">
        <v>1255</v>
      </c>
      <c r="I772" s="92" t="s">
        <v>1317</v>
      </c>
      <c r="J772" s="92" t="s">
        <v>1352</v>
      </c>
      <c r="K772" s="92" t="s">
        <v>1243</v>
      </c>
      <c r="L772" s="92" t="s">
        <v>1244</v>
      </c>
      <c r="M772" s="92" t="s">
        <v>1241</v>
      </c>
      <c r="N772" s="91">
        <v>42347</v>
      </c>
      <c r="O772" s="93">
        <v>1.0900000000000001</v>
      </c>
      <c r="P772" s="93">
        <v>2.6</v>
      </c>
      <c r="Q772" s="94">
        <v>14</v>
      </c>
      <c r="R772" s="93">
        <f t="shared" si="44"/>
        <v>36.4</v>
      </c>
      <c r="S772" s="95">
        <v>0.08</v>
      </c>
      <c r="T772" s="96">
        <f t="shared" si="45"/>
        <v>2.9119999999999999</v>
      </c>
      <c r="U772" s="96">
        <f t="shared" si="46"/>
        <v>36.32</v>
      </c>
      <c r="V772" s="93">
        <v>2.4</v>
      </c>
      <c r="W772" s="97">
        <f t="shared" si="47"/>
        <v>38.72</v>
      </c>
    </row>
    <row r="773" spans="1:23" x14ac:dyDescent="0.25">
      <c r="A773" s="61" t="s">
        <v>866</v>
      </c>
      <c r="B773" s="91">
        <v>42347</v>
      </c>
      <c r="C773" s="92" t="s">
        <v>1387</v>
      </c>
      <c r="D773" s="92" t="s">
        <v>1388</v>
      </c>
      <c r="E773" s="92" t="s">
        <v>1199</v>
      </c>
      <c r="F773" s="92" t="s">
        <v>1254</v>
      </c>
      <c r="G773" s="92" t="s">
        <v>1203</v>
      </c>
      <c r="H773" s="92" t="s">
        <v>1255</v>
      </c>
      <c r="I773" s="92" t="s">
        <v>1237</v>
      </c>
      <c r="J773" s="92" t="s">
        <v>1978</v>
      </c>
      <c r="K773" s="92" t="s">
        <v>1243</v>
      </c>
      <c r="L773" s="92" t="s">
        <v>1244</v>
      </c>
      <c r="M773" s="92" t="s">
        <v>1250</v>
      </c>
      <c r="N773" s="91">
        <v>42348</v>
      </c>
      <c r="O773" s="93">
        <v>0.32</v>
      </c>
      <c r="P773" s="93">
        <v>1.68</v>
      </c>
      <c r="Q773" s="94">
        <v>6</v>
      </c>
      <c r="R773" s="93">
        <f t="shared" ref="R773:R836" si="48">P773*Q773</f>
        <v>10.08</v>
      </c>
      <c r="S773" s="95">
        <v>0.05</v>
      </c>
      <c r="T773" s="96">
        <f t="shared" ref="T773:T836" si="49">R773*S773</f>
        <v>0.504</v>
      </c>
      <c r="U773" s="96">
        <f t="shared" ref="U773:U836" si="50">R773-S773</f>
        <v>10.029999999999999</v>
      </c>
      <c r="V773" s="93">
        <v>1.02</v>
      </c>
      <c r="W773" s="97">
        <f t="shared" ref="W773:W836" si="51">U773+V773</f>
        <v>11.049999999999999</v>
      </c>
    </row>
    <row r="774" spans="1:23" x14ac:dyDescent="0.25">
      <c r="A774" s="61" t="s">
        <v>867</v>
      </c>
      <c r="B774" s="91">
        <v>42348</v>
      </c>
      <c r="C774" s="92" t="s">
        <v>1865</v>
      </c>
      <c r="D774" s="92" t="s">
        <v>1636</v>
      </c>
      <c r="E774" s="92" t="s">
        <v>1198</v>
      </c>
      <c r="F774" s="92" t="s">
        <v>1235</v>
      </c>
      <c r="G774" s="92" t="s">
        <v>1200</v>
      </c>
      <c r="H774" s="92" t="s">
        <v>1409</v>
      </c>
      <c r="I774" s="92" t="s">
        <v>1264</v>
      </c>
      <c r="J774" s="92" t="s">
        <v>1512</v>
      </c>
      <c r="K774" s="92" t="s">
        <v>1239</v>
      </c>
      <c r="L774" s="92" t="s">
        <v>1260</v>
      </c>
      <c r="M774" s="92" t="s">
        <v>1250</v>
      </c>
      <c r="N774" s="91">
        <v>42350</v>
      </c>
      <c r="O774" s="93">
        <v>156.5</v>
      </c>
      <c r="P774" s="93">
        <v>300.97000000000003</v>
      </c>
      <c r="Q774" s="94">
        <v>8</v>
      </c>
      <c r="R774" s="93">
        <f t="shared" si="48"/>
        <v>2407.7600000000002</v>
      </c>
      <c r="S774" s="95">
        <v>0.05</v>
      </c>
      <c r="T774" s="96">
        <f t="shared" si="49"/>
        <v>120.38800000000002</v>
      </c>
      <c r="U774" s="96">
        <f t="shared" si="50"/>
        <v>2407.71</v>
      </c>
      <c r="V774" s="93">
        <v>7.18</v>
      </c>
      <c r="W774" s="97">
        <f t="shared" si="51"/>
        <v>2414.89</v>
      </c>
    </row>
    <row r="775" spans="1:23" x14ac:dyDescent="0.25">
      <c r="A775" s="61" t="s">
        <v>868</v>
      </c>
      <c r="B775" s="91">
        <v>42354</v>
      </c>
      <c r="C775" s="92" t="s">
        <v>1850</v>
      </c>
      <c r="D775" s="92" t="s">
        <v>1246</v>
      </c>
      <c r="E775" s="92" t="s">
        <v>1198</v>
      </c>
      <c r="F775" s="92" t="s">
        <v>1235</v>
      </c>
      <c r="G775" s="92" t="s">
        <v>1202</v>
      </c>
      <c r="H775" s="92" t="s">
        <v>1247</v>
      </c>
      <c r="I775" s="92" t="s">
        <v>1237</v>
      </c>
      <c r="J775" s="92" t="s">
        <v>1421</v>
      </c>
      <c r="K775" s="92" t="s">
        <v>1243</v>
      </c>
      <c r="L775" s="92" t="s">
        <v>1260</v>
      </c>
      <c r="M775" s="92" t="s">
        <v>1241</v>
      </c>
      <c r="N775" s="91">
        <v>42355</v>
      </c>
      <c r="O775" s="93">
        <v>99.39</v>
      </c>
      <c r="P775" s="93">
        <v>162.93</v>
      </c>
      <c r="Q775" s="94">
        <v>41</v>
      </c>
      <c r="R775" s="93">
        <f t="shared" si="48"/>
        <v>6680.13</v>
      </c>
      <c r="S775" s="95">
        <v>0.01</v>
      </c>
      <c r="T775" s="96">
        <f t="shared" si="49"/>
        <v>66.801299999999998</v>
      </c>
      <c r="U775" s="96">
        <f t="shared" si="50"/>
        <v>6680.12</v>
      </c>
      <c r="V775" s="93">
        <v>19.989999999999998</v>
      </c>
      <c r="W775" s="97">
        <f t="shared" si="51"/>
        <v>6700.11</v>
      </c>
    </row>
    <row r="776" spans="1:23" x14ac:dyDescent="0.25">
      <c r="A776" s="61" t="s">
        <v>869</v>
      </c>
      <c r="B776" s="91">
        <v>42357</v>
      </c>
      <c r="C776" s="92" t="s">
        <v>1418</v>
      </c>
      <c r="D776" s="92" t="s">
        <v>1412</v>
      </c>
      <c r="E776" s="92" t="s">
        <v>1199</v>
      </c>
      <c r="F776" s="92" t="s">
        <v>1254</v>
      </c>
      <c r="G776" s="92" t="s">
        <v>1203</v>
      </c>
      <c r="H776" s="92" t="s">
        <v>1274</v>
      </c>
      <c r="I776" s="92" t="s">
        <v>1256</v>
      </c>
      <c r="J776" s="92" t="s">
        <v>1249</v>
      </c>
      <c r="K776" s="92" t="s">
        <v>1243</v>
      </c>
      <c r="L776" s="92" t="s">
        <v>1244</v>
      </c>
      <c r="M776" s="92" t="s">
        <v>1241</v>
      </c>
      <c r="N776" s="91">
        <v>42359</v>
      </c>
      <c r="O776" s="93">
        <v>3.32</v>
      </c>
      <c r="P776" s="93">
        <v>5.18</v>
      </c>
      <c r="Q776" s="94">
        <v>25</v>
      </c>
      <c r="R776" s="93">
        <f t="shared" si="48"/>
        <v>129.5</v>
      </c>
      <c r="S776" s="95">
        <v>0.1</v>
      </c>
      <c r="T776" s="96">
        <f t="shared" si="49"/>
        <v>12.950000000000001</v>
      </c>
      <c r="U776" s="96">
        <f t="shared" si="50"/>
        <v>129.4</v>
      </c>
      <c r="V776" s="93">
        <v>2.04</v>
      </c>
      <c r="W776" s="97">
        <f t="shared" si="51"/>
        <v>131.44</v>
      </c>
    </row>
    <row r="777" spans="1:23" x14ac:dyDescent="0.25">
      <c r="A777" s="61" t="s">
        <v>870</v>
      </c>
      <c r="B777" s="91">
        <v>42357</v>
      </c>
      <c r="C777" s="92" t="s">
        <v>1840</v>
      </c>
      <c r="D777" s="92" t="s">
        <v>1303</v>
      </c>
      <c r="E777" s="92" t="s">
        <v>1198</v>
      </c>
      <c r="F777" s="92" t="s">
        <v>1235</v>
      </c>
      <c r="G777" s="92" t="s">
        <v>1200</v>
      </c>
      <c r="H777" s="92" t="s">
        <v>1304</v>
      </c>
      <c r="I777" s="92" t="s">
        <v>1264</v>
      </c>
      <c r="J777" s="92" t="s">
        <v>1384</v>
      </c>
      <c r="K777" s="92" t="s">
        <v>1243</v>
      </c>
      <c r="L777" s="92" t="s">
        <v>1260</v>
      </c>
      <c r="M777" s="92" t="s">
        <v>1241</v>
      </c>
      <c r="N777" s="91">
        <v>42359</v>
      </c>
      <c r="O777" s="93">
        <v>4.46</v>
      </c>
      <c r="P777" s="93">
        <v>10.89</v>
      </c>
      <c r="Q777" s="94">
        <v>30</v>
      </c>
      <c r="R777" s="93">
        <f t="shared" si="48"/>
        <v>326.70000000000005</v>
      </c>
      <c r="S777" s="95">
        <v>0.08</v>
      </c>
      <c r="T777" s="96">
        <f t="shared" si="49"/>
        <v>26.136000000000003</v>
      </c>
      <c r="U777" s="96">
        <f t="shared" si="50"/>
        <v>326.62000000000006</v>
      </c>
      <c r="V777" s="93">
        <v>4.5</v>
      </c>
      <c r="W777" s="97">
        <f t="shared" si="51"/>
        <v>331.12000000000006</v>
      </c>
    </row>
    <row r="778" spans="1:23" x14ac:dyDescent="0.25">
      <c r="A778" s="61" t="s">
        <v>871</v>
      </c>
      <c r="B778" s="91">
        <v>42360</v>
      </c>
      <c r="C778" s="92" t="s">
        <v>1605</v>
      </c>
      <c r="D778" s="92" t="s">
        <v>1268</v>
      </c>
      <c r="E778" s="92" t="s">
        <v>1198</v>
      </c>
      <c r="F778" s="92" t="s">
        <v>1235</v>
      </c>
      <c r="G778" s="92" t="s">
        <v>1203</v>
      </c>
      <c r="H778" s="92" t="s">
        <v>1269</v>
      </c>
      <c r="I778" s="92" t="s">
        <v>1256</v>
      </c>
      <c r="J778" s="92" t="s">
        <v>1327</v>
      </c>
      <c r="K778" s="92" t="s">
        <v>1239</v>
      </c>
      <c r="L778" s="92" t="s">
        <v>1260</v>
      </c>
      <c r="M778" s="92" t="s">
        <v>1241</v>
      </c>
      <c r="N778" s="91">
        <v>42362</v>
      </c>
      <c r="O778" s="93">
        <v>19.78</v>
      </c>
      <c r="P778" s="93">
        <v>45.99</v>
      </c>
      <c r="Q778" s="94">
        <v>11</v>
      </c>
      <c r="R778" s="93">
        <f t="shared" si="48"/>
        <v>505.89000000000004</v>
      </c>
      <c r="S778" s="95">
        <v>7.0000000000000007E-2</v>
      </c>
      <c r="T778" s="96">
        <f t="shared" si="49"/>
        <v>35.412300000000009</v>
      </c>
      <c r="U778" s="96">
        <f t="shared" si="50"/>
        <v>505.82000000000005</v>
      </c>
      <c r="V778" s="93">
        <v>4.99</v>
      </c>
      <c r="W778" s="97">
        <f t="shared" si="51"/>
        <v>510.81000000000006</v>
      </c>
    </row>
    <row r="779" spans="1:23" x14ac:dyDescent="0.25">
      <c r="A779" s="61" t="s">
        <v>872</v>
      </c>
      <c r="B779" s="91">
        <v>42362</v>
      </c>
      <c r="C779" s="92" t="s">
        <v>1664</v>
      </c>
      <c r="D779" s="92" t="s">
        <v>1246</v>
      </c>
      <c r="E779" s="92" t="s">
        <v>1198</v>
      </c>
      <c r="F779" s="92" t="s">
        <v>1235</v>
      </c>
      <c r="G779" s="92" t="s">
        <v>1200</v>
      </c>
      <c r="H779" s="92" t="s">
        <v>1247</v>
      </c>
      <c r="I779" s="92" t="s">
        <v>1264</v>
      </c>
      <c r="J779" s="92" t="s">
        <v>1324</v>
      </c>
      <c r="K779" s="92" t="s">
        <v>1243</v>
      </c>
      <c r="L779" s="92" t="s">
        <v>1260</v>
      </c>
      <c r="M779" s="92" t="s">
        <v>1241</v>
      </c>
      <c r="N779" s="91">
        <v>42364</v>
      </c>
      <c r="O779" s="93">
        <v>1.18</v>
      </c>
      <c r="P779" s="93">
        <v>1.88</v>
      </c>
      <c r="Q779" s="94">
        <v>39</v>
      </c>
      <c r="R779" s="93">
        <f t="shared" si="48"/>
        <v>73.319999999999993</v>
      </c>
      <c r="S779" s="95">
        <v>7.0000000000000007E-2</v>
      </c>
      <c r="T779" s="96">
        <f t="shared" si="49"/>
        <v>5.1323999999999996</v>
      </c>
      <c r="U779" s="96">
        <f t="shared" si="50"/>
        <v>73.25</v>
      </c>
      <c r="V779" s="93">
        <v>1.49</v>
      </c>
      <c r="W779" s="97">
        <f t="shared" si="51"/>
        <v>74.739999999999995</v>
      </c>
    </row>
    <row r="780" spans="1:23" x14ac:dyDescent="0.25">
      <c r="A780" s="61" t="s">
        <v>873</v>
      </c>
      <c r="B780" s="91">
        <v>42363</v>
      </c>
      <c r="C780" s="92" t="s">
        <v>1783</v>
      </c>
      <c r="D780" s="92" t="s">
        <v>1544</v>
      </c>
      <c r="E780" s="92" t="s">
        <v>1198</v>
      </c>
      <c r="F780" s="92" t="s">
        <v>1235</v>
      </c>
      <c r="G780" s="92" t="s">
        <v>1200</v>
      </c>
      <c r="H780" s="92" t="s">
        <v>1409</v>
      </c>
      <c r="I780" s="92" t="s">
        <v>1248</v>
      </c>
      <c r="J780" s="92" t="s">
        <v>1295</v>
      </c>
      <c r="K780" s="92" t="s">
        <v>1239</v>
      </c>
      <c r="L780" s="92" t="s">
        <v>1296</v>
      </c>
      <c r="M780" s="92" t="s">
        <v>1241</v>
      </c>
      <c r="N780" s="91">
        <v>42370</v>
      </c>
      <c r="O780" s="93">
        <v>377.99</v>
      </c>
      <c r="P780" s="93">
        <v>599.99</v>
      </c>
      <c r="Q780" s="94">
        <v>17</v>
      </c>
      <c r="R780" s="93">
        <f t="shared" si="48"/>
        <v>10199.83</v>
      </c>
      <c r="S780" s="95">
        <v>0.08</v>
      </c>
      <c r="T780" s="96">
        <f t="shared" si="49"/>
        <v>815.9864</v>
      </c>
      <c r="U780" s="96">
        <f t="shared" si="50"/>
        <v>10199.75</v>
      </c>
      <c r="V780" s="93">
        <v>24.49</v>
      </c>
      <c r="W780" s="97">
        <f t="shared" si="51"/>
        <v>10224.24</v>
      </c>
    </row>
    <row r="781" spans="1:23" x14ac:dyDescent="0.25">
      <c r="A781" s="61" t="s">
        <v>874</v>
      </c>
      <c r="B781" s="91">
        <v>42363</v>
      </c>
      <c r="C781" s="92" t="s">
        <v>1568</v>
      </c>
      <c r="D781" s="92" t="s">
        <v>1494</v>
      </c>
      <c r="E781" s="92" t="s">
        <v>1198</v>
      </c>
      <c r="F781" s="92" t="s">
        <v>1235</v>
      </c>
      <c r="G781" s="92" t="s">
        <v>1200</v>
      </c>
      <c r="H781" s="92" t="s">
        <v>1236</v>
      </c>
      <c r="I781" s="92" t="s">
        <v>1317</v>
      </c>
      <c r="J781" s="92" t="s">
        <v>1423</v>
      </c>
      <c r="K781" s="92" t="s">
        <v>1243</v>
      </c>
      <c r="L781" s="92" t="s">
        <v>1244</v>
      </c>
      <c r="M781" s="92" t="s">
        <v>1241</v>
      </c>
      <c r="N781" s="91">
        <v>42364</v>
      </c>
      <c r="O781" s="93">
        <v>1.0900000000000001</v>
      </c>
      <c r="P781" s="93">
        <v>1.68</v>
      </c>
      <c r="Q781" s="94">
        <v>24</v>
      </c>
      <c r="R781" s="93">
        <f t="shared" si="48"/>
        <v>40.32</v>
      </c>
      <c r="S781" s="95">
        <v>0.05</v>
      </c>
      <c r="T781" s="96">
        <f t="shared" si="49"/>
        <v>2.016</v>
      </c>
      <c r="U781" s="96">
        <f t="shared" si="50"/>
        <v>40.270000000000003</v>
      </c>
      <c r="V781" s="93">
        <v>1</v>
      </c>
      <c r="W781" s="97">
        <f t="shared" si="51"/>
        <v>41.27</v>
      </c>
    </row>
    <row r="782" spans="1:23" x14ac:dyDescent="0.25">
      <c r="A782" s="61" t="s">
        <v>875</v>
      </c>
      <c r="B782" s="91">
        <v>42366</v>
      </c>
      <c r="C782" s="92" t="s">
        <v>1979</v>
      </c>
      <c r="D782" s="92" t="s">
        <v>1770</v>
      </c>
      <c r="E782" s="92" t="s">
        <v>1199</v>
      </c>
      <c r="F782" s="92" t="s">
        <v>1254</v>
      </c>
      <c r="G782" s="92" t="s">
        <v>1203</v>
      </c>
      <c r="H782" s="92" t="s">
        <v>1274</v>
      </c>
      <c r="I782" s="92" t="s">
        <v>1317</v>
      </c>
      <c r="J782" s="92" t="s">
        <v>1257</v>
      </c>
      <c r="K782" s="92" t="s">
        <v>1239</v>
      </c>
      <c r="L782" s="92" t="s">
        <v>1258</v>
      </c>
      <c r="M782" s="92" t="s">
        <v>1241</v>
      </c>
      <c r="N782" s="91">
        <v>42367</v>
      </c>
      <c r="O782" s="93">
        <v>8.82</v>
      </c>
      <c r="P782" s="93">
        <v>20.99</v>
      </c>
      <c r="Q782" s="94">
        <v>30</v>
      </c>
      <c r="R782" s="93">
        <f t="shared" si="48"/>
        <v>629.69999999999993</v>
      </c>
      <c r="S782" s="95">
        <v>0.03</v>
      </c>
      <c r="T782" s="96">
        <f t="shared" si="49"/>
        <v>18.890999999999998</v>
      </c>
      <c r="U782" s="96">
        <f t="shared" si="50"/>
        <v>629.66999999999996</v>
      </c>
      <c r="V782" s="93">
        <v>4.8099999999999996</v>
      </c>
      <c r="W782" s="97">
        <f t="shared" si="51"/>
        <v>634.4799999999999</v>
      </c>
    </row>
    <row r="783" spans="1:23" x14ac:dyDescent="0.25">
      <c r="A783" s="61" t="s">
        <v>876</v>
      </c>
      <c r="B783" s="91">
        <v>42366</v>
      </c>
      <c r="C783" s="92" t="s">
        <v>1755</v>
      </c>
      <c r="D783" s="92" t="s">
        <v>1511</v>
      </c>
      <c r="E783" s="92" t="s">
        <v>1198</v>
      </c>
      <c r="F783" s="92" t="s">
        <v>1235</v>
      </c>
      <c r="G783" s="92" t="s">
        <v>1201</v>
      </c>
      <c r="H783" s="92" t="s">
        <v>1236</v>
      </c>
      <c r="I783" s="92" t="s">
        <v>1264</v>
      </c>
      <c r="J783" s="92" t="s">
        <v>1324</v>
      </c>
      <c r="K783" s="92" t="s">
        <v>1243</v>
      </c>
      <c r="L783" s="92" t="s">
        <v>1260</v>
      </c>
      <c r="M783" s="92" t="s">
        <v>1241</v>
      </c>
      <c r="N783" s="91">
        <v>42368</v>
      </c>
      <c r="O783" s="93">
        <v>1.18</v>
      </c>
      <c r="P783" s="93">
        <v>1.88</v>
      </c>
      <c r="Q783" s="94">
        <v>1</v>
      </c>
      <c r="R783" s="93">
        <f t="shared" si="48"/>
        <v>1.88</v>
      </c>
      <c r="S783" s="95">
        <v>0.09</v>
      </c>
      <c r="T783" s="96">
        <f t="shared" si="49"/>
        <v>0.16919999999999999</v>
      </c>
      <c r="U783" s="96">
        <f t="shared" si="50"/>
        <v>1.7899999999999998</v>
      </c>
      <c r="V783" s="93">
        <v>1.49</v>
      </c>
      <c r="W783" s="97">
        <f t="shared" si="51"/>
        <v>3.28</v>
      </c>
    </row>
    <row r="784" spans="1:23" x14ac:dyDescent="0.25">
      <c r="A784" s="61" t="s">
        <v>877</v>
      </c>
      <c r="B784" s="91">
        <v>42366</v>
      </c>
      <c r="C784" s="92" t="s">
        <v>1383</v>
      </c>
      <c r="D784" s="92" t="s">
        <v>1262</v>
      </c>
      <c r="E784" s="92" t="s">
        <v>1198</v>
      </c>
      <c r="F784" s="92" t="s">
        <v>1235</v>
      </c>
      <c r="G784" s="92" t="s">
        <v>1200</v>
      </c>
      <c r="H784" s="92" t="s">
        <v>1263</v>
      </c>
      <c r="I784" s="92" t="s">
        <v>1248</v>
      </c>
      <c r="J784" s="92" t="s">
        <v>1645</v>
      </c>
      <c r="K784" s="92" t="s">
        <v>1243</v>
      </c>
      <c r="L784" s="92" t="s">
        <v>1240</v>
      </c>
      <c r="M784" s="92" t="s">
        <v>1250</v>
      </c>
      <c r="N784" s="91">
        <v>42373</v>
      </c>
      <c r="O784" s="93">
        <v>16.8</v>
      </c>
      <c r="P784" s="93">
        <v>40.97</v>
      </c>
      <c r="Q784" s="94">
        <v>49</v>
      </c>
      <c r="R784" s="93">
        <f t="shared" si="48"/>
        <v>2007.53</v>
      </c>
      <c r="S784" s="95">
        <v>0.1</v>
      </c>
      <c r="T784" s="96">
        <f t="shared" si="49"/>
        <v>200.75300000000001</v>
      </c>
      <c r="U784" s="96">
        <f t="shared" si="50"/>
        <v>2007.43</v>
      </c>
      <c r="V784" s="93">
        <v>8.99</v>
      </c>
      <c r="W784" s="97">
        <f t="shared" si="51"/>
        <v>2016.42</v>
      </c>
    </row>
    <row r="785" spans="1:23" x14ac:dyDescent="0.25">
      <c r="A785" s="61" t="s">
        <v>878</v>
      </c>
      <c r="B785" s="91">
        <v>42371</v>
      </c>
      <c r="C785" s="92" t="s">
        <v>1980</v>
      </c>
      <c r="D785" s="92" t="s">
        <v>1285</v>
      </c>
      <c r="E785" s="92" t="s">
        <v>1198</v>
      </c>
      <c r="F785" s="92" t="s">
        <v>1235</v>
      </c>
      <c r="G785" s="92" t="s">
        <v>1200</v>
      </c>
      <c r="H785" s="92" t="s">
        <v>1286</v>
      </c>
      <c r="I785" s="92" t="s">
        <v>1256</v>
      </c>
      <c r="J785" s="92" t="s">
        <v>1400</v>
      </c>
      <c r="K785" s="92" t="s">
        <v>1239</v>
      </c>
      <c r="L785" s="92" t="s">
        <v>1260</v>
      </c>
      <c r="M785" s="92" t="s">
        <v>1241</v>
      </c>
      <c r="N785" s="91">
        <v>42372</v>
      </c>
      <c r="O785" s="93">
        <v>14.7</v>
      </c>
      <c r="P785" s="93">
        <v>29.99</v>
      </c>
      <c r="Q785" s="94">
        <v>14</v>
      </c>
      <c r="R785" s="93">
        <f t="shared" si="48"/>
        <v>419.85999999999996</v>
      </c>
      <c r="S785" s="95">
        <v>0.04</v>
      </c>
      <c r="T785" s="96">
        <f t="shared" si="49"/>
        <v>16.7944</v>
      </c>
      <c r="U785" s="96">
        <f t="shared" si="50"/>
        <v>419.81999999999994</v>
      </c>
      <c r="V785" s="93">
        <v>5.5</v>
      </c>
      <c r="W785" s="97">
        <f t="shared" si="51"/>
        <v>425.31999999999994</v>
      </c>
    </row>
    <row r="786" spans="1:23" x14ac:dyDescent="0.25">
      <c r="A786" s="61" t="s">
        <v>879</v>
      </c>
      <c r="B786" s="91">
        <v>42378</v>
      </c>
      <c r="C786" s="92" t="s">
        <v>1840</v>
      </c>
      <c r="D786" s="92" t="s">
        <v>1303</v>
      </c>
      <c r="E786" s="92" t="s">
        <v>1198</v>
      </c>
      <c r="F786" s="92" t="s">
        <v>1235</v>
      </c>
      <c r="G786" s="92" t="s">
        <v>1203</v>
      </c>
      <c r="H786" s="92" t="s">
        <v>1304</v>
      </c>
      <c r="I786" s="92" t="s">
        <v>1317</v>
      </c>
      <c r="J786" s="92" t="s">
        <v>1242</v>
      </c>
      <c r="K786" s="92" t="s">
        <v>1243</v>
      </c>
      <c r="L786" s="92" t="s">
        <v>1244</v>
      </c>
      <c r="M786" s="92" t="s">
        <v>1241</v>
      </c>
      <c r="N786" s="91">
        <v>42380</v>
      </c>
      <c r="O786" s="93">
        <v>3.47</v>
      </c>
      <c r="P786" s="93">
        <v>6.68</v>
      </c>
      <c r="Q786" s="94">
        <v>10</v>
      </c>
      <c r="R786" s="93">
        <f t="shared" si="48"/>
        <v>66.8</v>
      </c>
      <c r="S786" s="95">
        <v>0.08</v>
      </c>
      <c r="T786" s="96">
        <f t="shared" si="49"/>
        <v>5.3440000000000003</v>
      </c>
      <c r="U786" s="96">
        <f t="shared" si="50"/>
        <v>66.72</v>
      </c>
      <c r="V786" s="93">
        <v>1.5</v>
      </c>
      <c r="W786" s="97">
        <f t="shared" si="51"/>
        <v>68.22</v>
      </c>
    </row>
    <row r="787" spans="1:23" x14ac:dyDescent="0.25">
      <c r="A787" s="61" t="s">
        <v>880</v>
      </c>
      <c r="B787" s="91">
        <v>42381</v>
      </c>
      <c r="C787" s="92" t="s">
        <v>1855</v>
      </c>
      <c r="D787" s="92" t="s">
        <v>1598</v>
      </c>
      <c r="E787" s="92" t="s">
        <v>1198</v>
      </c>
      <c r="F787" s="92" t="s">
        <v>1235</v>
      </c>
      <c r="G787" s="92" t="s">
        <v>1203</v>
      </c>
      <c r="H787" s="92" t="s">
        <v>1471</v>
      </c>
      <c r="I787" s="92" t="s">
        <v>1317</v>
      </c>
      <c r="J787" s="92" t="s">
        <v>1502</v>
      </c>
      <c r="K787" s="92" t="s">
        <v>1243</v>
      </c>
      <c r="L787" s="92" t="s">
        <v>1260</v>
      </c>
      <c r="M787" s="92" t="s">
        <v>1241</v>
      </c>
      <c r="N787" s="91">
        <v>42383</v>
      </c>
      <c r="O787" s="93">
        <v>13.64</v>
      </c>
      <c r="P787" s="93">
        <v>20.98</v>
      </c>
      <c r="Q787" s="94">
        <v>34</v>
      </c>
      <c r="R787" s="93">
        <f t="shared" si="48"/>
        <v>713.32</v>
      </c>
      <c r="S787" s="95">
        <v>7.0000000000000007E-2</v>
      </c>
      <c r="T787" s="96">
        <f t="shared" si="49"/>
        <v>49.932400000000008</v>
      </c>
      <c r="U787" s="96">
        <f t="shared" si="50"/>
        <v>713.25</v>
      </c>
      <c r="V787" s="93">
        <v>1.49</v>
      </c>
      <c r="W787" s="97">
        <f t="shared" si="51"/>
        <v>714.74</v>
      </c>
    </row>
    <row r="788" spans="1:23" x14ac:dyDescent="0.25">
      <c r="A788" s="61" t="s">
        <v>881</v>
      </c>
      <c r="B788" s="91">
        <v>42386</v>
      </c>
      <c r="C788" s="92" t="s">
        <v>1958</v>
      </c>
      <c r="D788" s="92" t="s">
        <v>1615</v>
      </c>
      <c r="E788" s="92" t="s">
        <v>1198</v>
      </c>
      <c r="F788" s="92" t="s">
        <v>1235</v>
      </c>
      <c r="G788" s="92" t="s">
        <v>1202</v>
      </c>
      <c r="H788" s="92" t="s">
        <v>1404</v>
      </c>
      <c r="I788" s="92" t="s">
        <v>1237</v>
      </c>
      <c r="J788" s="92" t="s">
        <v>1238</v>
      </c>
      <c r="K788" s="92" t="s">
        <v>1239</v>
      </c>
      <c r="L788" s="92" t="s">
        <v>1240</v>
      </c>
      <c r="M788" s="92" t="s">
        <v>1241</v>
      </c>
      <c r="N788" s="91">
        <v>42386</v>
      </c>
      <c r="O788" s="93">
        <v>1.87</v>
      </c>
      <c r="P788" s="93">
        <v>8.1199999999999992</v>
      </c>
      <c r="Q788" s="94">
        <v>36</v>
      </c>
      <c r="R788" s="93">
        <f t="shared" si="48"/>
        <v>292.32</v>
      </c>
      <c r="S788" s="95">
        <v>0.1</v>
      </c>
      <c r="T788" s="96">
        <f t="shared" si="49"/>
        <v>29.231999999999999</v>
      </c>
      <c r="U788" s="96">
        <f t="shared" si="50"/>
        <v>292.21999999999997</v>
      </c>
      <c r="V788" s="93">
        <v>2.83</v>
      </c>
      <c r="W788" s="97">
        <f t="shared" si="51"/>
        <v>295.04999999999995</v>
      </c>
    </row>
    <row r="789" spans="1:23" x14ac:dyDescent="0.25">
      <c r="A789" s="61" t="s">
        <v>882</v>
      </c>
      <c r="B789" s="91">
        <v>42386</v>
      </c>
      <c r="C789" s="92" t="s">
        <v>1962</v>
      </c>
      <c r="D789" s="92" t="s">
        <v>1347</v>
      </c>
      <c r="E789" s="92" t="s">
        <v>1198</v>
      </c>
      <c r="F789" s="92" t="s">
        <v>1235</v>
      </c>
      <c r="G789" s="92" t="s">
        <v>1203</v>
      </c>
      <c r="H789" s="92" t="s">
        <v>1236</v>
      </c>
      <c r="I789" s="92" t="s">
        <v>1237</v>
      </c>
      <c r="J789" s="92" t="s">
        <v>1477</v>
      </c>
      <c r="K789" s="92" t="s">
        <v>1243</v>
      </c>
      <c r="L789" s="92" t="s">
        <v>1240</v>
      </c>
      <c r="M789" s="92" t="s">
        <v>1241</v>
      </c>
      <c r="N789" s="91">
        <v>42388</v>
      </c>
      <c r="O789" s="93">
        <v>4.79</v>
      </c>
      <c r="P789" s="93">
        <v>11.97</v>
      </c>
      <c r="Q789" s="94">
        <v>28</v>
      </c>
      <c r="R789" s="93">
        <f t="shared" si="48"/>
        <v>335.16</v>
      </c>
      <c r="S789" s="95">
        <v>0.03</v>
      </c>
      <c r="T789" s="96">
        <f t="shared" si="49"/>
        <v>10.0548</v>
      </c>
      <c r="U789" s="96">
        <f t="shared" si="50"/>
        <v>335.13000000000005</v>
      </c>
      <c r="V789" s="93">
        <v>5.81</v>
      </c>
      <c r="W789" s="97">
        <f t="shared" si="51"/>
        <v>340.94000000000005</v>
      </c>
    </row>
    <row r="790" spans="1:23" x14ac:dyDescent="0.25">
      <c r="A790" s="61" t="s">
        <v>883</v>
      </c>
      <c r="B790" s="91">
        <v>42387</v>
      </c>
      <c r="C790" s="92" t="s">
        <v>1882</v>
      </c>
      <c r="D790" s="92" t="s">
        <v>1514</v>
      </c>
      <c r="E790" s="92" t="s">
        <v>1198</v>
      </c>
      <c r="F790" s="92" t="s">
        <v>1235</v>
      </c>
      <c r="G790" s="92" t="s">
        <v>1203</v>
      </c>
      <c r="H790" s="92" t="s">
        <v>1291</v>
      </c>
      <c r="I790" s="92" t="s">
        <v>1256</v>
      </c>
      <c r="J790" s="92" t="s">
        <v>1475</v>
      </c>
      <c r="K790" s="92" t="s">
        <v>1239</v>
      </c>
      <c r="L790" s="92" t="s">
        <v>1260</v>
      </c>
      <c r="M790" s="92" t="s">
        <v>1241</v>
      </c>
      <c r="N790" s="91">
        <v>42389</v>
      </c>
      <c r="O790" s="93">
        <v>8.31</v>
      </c>
      <c r="P790" s="93">
        <v>15.98</v>
      </c>
      <c r="Q790" s="94">
        <v>4</v>
      </c>
      <c r="R790" s="93">
        <f t="shared" si="48"/>
        <v>63.92</v>
      </c>
      <c r="S790" s="95">
        <v>0.09</v>
      </c>
      <c r="T790" s="96">
        <f t="shared" si="49"/>
        <v>5.7527999999999997</v>
      </c>
      <c r="U790" s="96">
        <f t="shared" si="50"/>
        <v>63.83</v>
      </c>
      <c r="V790" s="93">
        <v>6.5</v>
      </c>
      <c r="W790" s="97">
        <f t="shared" si="51"/>
        <v>70.33</v>
      </c>
    </row>
    <row r="791" spans="1:23" x14ac:dyDescent="0.25">
      <c r="A791" s="61" t="s">
        <v>884</v>
      </c>
      <c r="B791" s="91">
        <v>42388</v>
      </c>
      <c r="C791" s="92" t="s">
        <v>1637</v>
      </c>
      <c r="D791" s="92" t="s">
        <v>1246</v>
      </c>
      <c r="E791" s="92" t="s">
        <v>1198</v>
      </c>
      <c r="F791" s="92" t="s">
        <v>1235</v>
      </c>
      <c r="G791" s="92" t="s">
        <v>1200</v>
      </c>
      <c r="H791" s="92" t="s">
        <v>1247</v>
      </c>
      <c r="I791" s="92" t="s">
        <v>1317</v>
      </c>
      <c r="J791" s="92" t="s">
        <v>1384</v>
      </c>
      <c r="K791" s="92" t="s">
        <v>1243</v>
      </c>
      <c r="L791" s="92" t="s">
        <v>1260</v>
      </c>
      <c r="M791" s="92" t="s">
        <v>1241</v>
      </c>
      <c r="N791" s="91">
        <v>42388</v>
      </c>
      <c r="O791" s="93">
        <v>4.46</v>
      </c>
      <c r="P791" s="93">
        <v>10.89</v>
      </c>
      <c r="Q791" s="94">
        <v>25</v>
      </c>
      <c r="R791" s="93">
        <f t="shared" si="48"/>
        <v>272.25</v>
      </c>
      <c r="S791" s="95">
        <v>0.03</v>
      </c>
      <c r="T791" s="96">
        <f t="shared" si="49"/>
        <v>8.1675000000000004</v>
      </c>
      <c r="U791" s="96">
        <f t="shared" si="50"/>
        <v>272.22000000000003</v>
      </c>
      <c r="V791" s="93">
        <v>4.5</v>
      </c>
      <c r="W791" s="97">
        <f t="shared" si="51"/>
        <v>276.72000000000003</v>
      </c>
    </row>
    <row r="792" spans="1:23" x14ac:dyDescent="0.25">
      <c r="A792" s="61" t="s">
        <v>885</v>
      </c>
      <c r="B792" s="91">
        <v>42388</v>
      </c>
      <c r="C792" s="92" t="s">
        <v>1981</v>
      </c>
      <c r="D792" s="92" t="s">
        <v>1454</v>
      </c>
      <c r="E792" s="92" t="s">
        <v>1198</v>
      </c>
      <c r="F792" s="92" t="s">
        <v>1235</v>
      </c>
      <c r="G792" s="92" t="s">
        <v>1202</v>
      </c>
      <c r="H792" s="92" t="s">
        <v>1304</v>
      </c>
      <c r="I792" s="92" t="s">
        <v>1264</v>
      </c>
      <c r="J792" s="92" t="s">
        <v>1292</v>
      </c>
      <c r="K792" s="92" t="s">
        <v>1243</v>
      </c>
      <c r="L792" s="92" t="s">
        <v>1240</v>
      </c>
      <c r="M792" s="92" t="s">
        <v>1241</v>
      </c>
      <c r="N792" s="91">
        <v>42388</v>
      </c>
      <c r="O792" s="93">
        <v>0.94</v>
      </c>
      <c r="P792" s="93">
        <v>2.08</v>
      </c>
      <c r="Q792" s="94">
        <v>33</v>
      </c>
      <c r="R792" s="93">
        <f t="shared" si="48"/>
        <v>68.64</v>
      </c>
      <c r="S792" s="95">
        <v>0.05</v>
      </c>
      <c r="T792" s="96">
        <f t="shared" si="49"/>
        <v>3.4320000000000004</v>
      </c>
      <c r="U792" s="96">
        <f t="shared" si="50"/>
        <v>68.59</v>
      </c>
      <c r="V792" s="93">
        <v>2.56</v>
      </c>
      <c r="W792" s="97">
        <f t="shared" si="51"/>
        <v>71.150000000000006</v>
      </c>
    </row>
    <row r="793" spans="1:23" x14ac:dyDescent="0.25">
      <c r="A793" s="61" t="s">
        <v>886</v>
      </c>
      <c r="B793" s="91">
        <v>42388</v>
      </c>
      <c r="C793" s="92" t="s">
        <v>1982</v>
      </c>
      <c r="D793" s="92" t="s">
        <v>1506</v>
      </c>
      <c r="E793" s="92" t="s">
        <v>1198</v>
      </c>
      <c r="F793" s="92" t="s">
        <v>1235</v>
      </c>
      <c r="G793" s="92" t="s">
        <v>1200</v>
      </c>
      <c r="H793" s="92" t="s">
        <v>1236</v>
      </c>
      <c r="I793" s="92" t="s">
        <v>1264</v>
      </c>
      <c r="J793" s="92" t="s">
        <v>1512</v>
      </c>
      <c r="K793" s="92" t="s">
        <v>1239</v>
      </c>
      <c r="L793" s="92" t="s">
        <v>1260</v>
      </c>
      <c r="M793" s="92" t="s">
        <v>1241</v>
      </c>
      <c r="N793" s="91">
        <v>42388</v>
      </c>
      <c r="O793" s="93">
        <v>156.5</v>
      </c>
      <c r="P793" s="93">
        <v>300.97000000000003</v>
      </c>
      <c r="Q793" s="94">
        <v>43</v>
      </c>
      <c r="R793" s="93">
        <f t="shared" si="48"/>
        <v>12941.710000000001</v>
      </c>
      <c r="S793" s="95">
        <v>0.08</v>
      </c>
      <c r="T793" s="96">
        <f t="shared" si="49"/>
        <v>1035.3368</v>
      </c>
      <c r="U793" s="96">
        <f t="shared" si="50"/>
        <v>12941.630000000001</v>
      </c>
      <c r="V793" s="93">
        <v>7.18</v>
      </c>
      <c r="W793" s="97">
        <f t="shared" si="51"/>
        <v>12948.810000000001</v>
      </c>
    </row>
    <row r="794" spans="1:23" x14ac:dyDescent="0.25">
      <c r="A794" s="61" t="s">
        <v>887</v>
      </c>
      <c r="B794" s="91">
        <v>42393</v>
      </c>
      <c r="C794" s="92" t="s">
        <v>1983</v>
      </c>
      <c r="D794" s="92" t="s">
        <v>1285</v>
      </c>
      <c r="E794" s="92" t="s">
        <v>1198</v>
      </c>
      <c r="F794" s="92" t="s">
        <v>1235</v>
      </c>
      <c r="G794" s="92" t="s">
        <v>1203</v>
      </c>
      <c r="H794" s="92" t="s">
        <v>1286</v>
      </c>
      <c r="I794" s="92" t="s">
        <v>1264</v>
      </c>
      <c r="J794" s="92" t="s">
        <v>1331</v>
      </c>
      <c r="K794" s="92" t="s">
        <v>1243</v>
      </c>
      <c r="L794" s="92" t="s">
        <v>1240</v>
      </c>
      <c r="M794" s="92" t="s">
        <v>1241</v>
      </c>
      <c r="N794" s="91">
        <v>42394</v>
      </c>
      <c r="O794" s="93">
        <v>5.19</v>
      </c>
      <c r="P794" s="93">
        <v>12.98</v>
      </c>
      <c r="Q794" s="94">
        <v>50</v>
      </c>
      <c r="R794" s="93">
        <f t="shared" si="48"/>
        <v>649</v>
      </c>
      <c r="S794" s="95">
        <v>0.08</v>
      </c>
      <c r="T794" s="96">
        <f t="shared" si="49"/>
        <v>51.92</v>
      </c>
      <c r="U794" s="96">
        <f t="shared" si="50"/>
        <v>648.91999999999996</v>
      </c>
      <c r="V794" s="93">
        <v>3.14</v>
      </c>
      <c r="W794" s="97">
        <f t="shared" si="51"/>
        <v>652.05999999999995</v>
      </c>
    </row>
    <row r="795" spans="1:23" x14ac:dyDescent="0.25">
      <c r="A795" s="61" t="s">
        <v>888</v>
      </c>
      <c r="B795" s="91">
        <v>42395</v>
      </c>
      <c r="C795" s="92" t="s">
        <v>1545</v>
      </c>
      <c r="D795" s="92" t="s">
        <v>1299</v>
      </c>
      <c r="E795" s="92" t="s">
        <v>1198</v>
      </c>
      <c r="F795" s="92" t="s">
        <v>1235</v>
      </c>
      <c r="G795" s="92" t="s">
        <v>1200</v>
      </c>
      <c r="H795" s="92" t="s">
        <v>1236</v>
      </c>
      <c r="I795" s="92" t="s">
        <v>1317</v>
      </c>
      <c r="J795" s="92" t="s">
        <v>1410</v>
      </c>
      <c r="K795" s="92" t="s">
        <v>1243</v>
      </c>
      <c r="L795" s="92" t="s">
        <v>1244</v>
      </c>
      <c r="M795" s="92" t="s">
        <v>1250</v>
      </c>
      <c r="N795" s="91">
        <v>42397</v>
      </c>
      <c r="O795" s="93">
        <v>2.41</v>
      </c>
      <c r="P795" s="93">
        <v>3.71</v>
      </c>
      <c r="Q795" s="94">
        <v>16</v>
      </c>
      <c r="R795" s="93">
        <f t="shared" si="48"/>
        <v>59.36</v>
      </c>
      <c r="S795" s="95">
        <v>0.1</v>
      </c>
      <c r="T795" s="96">
        <f t="shared" si="49"/>
        <v>5.9359999999999999</v>
      </c>
      <c r="U795" s="96">
        <f t="shared" si="50"/>
        <v>59.26</v>
      </c>
      <c r="V795" s="93">
        <v>1.93</v>
      </c>
      <c r="W795" s="97">
        <f t="shared" si="51"/>
        <v>61.19</v>
      </c>
    </row>
    <row r="796" spans="1:23" x14ac:dyDescent="0.25">
      <c r="A796" s="61" t="s">
        <v>889</v>
      </c>
      <c r="B796" s="91">
        <v>42397</v>
      </c>
      <c r="C796" s="92" t="s">
        <v>1984</v>
      </c>
      <c r="D796" s="92" t="s">
        <v>1585</v>
      </c>
      <c r="E796" s="92" t="s">
        <v>1198</v>
      </c>
      <c r="F796" s="92" t="s">
        <v>1235</v>
      </c>
      <c r="G796" s="92" t="s">
        <v>1203</v>
      </c>
      <c r="H796" s="92" t="s">
        <v>1291</v>
      </c>
      <c r="I796" s="92" t="s">
        <v>1237</v>
      </c>
      <c r="J796" s="92" t="s">
        <v>1391</v>
      </c>
      <c r="K796" s="92" t="s">
        <v>1239</v>
      </c>
      <c r="L796" s="92" t="s">
        <v>1260</v>
      </c>
      <c r="M796" s="92" t="s">
        <v>1241</v>
      </c>
      <c r="N796" s="91">
        <v>42398</v>
      </c>
      <c r="O796" s="93">
        <v>39.64</v>
      </c>
      <c r="P796" s="93">
        <v>152.47999999999999</v>
      </c>
      <c r="Q796" s="94">
        <v>27</v>
      </c>
      <c r="R796" s="93">
        <f t="shared" si="48"/>
        <v>4116.96</v>
      </c>
      <c r="S796" s="95">
        <v>0.1</v>
      </c>
      <c r="T796" s="96">
        <f t="shared" si="49"/>
        <v>411.69600000000003</v>
      </c>
      <c r="U796" s="96">
        <f t="shared" si="50"/>
        <v>4116.8599999999997</v>
      </c>
      <c r="V796" s="93">
        <v>6.5</v>
      </c>
      <c r="W796" s="97">
        <f t="shared" si="51"/>
        <v>4123.3599999999997</v>
      </c>
    </row>
    <row r="797" spans="1:23" x14ac:dyDescent="0.25">
      <c r="A797" s="61" t="s">
        <v>890</v>
      </c>
      <c r="B797" s="91">
        <v>42397</v>
      </c>
      <c r="C797" s="92" t="s">
        <v>1985</v>
      </c>
      <c r="D797" s="92" t="s">
        <v>1532</v>
      </c>
      <c r="E797" s="92" t="s">
        <v>1198</v>
      </c>
      <c r="F797" s="92" t="s">
        <v>1235</v>
      </c>
      <c r="G797" s="92" t="s">
        <v>1203</v>
      </c>
      <c r="H797" s="92" t="s">
        <v>1263</v>
      </c>
      <c r="I797" s="92" t="s">
        <v>1264</v>
      </c>
      <c r="J797" s="92" t="s">
        <v>1297</v>
      </c>
      <c r="K797" s="92" t="s">
        <v>1243</v>
      </c>
      <c r="L797" s="92" t="s">
        <v>1244</v>
      </c>
      <c r="M797" s="92" t="s">
        <v>1241</v>
      </c>
      <c r="N797" s="91">
        <v>42399</v>
      </c>
      <c r="O797" s="93">
        <v>2.59</v>
      </c>
      <c r="P797" s="93">
        <v>3.98</v>
      </c>
      <c r="Q797" s="94">
        <v>41</v>
      </c>
      <c r="R797" s="93">
        <f t="shared" si="48"/>
        <v>163.18</v>
      </c>
      <c r="S797" s="95">
        <v>0.1</v>
      </c>
      <c r="T797" s="96">
        <f t="shared" si="49"/>
        <v>16.318000000000001</v>
      </c>
      <c r="U797" s="96">
        <f t="shared" si="50"/>
        <v>163.08000000000001</v>
      </c>
      <c r="V797" s="93">
        <v>2.97</v>
      </c>
      <c r="W797" s="97">
        <f t="shared" si="51"/>
        <v>166.05</v>
      </c>
    </row>
    <row r="798" spans="1:23" x14ac:dyDescent="0.25">
      <c r="A798" s="61" t="s">
        <v>891</v>
      </c>
      <c r="B798" s="91">
        <v>42398</v>
      </c>
      <c r="C798" s="92" t="s">
        <v>1936</v>
      </c>
      <c r="D798" s="92" t="s">
        <v>1691</v>
      </c>
      <c r="E798" s="92" t="s">
        <v>1198</v>
      </c>
      <c r="F798" s="92" t="s">
        <v>1235</v>
      </c>
      <c r="G798" s="92" t="s">
        <v>1203</v>
      </c>
      <c r="H798" s="92" t="s">
        <v>1471</v>
      </c>
      <c r="I798" s="92" t="s">
        <v>1256</v>
      </c>
      <c r="J798" s="92" t="s">
        <v>1396</v>
      </c>
      <c r="K798" s="92" t="s">
        <v>1243</v>
      </c>
      <c r="L798" s="92" t="s">
        <v>1244</v>
      </c>
      <c r="M798" s="92" t="s">
        <v>1241</v>
      </c>
      <c r="N798" s="91">
        <v>42400</v>
      </c>
      <c r="O798" s="93">
        <v>1.53</v>
      </c>
      <c r="P798" s="93">
        <v>2.78</v>
      </c>
      <c r="Q798" s="94">
        <v>38</v>
      </c>
      <c r="R798" s="93">
        <f t="shared" si="48"/>
        <v>105.63999999999999</v>
      </c>
      <c r="S798" s="95">
        <v>0</v>
      </c>
      <c r="T798" s="96">
        <f t="shared" si="49"/>
        <v>0</v>
      </c>
      <c r="U798" s="96">
        <f t="shared" si="50"/>
        <v>105.63999999999999</v>
      </c>
      <c r="V798" s="93">
        <v>1.34</v>
      </c>
      <c r="W798" s="97">
        <f t="shared" si="51"/>
        <v>106.97999999999999</v>
      </c>
    </row>
    <row r="799" spans="1:23" x14ac:dyDescent="0.25">
      <c r="A799" s="61" t="s">
        <v>892</v>
      </c>
      <c r="B799" s="91">
        <v>42401</v>
      </c>
      <c r="C799" s="92" t="s">
        <v>1986</v>
      </c>
      <c r="D799" s="92" t="s">
        <v>1340</v>
      </c>
      <c r="E799" s="92" t="s">
        <v>1199</v>
      </c>
      <c r="F799" s="92" t="s">
        <v>1254</v>
      </c>
      <c r="G799" s="92" t="s">
        <v>1202</v>
      </c>
      <c r="H799" s="92" t="s">
        <v>1255</v>
      </c>
      <c r="I799" s="92" t="s">
        <v>1317</v>
      </c>
      <c r="J799" s="92" t="s">
        <v>1417</v>
      </c>
      <c r="K799" s="92" t="s">
        <v>1243</v>
      </c>
      <c r="L799" s="92" t="s">
        <v>1260</v>
      </c>
      <c r="M799" s="92" t="s">
        <v>1241</v>
      </c>
      <c r="N799" s="91">
        <v>42402</v>
      </c>
      <c r="O799" s="93">
        <v>1.19</v>
      </c>
      <c r="P799" s="93">
        <v>1.98</v>
      </c>
      <c r="Q799" s="94">
        <v>12</v>
      </c>
      <c r="R799" s="93">
        <f t="shared" si="48"/>
        <v>23.759999999999998</v>
      </c>
      <c r="S799" s="95">
        <v>7.0000000000000007E-2</v>
      </c>
      <c r="T799" s="96">
        <f t="shared" si="49"/>
        <v>1.6632</v>
      </c>
      <c r="U799" s="96">
        <f t="shared" si="50"/>
        <v>23.689999999999998</v>
      </c>
      <c r="V799" s="93">
        <v>4.7699999999999996</v>
      </c>
      <c r="W799" s="97">
        <f t="shared" si="51"/>
        <v>28.459999999999997</v>
      </c>
    </row>
    <row r="800" spans="1:23" x14ac:dyDescent="0.25">
      <c r="A800" s="61" t="s">
        <v>893</v>
      </c>
      <c r="B800" s="91">
        <v>42403</v>
      </c>
      <c r="C800" s="92" t="s">
        <v>1608</v>
      </c>
      <c r="D800" s="92" t="s">
        <v>1281</v>
      </c>
      <c r="E800" s="92" t="s">
        <v>1199</v>
      </c>
      <c r="F800" s="92" t="s">
        <v>1254</v>
      </c>
      <c r="G800" s="92" t="s">
        <v>1201</v>
      </c>
      <c r="H800" s="92" t="s">
        <v>1274</v>
      </c>
      <c r="I800" s="92" t="s">
        <v>1248</v>
      </c>
      <c r="J800" s="92" t="s">
        <v>1973</v>
      </c>
      <c r="K800" s="92" t="s">
        <v>1243</v>
      </c>
      <c r="L800" s="92" t="s">
        <v>1244</v>
      </c>
      <c r="M800" s="92" t="s">
        <v>1241</v>
      </c>
      <c r="N800" s="91">
        <v>42405</v>
      </c>
      <c r="O800" s="93">
        <v>3.95</v>
      </c>
      <c r="P800" s="93">
        <v>6.08</v>
      </c>
      <c r="Q800" s="94">
        <v>42</v>
      </c>
      <c r="R800" s="93">
        <f t="shared" si="48"/>
        <v>255.36</v>
      </c>
      <c r="S800" s="95">
        <v>0.09</v>
      </c>
      <c r="T800" s="96">
        <f t="shared" si="49"/>
        <v>22.982400000000002</v>
      </c>
      <c r="U800" s="96">
        <f t="shared" si="50"/>
        <v>255.27</v>
      </c>
      <c r="V800" s="93">
        <v>1.82</v>
      </c>
      <c r="W800" s="97">
        <f t="shared" si="51"/>
        <v>257.09000000000003</v>
      </c>
    </row>
    <row r="801" spans="1:23" x14ac:dyDescent="0.25">
      <c r="A801" s="61" t="s">
        <v>894</v>
      </c>
      <c r="B801" s="91">
        <v>42404</v>
      </c>
      <c r="C801" s="92" t="s">
        <v>1245</v>
      </c>
      <c r="D801" s="92" t="s">
        <v>1246</v>
      </c>
      <c r="E801" s="92" t="s">
        <v>1198</v>
      </c>
      <c r="F801" s="92" t="s">
        <v>1235</v>
      </c>
      <c r="G801" s="92" t="s">
        <v>1201</v>
      </c>
      <c r="H801" s="92" t="s">
        <v>1247</v>
      </c>
      <c r="I801" s="92" t="s">
        <v>1256</v>
      </c>
      <c r="J801" s="92" t="s">
        <v>1645</v>
      </c>
      <c r="K801" s="92" t="s">
        <v>1243</v>
      </c>
      <c r="L801" s="92" t="s">
        <v>1240</v>
      </c>
      <c r="M801" s="92" t="s">
        <v>1250</v>
      </c>
      <c r="N801" s="91">
        <v>42405</v>
      </c>
      <c r="O801" s="93">
        <v>16.8</v>
      </c>
      <c r="P801" s="93">
        <v>40.97</v>
      </c>
      <c r="Q801" s="94">
        <v>49</v>
      </c>
      <c r="R801" s="93">
        <f t="shared" si="48"/>
        <v>2007.53</v>
      </c>
      <c r="S801" s="95">
        <v>0.04</v>
      </c>
      <c r="T801" s="96">
        <f t="shared" si="49"/>
        <v>80.301199999999994</v>
      </c>
      <c r="U801" s="96">
        <f t="shared" si="50"/>
        <v>2007.49</v>
      </c>
      <c r="V801" s="93">
        <v>8.99</v>
      </c>
      <c r="W801" s="97">
        <f t="shared" si="51"/>
        <v>2016.48</v>
      </c>
    </row>
    <row r="802" spans="1:23" x14ac:dyDescent="0.25">
      <c r="A802" s="61" t="s">
        <v>895</v>
      </c>
      <c r="B802" s="91">
        <v>42408</v>
      </c>
      <c r="C802" s="92" t="s">
        <v>1841</v>
      </c>
      <c r="D802" s="92" t="s">
        <v>1355</v>
      </c>
      <c r="E802" s="92" t="s">
        <v>1199</v>
      </c>
      <c r="F802" s="92" t="s">
        <v>1254</v>
      </c>
      <c r="G802" s="92" t="s">
        <v>1203</v>
      </c>
      <c r="H802" s="92" t="s">
        <v>1274</v>
      </c>
      <c r="I802" s="92" t="s">
        <v>1237</v>
      </c>
      <c r="J802" s="92" t="s">
        <v>1492</v>
      </c>
      <c r="K802" s="92" t="s">
        <v>1243</v>
      </c>
      <c r="L802" s="92" t="s">
        <v>1244</v>
      </c>
      <c r="M802" s="92" t="s">
        <v>1241</v>
      </c>
      <c r="N802" s="91">
        <v>42409</v>
      </c>
      <c r="O802" s="93">
        <v>21.56</v>
      </c>
      <c r="P802" s="93">
        <v>36.549999999999997</v>
      </c>
      <c r="Q802" s="94">
        <v>6</v>
      </c>
      <c r="R802" s="93">
        <f t="shared" si="48"/>
        <v>219.29999999999998</v>
      </c>
      <c r="S802" s="95">
        <v>0.01</v>
      </c>
      <c r="T802" s="96">
        <f t="shared" si="49"/>
        <v>2.1930000000000001</v>
      </c>
      <c r="U802" s="96">
        <f t="shared" si="50"/>
        <v>219.29</v>
      </c>
      <c r="V802" s="93">
        <v>13.89</v>
      </c>
      <c r="W802" s="97">
        <f t="shared" si="51"/>
        <v>233.18</v>
      </c>
    </row>
    <row r="803" spans="1:23" x14ac:dyDescent="0.25">
      <c r="A803" s="61" t="s">
        <v>896</v>
      </c>
      <c r="B803" s="91">
        <v>42409</v>
      </c>
      <c r="C803" s="92" t="s">
        <v>1500</v>
      </c>
      <c r="D803" s="92" t="s">
        <v>1351</v>
      </c>
      <c r="E803" s="92" t="s">
        <v>1198</v>
      </c>
      <c r="F803" s="92" t="s">
        <v>1235</v>
      </c>
      <c r="G803" s="92" t="s">
        <v>1200</v>
      </c>
      <c r="H803" s="92" t="s">
        <v>1304</v>
      </c>
      <c r="I803" s="92" t="s">
        <v>1248</v>
      </c>
      <c r="J803" s="92" t="s">
        <v>1297</v>
      </c>
      <c r="K803" s="92" t="s">
        <v>1243</v>
      </c>
      <c r="L803" s="92" t="s">
        <v>1244</v>
      </c>
      <c r="M803" s="92" t="s">
        <v>1241</v>
      </c>
      <c r="N803" s="91">
        <v>42414</v>
      </c>
      <c r="O803" s="93">
        <v>2.59</v>
      </c>
      <c r="P803" s="93">
        <v>3.98</v>
      </c>
      <c r="Q803" s="94">
        <v>50</v>
      </c>
      <c r="R803" s="93">
        <f t="shared" si="48"/>
        <v>199</v>
      </c>
      <c r="S803" s="95">
        <v>0.08</v>
      </c>
      <c r="T803" s="96">
        <f t="shared" si="49"/>
        <v>15.92</v>
      </c>
      <c r="U803" s="96">
        <f t="shared" si="50"/>
        <v>198.92</v>
      </c>
      <c r="V803" s="93">
        <v>2.97</v>
      </c>
      <c r="W803" s="97">
        <f t="shared" si="51"/>
        <v>201.89</v>
      </c>
    </row>
    <row r="804" spans="1:23" x14ac:dyDescent="0.25">
      <c r="A804" s="61" t="s">
        <v>897</v>
      </c>
      <c r="B804" s="91">
        <v>42410</v>
      </c>
      <c r="C804" s="92" t="s">
        <v>1500</v>
      </c>
      <c r="D804" s="92" t="s">
        <v>1351</v>
      </c>
      <c r="E804" s="92" t="s">
        <v>1198</v>
      </c>
      <c r="F804" s="92" t="s">
        <v>1235</v>
      </c>
      <c r="G804" s="92" t="s">
        <v>1200</v>
      </c>
      <c r="H804" s="92" t="s">
        <v>1304</v>
      </c>
      <c r="I804" s="92" t="s">
        <v>1237</v>
      </c>
      <c r="J804" s="92" t="s">
        <v>1359</v>
      </c>
      <c r="K804" s="92" t="s">
        <v>1243</v>
      </c>
      <c r="L804" s="92" t="s">
        <v>1244</v>
      </c>
      <c r="M804" s="92" t="s">
        <v>1241</v>
      </c>
      <c r="N804" s="91">
        <v>42411</v>
      </c>
      <c r="O804" s="93">
        <v>11.11</v>
      </c>
      <c r="P804" s="93">
        <v>19.84</v>
      </c>
      <c r="Q804" s="94">
        <v>10</v>
      </c>
      <c r="R804" s="93">
        <f t="shared" si="48"/>
        <v>198.4</v>
      </c>
      <c r="S804" s="95">
        <v>0.05</v>
      </c>
      <c r="T804" s="96">
        <f t="shared" si="49"/>
        <v>9.9200000000000017</v>
      </c>
      <c r="U804" s="96">
        <f t="shared" si="50"/>
        <v>198.35</v>
      </c>
      <c r="V804" s="93">
        <v>4.0999999999999996</v>
      </c>
      <c r="W804" s="97">
        <f t="shared" si="51"/>
        <v>202.45</v>
      </c>
    </row>
    <row r="805" spans="1:23" x14ac:dyDescent="0.25">
      <c r="A805" s="61" t="s">
        <v>898</v>
      </c>
      <c r="B805" s="91">
        <v>42411</v>
      </c>
      <c r="C805" s="92" t="s">
        <v>1727</v>
      </c>
      <c r="D805" s="92" t="s">
        <v>1629</v>
      </c>
      <c r="E805" s="92" t="s">
        <v>1198</v>
      </c>
      <c r="F805" s="92" t="s">
        <v>1235</v>
      </c>
      <c r="G805" s="92" t="s">
        <v>1202</v>
      </c>
      <c r="H805" s="92" t="s">
        <v>1471</v>
      </c>
      <c r="I805" s="92" t="s">
        <v>1237</v>
      </c>
      <c r="J805" s="92" t="s">
        <v>1631</v>
      </c>
      <c r="K805" s="92" t="s">
        <v>1239</v>
      </c>
      <c r="L805" s="92" t="s">
        <v>1260</v>
      </c>
      <c r="M805" s="92" t="s">
        <v>1241</v>
      </c>
      <c r="N805" s="91">
        <v>42413</v>
      </c>
      <c r="O805" s="93">
        <v>41.28</v>
      </c>
      <c r="P805" s="93">
        <v>95.99</v>
      </c>
      <c r="Q805" s="94">
        <v>14</v>
      </c>
      <c r="R805" s="93">
        <f t="shared" si="48"/>
        <v>1343.86</v>
      </c>
      <c r="S805" s="95">
        <v>0.04</v>
      </c>
      <c r="T805" s="96">
        <f t="shared" si="49"/>
        <v>53.754399999999997</v>
      </c>
      <c r="U805" s="96">
        <f t="shared" si="50"/>
        <v>1343.82</v>
      </c>
      <c r="V805" s="93">
        <v>8.99</v>
      </c>
      <c r="W805" s="97">
        <f t="shared" si="51"/>
        <v>1352.81</v>
      </c>
    </row>
    <row r="806" spans="1:23" x14ac:dyDescent="0.25">
      <c r="A806" s="61" t="s">
        <v>899</v>
      </c>
      <c r="B806" s="91">
        <v>42411</v>
      </c>
      <c r="C806" s="92" t="s">
        <v>1966</v>
      </c>
      <c r="D806" s="92" t="s">
        <v>1615</v>
      </c>
      <c r="E806" s="92" t="s">
        <v>1198</v>
      </c>
      <c r="F806" s="92" t="s">
        <v>1235</v>
      </c>
      <c r="G806" s="92" t="s">
        <v>1203</v>
      </c>
      <c r="H806" s="92" t="s">
        <v>1404</v>
      </c>
      <c r="I806" s="92" t="s">
        <v>1248</v>
      </c>
      <c r="J806" s="92" t="s">
        <v>1421</v>
      </c>
      <c r="K806" s="92" t="s">
        <v>1243</v>
      </c>
      <c r="L806" s="92" t="s">
        <v>1260</v>
      </c>
      <c r="M806" s="92" t="s">
        <v>1241</v>
      </c>
      <c r="N806" s="91">
        <v>42420</v>
      </c>
      <c r="O806" s="93">
        <v>99.39</v>
      </c>
      <c r="P806" s="93">
        <v>162.93</v>
      </c>
      <c r="Q806" s="94">
        <v>22</v>
      </c>
      <c r="R806" s="93">
        <f t="shared" si="48"/>
        <v>3584.46</v>
      </c>
      <c r="S806" s="95">
        <v>7.0000000000000007E-2</v>
      </c>
      <c r="T806" s="96">
        <f t="shared" si="49"/>
        <v>250.91220000000001</v>
      </c>
      <c r="U806" s="96">
        <f t="shared" si="50"/>
        <v>3584.39</v>
      </c>
      <c r="V806" s="93">
        <v>19.989999999999998</v>
      </c>
      <c r="W806" s="97">
        <f t="shared" si="51"/>
        <v>3604.3799999999997</v>
      </c>
    </row>
    <row r="807" spans="1:23" x14ac:dyDescent="0.25">
      <c r="A807" s="61" t="s">
        <v>900</v>
      </c>
      <c r="B807" s="91">
        <v>42413</v>
      </c>
      <c r="C807" s="92" t="s">
        <v>1807</v>
      </c>
      <c r="D807" s="92" t="s">
        <v>1425</v>
      </c>
      <c r="E807" s="92" t="s">
        <v>1198</v>
      </c>
      <c r="F807" s="92" t="s">
        <v>1235</v>
      </c>
      <c r="G807" s="92" t="s">
        <v>1202</v>
      </c>
      <c r="H807" s="92" t="s">
        <v>1409</v>
      </c>
      <c r="I807" s="92" t="s">
        <v>1317</v>
      </c>
      <c r="J807" s="92" t="s">
        <v>1386</v>
      </c>
      <c r="K807" s="92" t="s">
        <v>1382</v>
      </c>
      <c r="L807" s="92" t="s">
        <v>1240</v>
      </c>
      <c r="M807" s="92" t="s">
        <v>1241</v>
      </c>
      <c r="N807" s="91">
        <v>42414</v>
      </c>
      <c r="O807" s="93">
        <v>5.5</v>
      </c>
      <c r="P807" s="93">
        <v>12.22</v>
      </c>
      <c r="Q807" s="94">
        <v>10</v>
      </c>
      <c r="R807" s="93">
        <f t="shared" si="48"/>
        <v>122.2</v>
      </c>
      <c r="S807" s="95">
        <v>0.1</v>
      </c>
      <c r="T807" s="96">
        <f t="shared" si="49"/>
        <v>12.22</v>
      </c>
      <c r="U807" s="96">
        <f t="shared" si="50"/>
        <v>122.10000000000001</v>
      </c>
      <c r="V807" s="93">
        <v>2.85</v>
      </c>
      <c r="W807" s="97">
        <f t="shared" si="51"/>
        <v>124.95</v>
      </c>
    </row>
    <row r="808" spans="1:23" x14ac:dyDescent="0.25">
      <c r="A808" s="61" t="s">
        <v>901</v>
      </c>
      <c r="B808" s="91">
        <v>42413</v>
      </c>
      <c r="C808" s="92" t="s">
        <v>1987</v>
      </c>
      <c r="D808" s="92" t="s">
        <v>1988</v>
      </c>
      <c r="E808" s="92" t="s">
        <v>1198</v>
      </c>
      <c r="F808" s="92" t="s">
        <v>1235</v>
      </c>
      <c r="G808" s="92" t="s">
        <v>1200</v>
      </c>
      <c r="H808" s="92" t="s">
        <v>1404</v>
      </c>
      <c r="I808" s="92" t="s">
        <v>1317</v>
      </c>
      <c r="J808" s="92" t="s">
        <v>1348</v>
      </c>
      <c r="K808" s="92" t="s">
        <v>1243</v>
      </c>
      <c r="L808" s="92" t="s">
        <v>1240</v>
      </c>
      <c r="M808" s="92" t="s">
        <v>1250</v>
      </c>
      <c r="N808" s="91">
        <v>42416</v>
      </c>
      <c r="O808" s="93">
        <v>4.1900000000000004</v>
      </c>
      <c r="P808" s="93">
        <v>10.23</v>
      </c>
      <c r="Q808" s="94">
        <v>19</v>
      </c>
      <c r="R808" s="93">
        <f t="shared" si="48"/>
        <v>194.37</v>
      </c>
      <c r="S808" s="95">
        <v>0.08</v>
      </c>
      <c r="T808" s="96">
        <f t="shared" si="49"/>
        <v>15.5496</v>
      </c>
      <c r="U808" s="96">
        <f t="shared" si="50"/>
        <v>194.29</v>
      </c>
      <c r="V808" s="93">
        <v>4.68</v>
      </c>
      <c r="W808" s="97">
        <f t="shared" si="51"/>
        <v>198.97</v>
      </c>
    </row>
    <row r="809" spans="1:23" x14ac:dyDescent="0.25">
      <c r="A809" s="61" t="s">
        <v>902</v>
      </c>
      <c r="B809" s="91">
        <v>42413</v>
      </c>
      <c r="C809" s="92" t="s">
        <v>1829</v>
      </c>
      <c r="D809" s="92" t="s">
        <v>1326</v>
      </c>
      <c r="E809" s="92" t="s">
        <v>1199</v>
      </c>
      <c r="F809" s="92" t="s">
        <v>1254</v>
      </c>
      <c r="G809" s="92" t="s">
        <v>1202</v>
      </c>
      <c r="H809" s="92" t="s">
        <v>1255</v>
      </c>
      <c r="I809" s="92" t="s">
        <v>1317</v>
      </c>
      <c r="J809" s="92" t="s">
        <v>1539</v>
      </c>
      <c r="K809" s="92" t="s">
        <v>1243</v>
      </c>
      <c r="L809" s="92" t="s">
        <v>1244</v>
      </c>
      <c r="M809" s="92" t="s">
        <v>1241</v>
      </c>
      <c r="N809" s="91">
        <v>42416</v>
      </c>
      <c r="O809" s="93">
        <v>2.9</v>
      </c>
      <c r="P809" s="93">
        <v>4.76</v>
      </c>
      <c r="Q809" s="94">
        <v>33</v>
      </c>
      <c r="R809" s="93">
        <f t="shared" si="48"/>
        <v>157.07999999999998</v>
      </c>
      <c r="S809" s="95">
        <v>0.06</v>
      </c>
      <c r="T809" s="96">
        <f t="shared" si="49"/>
        <v>9.4247999999999994</v>
      </c>
      <c r="U809" s="96">
        <f t="shared" si="50"/>
        <v>157.01999999999998</v>
      </c>
      <c r="V809" s="93">
        <v>0.88</v>
      </c>
      <c r="W809" s="97">
        <f t="shared" si="51"/>
        <v>157.89999999999998</v>
      </c>
    </row>
    <row r="810" spans="1:23" x14ac:dyDescent="0.25">
      <c r="A810" s="61" t="s">
        <v>903</v>
      </c>
      <c r="B810" s="91">
        <v>42416</v>
      </c>
      <c r="C810" s="92" t="s">
        <v>1684</v>
      </c>
      <c r="D810" s="92" t="s">
        <v>1323</v>
      </c>
      <c r="E810" s="92" t="s">
        <v>1198</v>
      </c>
      <c r="F810" s="92" t="s">
        <v>1235</v>
      </c>
      <c r="G810" s="92" t="s">
        <v>1201</v>
      </c>
      <c r="H810" s="92" t="s">
        <v>1263</v>
      </c>
      <c r="I810" s="92" t="s">
        <v>1256</v>
      </c>
      <c r="J810" s="92" t="s">
        <v>1305</v>
      </c>
      <c r="K810" s="92" t="s">
        <v>1243</v>
      </c>
      <c r="L810" s="92" t="s">
        <v>1260</v>
      </c>
      <c r="M810" s="92" t="s">
        <v>1241</v>
      </c>
      <c r="N810" s="91">
        <v>42417</v>
      </c>
      <c r="O810" s="93">
        <v>4.53</v>
      </c>
      <c r="P810" s="93">
        <v>7.3</v>
      </c>
      <c r="Q810" s="94">
        <v>36</v>
      </c>
      <c r="R810" s="93">
        <f t="shared" si="48"/>
        <v>262.8</v>
      </c>
      <c r="S810" s="95">
        <v>0.1</v>
      </c>
      <c r="T810" s="96">
        <f t="shared" si="49"/>
        <v>26.28</v>
      </c>
      <c r="U810" s="96">
        <f t="shared" si="50"/>
        <v>262.7</v>
      </c>
      <c r="V810" s="93">
        <v>7.72</v>
      </c>
      <c r="W810" s="97">
        <f t="shared" si="51"/>
        <v>270.42</v>
      </c>
    </row>
    <row r="811" spans="1:23" x14ac:dyDescent="0.25">
      <c r="A811" s="61" t="s">
        <v>904</v>
      </c>
      <c r="B811" s="91">
        <v>42416</v>
      </c>
      <c r="C811" s="92" t="s">
        <v>1989</v>
      </c>
      <c r="D811" s="92" t="s">
        <v>1610</v>
      </c>
      <c r="E811" s="92" t="s">
        <v>1198</v>
      </c>
      <c r="F811" s="92" t="s">
        <v>1235</v>
      </c>
      <c r="G811" s="92" t="s">
        <v>1200</v>
      </c>
      <c r="H811" s="92" t="s">
        <v>1404</v>
      </c>
      <c r="I811" s="92" t="s">
        <v>1248</v>
      </c>
      <c r="J811" s="92" t="s">
        <v>1297</v>
      </c>
      <c r="K811" s="92" t="s">
        <v>1243</v>
      </c>
      <c r="L811" s="92" t="s">
        <v>1244</v>
      </c>
      <c r="M811" s="92" t="s">
        <v>1241</v>
      </c>
      <c r="N811" s="91">
        <v>42421</v>
      </c>
      <c r="O811" s="93">
        <v>2.59</v>
      </c>
      <c r="P811" s="93">
        <v>3.98</v>
      </c>
      <c r="Q811" s="94">
        <v>11</v>
      </c>
      <c r="R811" s="93">
        <f t="shared" si="48"/>
        <v>43.78</v>
      </c>
      <c r="S811" s="95">
        <v>0.01</v>
      </c>
      <c r="T811" s="96">
        <f t="shared" si="49"/>
        <v>0.43780000000000002</v>
      </c>
      <c r="U811" s="96">
        <f t="shared" si="50"/>
        <v>43.77</v>
      </c>
      <c r="V811" s="93">
        <v>2.97</v>
      </c>
      <c r="W811" s="97">
        <f t="shared" si="51"/>
        <v>46.74</v>
      </c>
    </row>
    <row r="812" spans="1:23" x14ac:dyDescent="0.25">
      <c r="A812" s="61" t="s">
        <v>905</v>
      </c>
      <c r="B812" s="91">
        <v>42417</v>
      </c>
      <c r="C812" s="92" t="s">
        <v>1587</v>
      </c>
      <c r="D812" s="92" t="s">
        <v>1355</v>
      </c>
      <c r="E812" s="92" t="s">
        <v>1199</v>
      </c>
      <c r="F812" s="92" t="s">
        <v>1254</v>
      </c>
      <c r="G812" s="92" t="s">
        <v>1203</v>
      </c>
      <c r="H812" s="92" t="s">
        <v>1274</v>
      </c>
      <c r="I812" s="92" t="s">
        <v>1256</v>
      </c>
      <c r="J812" s="92" t="s">
        <v>1314</v>
      </c>
      <c r="K812" s="92" t="s">
        <v>1243</v>
      </c>
      <c r="L812" s="92" t="s">
        <v>1244</v>
      </c>
      <c r="M812" s="92" t="s">
        <v>1241</v>
      </c>
      <c r="N812" s="91">
        <v>42418</v>
      </c>
      <c r="O812" s="93">
        <v>1.6</v>
      </c>
      <c r="P812" s="93">
        <v>2.62</v>
      </c>
      <c r="Q812" s="94">
        <v>48</v>
      </c>
      <c r="R812" s="93">
        <f t="shared" si="48"/>
        <v>125.76</v>
      </c>
      <c r="S812" s="95">
        <v>0.1</v>
      </c>
      <c r="T812" s="96">
        <f t="shared" si="49"/>
        <v>12.576000000000001</v>
      </c>
      <c r="U812" s="96">
        <f t="shared" si="50"/>
        <v>125.66000000000001</v>
      </c>
      <c r="V812" s="93">
        <v>0.8</v>
      </c>
      <c r="W812" s="97">
        <f t="shared" si="51"/>
        <v>126.46000000000001</v>
      </c>
    </row>
    <row r="813" spans="1:23" x14ac:dyDescent="0.25">
      <c r="A813" s="61" t="s">
        <v>906</v>
      </c>
      <c r="B813" s="91">
        <v>42420</v>
      </c>
      <c r="C813" s="92" t="s">
        <v>1503</v>
      </c>
      <c r="D813" s="92" t="s">
        <v>1504</v>
      </c>
      <c r="E813" s="92" t="s">
        <v>1199</v>
      </c>
      <c r="F813" s="92" t="s">
        <v>1254</v>
      </c>
      <c r="G813" s="92" t="s">
        <v>1200</v>
      </c>
      <c r="H813" s="92" t="s">
        <v>1274</v>
      </c>
      <c r="I813" s="92" t="s">
        <v>1264</v>
      </c>
      <c r="J813" s="92" t="s">
        <v>1400</v>
      </c>
      <c r="K813" s="92" t="s">
        <v>1239</v>
      </c>
      <c r="L813" s="92" t="s">
        <v>1260</v>
      </c>
      <c r="M813" s="92" t="s">
        <v>1241</v>
      </c>
      <c r="N813" s="91">
        <v>42422</v>
      </c>
      <c r="O813" s="93">
        <v>14.7</v>
      </c>
      <c r="P813" s="93">
        <v>29.99</v>
      </c>
      <c r="Q813" s="94">
        <v>11</v>
      </c>
      <c r="R813" s="93">
        <f t="shared" si="48"/>
        <v>329.89</v>
      </c>
      <c r="S813" s="95">
        <v>0.08</v>
      </c>
      <c r="T813" s="96">
        <f t="shared" si="49"/>
        <v>26.391199999999998</v>
      </c>
      <c r="U813" s="96">
        <f t="shared" si="50"/>
        <v>329.81</v>
      </c>
      <c r="V813" s="93">
        <v>5.5</v>
      </c>
      <c r="W813" s="97">
        <f t="shared" si="51"/>
        <v>335.31</v>
      </c>
    </row>
    <row r="814" spans="1:23" x14ac:dyDescent="0.25">
      <c r="A814" s="61" t="s">
        <v>907</v>
      </c>
      <c r="B814" s="91">
        <v>42422</v>
      </c>
      <c r="C814" s="92" t="s">
        <v>1990</v>
      </c>
      <c r="D814" s="92" t="s">
        <v>1458</v>
      </c>
      <c r="E814" s="92" t="s">
        <v>1198</v>
      </c>
      <c r="F814" s="92" t="s">
        <v>1235</v>
      </c>
      <c r="G814" s="92" t="s">
        <v>1201</v>
      </c>
      <c r="H814" s="92" t="s">
        <v>1404</v>
      </c>
      <c r="I814" s="92" t="s">
        <v>1256</v>
      </c>
      <c r="J814" s="92" t="s">
        <v>1318</v>
      </c>
      <c r="K814" s="92" t="s">
        <v>1239</v>
      </c>
      <c r="L814" s="92" t="s">
        <v>1319</v>
      </c>
      <c r="M814" s="92" t="s">
        <v>1320</v>
      </c>
      <c r="N814" s="91">
        <v>42423</v>
      </c>
      <c r="O814" s="93">
        <v>278.99</v>
      </c>
      <c r="P814" s="93">
        <v>449.99</v>
      </c>
      <c r="Q814" s="94">
        <v>38</v>
      </c>
      <c r="R814" s="93">
        <f t="shared" si="48"/>
        <v>17099.62</v>
      </c>
      <c r="S814" s="95">
        <v>0.01</v>
      </c>
      <c r="T814" s="96">
        <f t="shared" si="49"/>
        <v>170.99619999999999</v>
      </c>
      <c r="U814" s="96">
        <f t="shared" si="50"/>
        <v>17099.61</v>
      </c>
      <c r="V814" s="93">
        <v>49</v>
      </c>
      <c r="W814" s="97">
        <f t="shared" si="51"/>
        <v>17148.61</v>
      </c>
    </row>
    <row r="815" spans="1:23" x14ac:dyDescent="0.25">
      <c r="A815" s="61" t="s">
        <v>908</v>
      </c>
      <c r="B815" s="91">
        <v>42423</v>
      </c>
      <c r="C815" s="92" t="s">
        <v>1991</v>
      </c>
      <c r="D815" s="92" t="s">
        <v>1922</v>
      </c>
      <c r="E815" s="92" t="s">
        <v>1198</v>
      </c>
      <c r="F815" s="92" t="s">
        <v>1235</v>
      </c>
      <c r="G815" s="92" t="s">
        <v>1201</v>
      </c>
      <c r="H815" s="92" t="s">
        <v>1304</v>
      </c>
      <c r="I815" s="92" t="s">
        <v>1237</v>
      </c>
      <c r="J815" s="92" t="s">
        <v>1724</v>
      </c>
      <c r="K815" s="92" t="s">
        <v>1243</v>
      </c>
      <c r="L815" s="92" t="s">
        <v>1260</v>
      </c>
      <c r="M815" s="92" t="s">
        <v>1241</v>
      </c>
      <c r="N815" s="91">
        <v>42424</v>
      </c>
      <c r="O815" s="93">
        <v>21.97</v>
      </c>
      <c r="P815" s="93">
        <v>35.44</v>
      </c>
      <c r="Q815" s="94">
        <v>48</v>
      </c>
      <c r="R815" s="93">
        <f t="shared" si="48"/>
        <v>1701.12</v>
      </c>
      <c r="S815" s="95">
        <v>0.08</v>
      </c>
      <c r="T815" s="96">
        <f t="shared" si="49"/>
        <v>136.08959999999999</v>
      </c>
      <c r="U815" s="96">
        <f t="shared" si="50"/>
        <v>1701.04</v>
      </c>
      <c r="V815" s="93">
        <v>4.92</v>
      </c>
      <c r="W815" s="97">
        <f t="shared" si="51"/>
        <v>1705.96</v>
      </c>
    </row>
    <row r="816" spans="1:23" x14ac:dyDescent="0.25">
      <c r="A816" s="61" t="s">
        <v>909</v>
      </c>
      <c r="B816" s="91">
        <v>42426</v>
      </c>
      <c r="C816" s="92" t="s">
        <v>1844</v>
      </c>
      <c r="D816" s="92" t="s">
        <v>1337</v>
      </c>
      <c r="E816" s="92" t="s">
        <v>1198</v>
      </c>
      <c r="F816" s="92" t="s">
        <v>1235</v>
      </c>
      <c r="G816" s="92" t="s">
        <v>1202</v>
      </c>
      <c r="H816" s="92" t="s">
        <v>1247</v>
      </c>
      <c r="I816" s="92" t="s">
        <v>1248</v>
      </c>
      <c r="J816" s="92" t="s">
        <v>1251</v>
      </c>
      <c r="K816" s="92" t="s">
        <v>1243</v>
      </c>
      <c r="L816" s="92" t="s">
        <v>1244</v>
      </c>
      <c r="M816" s="92" t="s">
        <v>1241</v>
      </c>
      <c r="N816" s="91">
        <v>42433</v>
      </c>
      <c r="O816" s="93">
        <v>2.98</v>
      </c>
      <c r="P816" s="93">
        <v>5.84</v>
      </c>
      <c r="Q816" s="94">
        <v>19</v>
      </c>
      <c r="R816" s="93">
        <f t="shared" si="48"/>
        <v>110.96</v>
      </c>
      <c r="S816" s="95">
        <v>0.01</v>
      </c>
      <c r="T816" s="96">
        <f t="shared" si="49"/>
        <v>1.1095999999999999</v>
      </c>
      <c r="U816" s="96">
        <f t="shared" si="50"/>
        <v>110.94999999999999</v>
      </c>
      <c r="V816" s="93">
        <v>0.83</v>
      </c>
      <c r="W816" s="97">
        <f t="shared" si="51"/>
        <v>111.77999999999999</v>
      </c>
    </row>
    <row r="817" spans="1:23" x14ac:dyDescent="0.25">
      <c r="A817" s="61" t="s">
        <v>910</v>
      </c>
      <c r="B817" s="91">
        <v>42429</v>
      </c>
      <c r="C817" s="92" t="s">
        <v>1336</v>
      </c>
      <c r="D817" s="92" t="s">
        <v>1337</v>
      </c>
      <c r="E817" s="92" t="s">
        <v>1198</v>
      </c>
      <c r="F817" s="92" t="s">
        <v>1235</v>
      </c>
      <c r="G817" s="92" t="s">
        <v>1201</v>
      </c>
      <c r="H817" s="92" t="s">
        <v>1247</v>
      </c>
      <c r="I817" s="92" t="s">
        <v>1237</v>
      </c>
      <c r="J817" s="92" t="s">
        <v>1426</v>
      </c>
      <c r="K817" s="92" t="s">
        <v>1243</v>
      </c>
      <c r="L817" s="92" t="s">
        <v>1260</v>
      </c>
      <c r="M817" s="92" t="s">
        <v>1241</v>
      </c>
      <c r="N817" s="91">
        <v>42429</v>
      </c>
      <c r="O817" s="93">
        <v>54.29</v>
      </c>
      <c r="P817" s="93">
        <v>90.48</v>
      </c>
      <c r="Q817" s="94">
        <v>16</v>
      </c>
      <c r="R817" s="93">
        <f t="shared" si="48"/>
        <v>1447.68</v>
      </c>
      <c r="S817" s="95">
        <v>0</v>
      </c>
      <c r="T817" s="96">
        <f t="shared" si="49"/>
        <v>0</v>
      </c>
      <c r="U817" s="96">
        <f t="shared" si="50"/>
        <v>1447.68</v>
      </c>
      <c r="V817" s="93">
        <v>19.989999999999998</v>
      </c>
      <c r="W817" s="97">
        <f t="shared" si="51"/>
        <v>1467.67</v>
      </c>
    </row>
    <row r="818" spans="1:23" x14ac:dyDescent="0.25">
      <c r="A818" s="61" t="s">
        <v>911</v>
      </c>
      <c r="B818" s="91">
        <v>42434</v>
      </c>
      <c r="C818" s="92" t="s">
        <v>1992</v>
      </c>
      <c r="D818" s="92" t="s">
        <v>1451</v>
      </c>
      <c r="E818" s="92" t="s">
        <v>1198</v>
      </c>
      <c r="F818" s="92" t="s">
        <v>1235</v>
      </c>
      <c r="G818" s="92" t="s">
        <v>1203</v>
      </c>
      <c r="H818" s="92" t="s">
        <v>1291</v>
      </c>
      <c r="I818" s="92" t="s">
        <v>1248</v>
      </c>
      <c r="J818" s="92" t="s">
        <v>1670</v>
      </c>
      <c r="K818" s="92" t="s">
        <v>1243</v>
      </c>
      <c r="L818" s="92" t="s">
        <v>1244</v>
      </c>
      <c r="M818" s="92" t="s">
        <v>1241</v>
      </c>
      <c r="N818" s="91">
        <v>42438</v>
      </c>
      <c r="O818" s="93">
        <v>0.93</v>
      </c>
      <c r="P818" s="93">
        <v>1.6</v>
      </c>
      <c r="Q818" s="94">
        <v>43</v>
      </c>
      <c r="R818" s="93">
        <f t="shared" si="48"/>
        <v>68.8</v>
      </c>
      <c r="S818" s="95">
        <v>0.01</v>
      </c>
      <c r="T818" s="96">
        <f t="shared" si="49"/>
        <v>0.68799999999999994</v>
      </c>
      <c r="U818" s="96">
        <f t="shared" si="50"/>
        <v>68.789999999999992</v>
      </c>
      <c r="V818" s="93">
        <v>1.29</v>
      </c>
      <c r="W818" s="97">
        <f t="shared" si="51"/>
        <v>70.08</v>
      </c>
    </row>
    <row r="819" spans="1:23" x14ac:dyDescent="0.25">
      <c r="A819" s="61" t="s">
        <v>912</v>
      </c>
      <c r="B819" s="91">
        <v>42435</v>
      </c>
      <c r="C819" s="92" t="s">
        <v>1455</v>
      </c>
      <c r="D819" s="92" t="s">
        <v>1347</v>
      </c>
      <c r="E819" s="92" t="s">
        <v>1198</v>
      </c>
      <c r="F819" s="92" t="s">
        <v>1235</v>
      </c>
      <c r="G819" s="92" t="s">
        <v>1201</v>
      </c>
      <c r="H819" s="92" t="s">
        <v>1236</v>
      </c>
      <c r="I819" s="92" t="s">
        <v>1248</v>
      </c>
      <c r="J819" s="92" t="s">
        <v>1631</v>
      </c>
      <c r="K819" s="92" t="s">
        <v>1239</v>
      </c>
      <c r="L819" s="92" t="s">
        <v>1260</v>
      </c>
      <c r="M819" s="92" t="s">
        <v>1241</v>
      </c>
      <c r="N819" s="91">
        <v>42440</v>
      </c>
      <c r="O819" s="93">
        <v>41.28</v>
      </c>
      <c r="P819" s="93">
        <v>95.99</v>
      </c>
      <c r="Q819" s="94">
        <v>40</v>
      </c>
      <c r="R819" s="93">
        <f t="shared" si="48"/>
        <v>3839.6</v>
      </c>
      <c r="S819" s="95">
        <v>0.05</v>
      </c>
      <c r="T819" s="96">
        <f t="shared" si="49"/>
        <v>191.98000000000002</v>
      </c>
      <c r="U819" s="96">
        <f t="shared" si="50"/>
        <v>3839.5499999999997</v>
      </c>
      <c r="V819" s="93">
        <v>8.99</v>
      </c>
      <c r="W819" s="97">
        <f t="shared" si="51"/>
        <v>3848.5399999999995</v>
      </c>
    </row>
    <row r="820" spans="1:23" x14ac:dyDescent="0.25">
      <c r="A820" s="61" t="s">
        <v>913</v>
      </c>
      <c r="B820" s="91">
        <v>42435</v>
      </c>
      <c r="C820" s="92" t="s">
        <v>1993</v>
      </c>
      <c r="D820" s="92" t="s">
        <v>1526</v>
      </c>
      <c r="E820" s="92" t="s">
        <v>1198</v>
      </c>
      <c r="F820" s="92" t="s">
        <v>1235</v>
      </c>
      <c r="G820" s="92" t="s">
        <v>1200</v>
      </c>
      <c r="H820" s="92" t="s">
        <v>1286</v>
      </c>
      <c r="I820" s="92" t="s">
        <v>1256</v>
      </c>
      <c r="J820" s="92" t="s">
        <v>1880</v>
      </c>
      <c r="K820" s="92" t="s">
        <v>1243</v>
      </c>
      <c r="L820" s="92" t="s">
        <v>1260</v>
      </c>
      <c r="M820" s="92" t="s">
        <v>1250</v>
      </c>
      <c r="N820" s="91">
        <v>42436</v>
      </c>
      <c r="O820" s="93">
        <v>3.99</v>
      </c>
      <c r="P820" s="93">
        <v>6.23</v>
      </c>
      <c r="Q820" s="94">
        <v>33</v>
      </c>
      <c r="R820" s="93">
        <f t="shared" si="48"/>
        <v>205.59</v>
      </c>
      <c r="S820" s="95">
        <v>0.08</v>
      </c>
      <c r="T820" s="96">
        <f t="shared" si="49"/>
        <v>16.447200000000002</v>
      </c>
      <c r="U820" s="96">
        <f t="shared" si="50"/>
        <v>205.51</v>
      </c>
      <c r="V820" s="93">
        <v>6.97</v>
      </c>
      <c r="W820" s="97">
        <f t="shared" si="51"/>
        <v>212.48</v>
      </c>
    </row>
    <row r="821" spans="1:23" x14ac:dyDescent="0.25">
      <c r="A821" s="61" t="s">
        <v>914</v>
      </c>
      <c r="B821" s="91">
        <v>42436</v>
      </c>
      <c r="C821" s="92" t="s">
        <v>1566</v>
      </c>
      <c r="D821" s="92" t="s">
        <v>1458</v>
      </c>
      <c r="E821" s="92" t="s">
        <v>1198</v>
      </c>
      <c r="F821" s="92" t="s">
        <v>1235</v>
      </c>
      <c r="G821" s="92" t="s">
        <v>1203</v>
      </c>
      <c r="H821" s="92" t="s">
        <v>1404</v>
      </c>
      <c r="I821" s="92" t="s">
        <v>1237</v>
      </c>
      <c r="J821" s="92" t="s">
        <v>1645</v>
      </c>
      <c r="K821" s="92" t="s">
        <v>1243</v>
      </c>
      <c r="L821" s="92" t="s">
        <v>1240</v>
      </c>
      <c r="M821" s="92" t="s">
        <v>1241</v>
      </c>
      <c r="N821" s="91">
        <v>42437</v>
      </c>
      <c r="O821" s="93">
        <v>16.8</v>
      </c>
      <c r="P821" s="93">
        <v>40.97</v>
      </c>
      <c r="Q821" s="94">
        <v>14</v>
      </c>
      <c r="R821" s="93">
        <f t="shared" si="48"/>
        <v>573.57999999999993</v>
      </c>
      <c r="S821" s="95">
        <v>0</v>
      </c>
      <c r="T821" s="96">
        <f t="shared" si="49"/>
        <v>0</v>
      </c>
      <c r="U821" s="96">
        <f t="shared" si="50"/>
        <v>573.57999999999993</v>
      </c>
      <c r="V821" s="93">
        <v>8.99</v>
      </c>
      <c r="W821" s="97">
        <f t="shared" si="51"/>
        <v>582.56999999999994</v>
      </c>
    </row>
    <row r="822" spans="1:23" x14ac:dyDescent="0.25">
      <c r="A822" s="61" t="s">
        <v>915</v>
      </c>
      <c r="B822" s="91">
        <v>42438</v>
      </c>
      <c r="C822" s="92" t="s">
        <v>1994</v>
      </c>
      <c r="D822" s="92" t="s">
        <v>1572</v>
      </c>
      <c r="E822" s="92" t="s">
        <v>1199</v>
      </c>
      <c r="F822" s="92" t="s">
        <v>1254</v>
      </c>
      <c r="G822" s="92" t="s">
        <v>1200</v>
      </c>
      <c r="H822" s="92" t="s">
        <v>1274</v>
      </c>
      <c r="I822" s="92" t="s">
        <v>1237</v>
      </c>
      <c r="J822" s="92" t="s">
        <v>1271</v>
      </c>
      <c r="K822" s="92" t="s">
        <v>1239</v>
      </c>
      <c r="L822" s="92" t="s">
        <v>1260</v>
      </c>
      <c r="M822" s="92" t="s">
        <v>1241</v>
      </c>
      <c r="N822" s="91">
        <v>42439</v>
      </c>
      <c r="O822" s="93">
        <v>6.39</v>
      </c>
      <c r="P822" s="93">
        <v>19.98</v>
      </c>
      <c r="Q822" s="94">
        <v>39</v>
      </c>
      <c r="R822" s="93">
        <f t="shared" si="48"/>
        <v>779.22</v>
      </c>
      <c r="S822" s="95">
        <v>0.05</v>
      </c>
      <c r="T822" s="96">
        <f t="shared" si="49"/>
        <v>38.961000000000006</v>
      </c>
      <c r="U822" s="96">
        <f t="shared" si="50"/>
        <v>779.17000000000007</v>
      </c>
      <c r="V822" s="93">
        <v>4</v>
      </c>
      <c r="W822" s="97">
        <f t="shared" si="51"/>
        <v>783.17000000000007</v>
      </c>
    </row>
    <row r="823" spans="1:23" x14ac:dyDescent="0.25">
      <c r="A823" s="61" t="s">
        <v>916</v>
      </c>
      <c r="B823" s="91">
        <v>42440</v>
      </c>
      <c r="C823" s="92" t="s">
        <v>1699</v>
      </c>
      <c r="D823" s="92" t="s">
        <v>1585</v>
      </c>
      <c r="E823" s="92" t="s">
        <v>1198</v>
      </c>
      <c r="F823" s="92" t="s">
        <v>1235</v>
      </c>
      <c r="G823" s="92" t="s">
        <v>1201</v>
      </c>
      <c r="H823" s="92" t="s">
        <v>1291</v>
      </c>
      <c r="I823" s="92" t="s">
        <v>1237</v>
      </c>
      <c r="J823" s="92" t="s">
        <v>1333</v>
      </c>
      <c r="K823" s="92" t="s">
        <v>1243</v>
      </c>
      <c r="L823" s="92" t="s">
        <v>1260</v>
      </c>
      <c r="M823" s="92" t="s">
        <v>1241</v>
      </c>
      <c r="N823" s="91">
        <v>42442</v>
      </c>
      <c r="O823" s="93">
        <v>14.95</v>
      </c>
      <c r="P823" s="93">
        <v>34.76</v>
      </c>
      <c r="Q823" s="94">
        <v>27</v>
      </c>
      <c r="R823" s="93">
        <f t="shared" si="48"/>
        <v>938.52</v>
      </c>
      <c r="S823" s="95">
        <v>0.1</v>
      </c>
      <c r="T823" s="96">
        <f t="shared" si="49"/>
        <v>93.852000000000004</v>
      </c>
      <c r="U823" s="96">
        <f t="shared" si="50"/>
        <v>938.42</v>
      </c>
      <c r="V823" s="93">
        <v>8.2200000000000006</v>
      </c>
      <c r="W823" s="97">
        <f t="shared" si="51"/>
        <v>946.64</v>
      </c>
    </row>
    <row r="824" spans="1:23" x14ac:dyDescent="0.25">
      <c r="A824" s="61" t="s">
        <v>917</v>
      </c>
      <c r="B824" s="91">
        <v>42441</v>
      </c>
      <c r="C824" s="92" t="s">
        <v>1939</v>
      </c>
      <c r="D824" s="92" t="s">
        <v>1370</v>
      </c>
      <c r="E824" s="92" t="s">
        <v>1198</v>
      </c>
      <c r="F824" s="92" t="s">
        <v>1235</v>
      </c>
      <c r="G824" s="92" t="s">
        <v>1203</v>
      </c>
      <c r="H824" s="92" t="s">
        <v>1236</v>
      </c>
      <c r="I824" s="92" t="s">
        <v>1237</v>
      </c>
      <c r="J824" s="92" t="s">
        <v>1834</v>
      </c>
      <c r="K824" s="92" t="s">
        <v>1243</v>
      </c>
      <c r="L824" s="92" t="s">
        <v>1244</v>
      </c>
      <c r="M824" s="92" t="s">
        <v>1241</v>
      </c>
      <c r="N824" s="91">
        <v>42441</v>
      </c>
      <c r="O824" s="93">
        <v>0.94</v>
      </c>
      <c r="P824" s="93">
        <v>1.88</v>
      </c>
      <c r="Q824" s="94">
        <v>36</v>
      </c>
      <c r="R824" s="93">
        <f t="shared" si="48"/>
        <v>67.679999999999993</v>
      </c>
      <c r="S824" s="95">
        <v>0.04</v>
      </c>
      <c r="T824" s="96">
        <f t="shared" si="49"/>
        <v>2.7071999999999998</v>
      </c>
      <c r="U824" s="96">
        <f t="shared" si="50"/>
        <v>67.639999999999986</v>
      </c>
      <c r="V824" s="93">
        <v>0.79</v>
      </c>
      <c r="W824" s="97">
        <f t="shared" si="51"/>
        <v>68.429999999999993</v>
      </c>
    </row>
    <row r="825" spans="1:23" x14ac:dyDescent="0.25">
      <c r="A825" s="61" t="s">
        <v>918</v>
      </c>
      <c r="B825" s="91">
        <v>42441</v>
      </c>
      <c r="C825" s="92" t="s">
        <v>1606</v>
      </c>
      <c r="D825" s="92" t="s">
        <v>1607</v>
      </c>
      <c r="E825" s="92" t="s">
        <v>1198</v>
      </c>
      <c r="F825" s="92" t="s">
        <v>1235</v>
      </c>
      <c r="G825" s="92" t="s">
        <v>1200</v>
      </c>
      <c r="H825" s="92" t="s">
        <v>1247</v>
      </c>
      <c r="I825" s="92" t="s">
        <v>1248</v>
      </c>
      <c r="J825" s="92" t="s">
        <v>1670</v>
      </c>
      <c r="K825" s="92" t="s">
        <v>1243</v>
      </c>
      <c r="L825" s="92" t="s">
        <v>1244</v>
      </c>
      <c r="M825" s="92" t="s">
        <v>1241</v>
      </c>
      <c r="N825" s="91">
        <v>42446</v>
      </c>
      <c r="O825" s="93">
        <v>0.93</v>
      </c>
      <c r="P825" s="93">
        <v>1.6</v>
      </c>
      <c r="Q825" s="94">
        <v>40</v>
      </c>
      <c r="R825" s="93">
        <f t="shared" si="48"/>
        <v>64</v>
      </c>
      <c r="S825" s="95">
        <v>0.01</v>
      </c>
      <c r="T825" s="96">
        <f t="shared" si="49"/>
        <v>0.64</v>
      </c>
      <c r="U825" s="96">
        <f t="shared" si="50"/>
        <v>63.99</v>
      </c>
      <c r="V825" s="93">
        <v>1.29</v>
      </c>
      <c r="W825" s="97">
        <f t="shared" si="51"/>
        <v>65.28</v>
      </c>
    </row>
    <row r="826" spans="1:23" x14ac:dyDescent="0.25">
      <c r="A826" s="61" t="s">
        <v>919</v>
      </c>
      <c r="B826" s="91">
        <v>42443</v>
      </c>
      <c r="C826" s="92" t="s">
        <v>1995</v>
      </c>
      <c r="D826" s="92" t="s">
        <v>1337</v>
      </c>
      <c r="E826" s="92" t="s">
        <v>1198</v>
      </c>
      <c r="F826" s="92" t="s">
        <v>1235</v>
      </c>
      <c r="G826" s="92" t="s">
        <v>1203</v>
      </c>
      <c r="H826" s="92" t="s">
        <v>1247</v>
      </c>
      <c r="I826" s="92" t="s">
        <v>1248</v>
      </c>
      <c r="J826" s="92" t="s">
        <v>1517</v>
      </c>
      <c r="K826" s="92" t="s">
        <v>1243</v>
      </c>
      <c r="L826" s="92" t="s">
        <v>1260</v>
      </c>
      <c r="M826" s="92" t="s">
        <v>1241</v>
      </c>
      <c r="N826" s="91">
        <v>42447</v>
      </c>
      <c r="O826" s="93">
        <v>12.39</v>
      </c>
      <c r="P826" s="93">
        <v>19.98</v>
      </c>
      <c r="Q826" s="94">
        <v>47</v>
      </c>
      <c r="R826" s="93">
        <f t="shared" si="48"/>
        <v>939.06000000000006</v>
      </c>
      <c r="S826" s="95">
        <v>0</v>
      </c>
      <c r="T826" s="96">
        <f t="shared" si="49"/>
        <v>0</v>
      </c>
      <c r="U826" s="96">
        <f t="shared" si="50"/>
        <v>939.06000000000006</v>
      </c>
      <c r="V826" s="93">
        <v>5.77</v>
      </c>
      <c r="W826" s="97">
        <f t="shared" si="51"/>
        <v>944.83</v>
      </c>
    </row>
    <row r="827" spans="1:23" x14ac:dyDescent="0.25">
      <c r="A827" s="61" t="s">
        <v>920</v>
      </c>
      <c r="B827" s="91">
        <v>42446</v>
      </c>
      <c r="C827" s="92" t="s">
        <v>1775</v>
      </c>
      <c r="D827" s="92" t="s">
        <v>1776</v>
      </c>
      <c r="E827" s="92" t="s">
        <v>1198</v>
      </c>
      <c r="F827" s="92" t="s">
        <v>1235</v>
      </c>
      <c r="G827" s="92" t="s">
        <v>1200</v>
      </c>
      <c r="H827" s="92" t="s">
        <v>1471</v>
      </c>
      <c r="I827" s="92" t="s">
        <v>1264</v>
      </c>
      <c r="J827" s="92" t="s">
        <v>1344</v>
      </c>
      <c r="K827" s="92" t="s">
        <v>1243</v>
      </c>
      <c r="L827" s="92" t="s">
        <v>1244</v>
      </c>
      <c r="M827" s="92" t="s">
        <v>1241</v>
      </c>
      <c r="N827" s="91">
        <v>42449</v>
      </c>
      <c r="O827" s="93">
        <v>0.24</v>
      </c>
      <c r="P827" s="93">
        <v>1.26</v>
      </c>
      <c r="Q827" s="94">
        <v>47</v>
      </c>
      <c r="R827" s="93">
        <f t="shared" si="48"/>
        <v>59.22</v>
      </c>
      <c r="S827" s="95">
        <v>7.0000000000000007E-2</v>
      </c>
      <c r="T827" s="96">
        <f t="shared" si="49"/>
        <v>4.1454000000000004</v>
      </c>
      <c r="U827" s="96">
        <f t="shared" si="50"/>
        <v>59.15</v>
      </c>
      <c r="V827" s="93">
        <v>0.7</v>
      </c>
      <c r="W827" s="97">
        <f t="shared" si="51"/>
        <v>59.85</v>
      </c>
    </row>
    <row r="828" spans="1:23" x14ac:dyDescent="0.25">
      <c r="A828" s="61" t="s">
        <v>921</v>
      </c>
      <c r="B828" s="91">
        <v>42446</v>
      </c>
      <c r="C828" s="92" t="s">
        <v>1996</v>
      </c>
      <c r="D828" s="92" t="s">
        <v>1316</v>
      </c>
      <c r="E828" s="92" t="s">
        <v>1199</v>
      </c>
      <c r="F828" s="92" t="s">
        <v>1254</v>
      </c>
      <c r="G828" s="92" t="s">
        <v>1201</v>
      </c>
      <c r="H828" s="92" t="s">
        <v>1274</v>
      </c>
      <c r="I828" s="92" t="s">
        <v>1237</v>
      </c>
      <c r="J828" s="92" t="s">
        <v>1238</v>
      </c>
      <c r="K828" s="92" t="s">
        <v>1239</v>
      </c>
      <c r="L828" s="92" t="s">
        <v>1240</v>
      </c>
      <c r="M828" s="92" t="s">
        <v>1250</v>
      </c>
      <c r="N828" s="91">
        <v>42447</v>
      </c>
      <c r="O828" s="93">
        <v>1.87</v>
      </c>
      <c r="P828" s="93">
        <v>8.1199999999999992</v>
      </c>
      <c r="Q828" s="94">
        <v>37</v>
      </c>
      <c r="R828" s="93">
        <f t="shared" si="48"/>
        <v>300.44</v>
      </c>
      <c r="S828" s="95">
        <v>0.01</v>
      </c>
      <c r="T828" s="96">
        <f t="shared" si="49"/>
        <v>3.0044</v>
      </c>
      <c r="U828" s="96">
        <f t="shared" si="50"/>
        <v>300.43</v>
      </c>
      <c r="V828" s="93">
        <v>2.83</v>
      </c>
      <c r="W828" s="97">
        <f t="shared" si="51"/>
        <v>303.26</v>
      </c>
    </row>
    <row r="829" spans="1:23" x14ac:dyDescent="0.25">
      <c r="A829" s="61" t="s">
        <v>922</v>
      </c>
      <c r="B829" s="91">
        <v>42447</v>
      </c>
      <c r="C829" s="92" t="s">
        <v>1993</v>
      </c>
      <c r="D829" s="92" t="s">
        <v>1526</v>
      </c>
      <c r="E829" s="92" t="s">
        <v>1198</v>
      </c>
      <c r="F829" s="92" t="s">
        <v>1235</v>
      </c>
      <c r="G829" s="92" t="s">
        <v>1200</v>
      </c>
      <c r="H829" s="92" t="s">
        <v>1286</v>
      </c>
      <c r="I829" s="92" t="s">
        <v>1248</v>
      </c>
      <c r="J829" s="92" t="s">
        <v>1779</v>
      </c>
      <c r="K829" s="92" t="s">
        <v>1243</v>
      </c>
      <c r="L829" s="92" t="s">
        <v>1260</v>
      </c>
      <c r="M829" s="92" t="s">
        <v>1241</v>
      </c>
      <c r="N829" s="91">
        <v>42452</v>
      </c>
      <c r="O829" s="93">
        <v>1.84</v>
      </c>
      <c r="P829" s="93">
        <v>2.88</v>
      </c>
      <c r="Q829" s="94">
        <v>18</v>
      </c>
      <c r="R829" s="93">
        <f t="shared" si="48"/>
        <v>51.839999999999996</v>
      </c>
      <c r="S829" s="95">
        <v>0.02</v>
      </c>
      <c r="T829" s="96">
        <f t="shared" si="49"/>
        <v>1.0367999999999999</v>
      </c>
      <c r="U829" s="96">
        <f t="shared" si="50"/>
        <v>51.819999999999993</v>
      </c>
      <c r="V829" s="93">
        <v>5.33</v>
      </c>
      <c r="W829" s="97">
        <f t="shared" si="51"/>
        <v>57.149999999999991</v>
      </c>
    </row>
    <row r="830" spans="1:23" x14ac:dyDescent="0.25">
      <c r="A830" s="61" t="s">
        <v>923</v>
      </c>
      <c r="B830" s="91">
        <v>42447</v>
      </c>
      <c r="C830" s="92" t="s">
        <v>1997</v>
      </c>
      <c r="D830" s="92" t="s">
        <v>1355</v>
      </c>
      <c r="E830" s="92" t="s">
        <v>1199</v>
      </c>
      <c r="F830" s="92" t="s">
        <v>1254</v>
      </c>
      <c r="G830" s="92" t="s">
        <v>1203</v>
      </c>
      <c r="H830" s="92" t="s">
        <v>1274</v>
      </c>
      <c r="I830" s="92" t="s">
        <v>1317</v>
      </c>
      <c r="J830" s="92" t="s">
        <v>1499</v>
      </c>
      <c r="K830" s="92" t="s">
        <v>1243</v>
      </c>
      <c r="L830" s="92" t="s">
        <v>1244</v>
      </c>
      <c r="M830" s="92" t="s">
        <v>1241</v>
      </c>
      <c r="N830" s="91">
        <v>42447</v>
      </c>
      <c r="O830" s="93">
        <v>3.75</v>
      </c>
      <c r="P830" s="93">
        <v>7.08</v>
      </c>
      <c r="Q830" s="94">
        <v>16</v>
      </c>
      <c r="R830" s="93">
        <f t="shared" si="48"/>
        <v>113.28</v>
      </c>
      <c r="S830" s="95">
        <v>0.02</v>
      </c>
      <c r="T830" s="96">
        <f t="shared" si="49"/>
        <v>2.2656000000000001</v>
      </c>
      <c r="U830" s="96">
        <f t="shared" si="50"/>
        <v>113.26</v>
      </c>
      <c r="V830" s="93">
        <v>2.35</v>
      </c>
      <c r="W830" s="97">
        <f t="shared" si="51"/>
        <v>115.61</v>
      </c>
    </row>
    <row r="831" spans="1:23" x14ac:dyDescent="0.25">
      <c r="A831" s="61" t="s">
        <v>924</v>
      </c>
      <c r="B831" s="91">
        <v>42449</v>
      </c>
      <c r="C831" s="92" t="s">
        <v>1998</v>
      </c>
      <c r="D831" s="92" t="s">
        <v>1953</v>
      </c>
      <c r="E831" s="92" t="s">
        <v>1198</v>
      </c>
      <c r="F831" s="92" t="s">
        <v>1235</v>
      </c>
      <c r="G831" s="92" t="s">
        <v>1200</v>
      </c>
      <c r="H831" s="92" t="s">
        <v>1409</v>
      </c>
      <c r="I831" s="92" t="s">
        <v>1256</v>
      </c>
      <c r="J831" s="92" t="s">
        <v>1539</v>
      </c>
      <c r="K831" s="92" t="s">
        <v>1243</v>
      </c>
      <c r="L831" s="92" t="s">
        <v>1244</v>
      </c>
      <c r="M831" s="92" t="s">
        <v>1241</v>
      </c>
      <c r="N831" s="91">
        <v>42451</v>
      </c>
      <c r="O831" s="93">
        <v>2.9</v>
      </c>
      <c r="P831" s="93">
        <v>4.76</v>
      </c>
      <c r="Q831" s="94">
        <v>23</v>
      </c>
      <c r="R831" s="93">
        <f t="shared" si="48"/>
        <v>109.47999999999999</v>
      </c>
      <c r="S831" s="95">
        <v>0.05</v>
      </c>
      <c r="T831" s="96">
        <f t="shared" si="49"/>
        <v>5.4740000000000002</v>
      </c>
      <c r="U831" s="96">
        <f t="shared" si="50"/>
        <v>109.42999999999999</v>
      </c>
      <c r="V831" s="93">
        <v>0.88</v>
      </c>
      <c r="W831" s="97">
        <f t="shared" si="51"/>
        <v>110.30999999999999</v>
      </c>
    </row>
    <row r="832" spans="1:23" x14ac:dyDescent="0.25">
      <c r="A832" s="61" t="s">
        <v>925</v>
      </c>
      <c r="B832" s="91">
        <v>42450</v>
      </c>
      <c r="C832" s="92" t="s">
        <v>1999</v>
      </c>
      <c r="D832" s="92" t="s">
        <v>1376</v>
      </c>
      <c r="E832" s="92" t="s">
        <v>1199</v>
      </c>
      <c r="F832" s="92" t="s">
        <v>1254</v>
      </c>
      <c r="G832" s="92" t="s">
        <v>1200</v>
      </c>
      <c r="H832" s="92" t="s">
        <v>1255</v>
      </c>
      <c r="I832" s="92" t="s">
        <v>1237</v>
      </c>
      <c r="J832" s="92" t="s">
        <v>1257</v>
      </c>
      <c r="K832" s="92" t="s">
        <v>1239</v>
      </c>
      <c r="L832" s="92" t="s">
        <v>1258</v>
      </c>
      <c r="M832" s="92" t="s">
        <v>1241</v>
      </c>
      <c r="N832" s="91">
        <v>42451</v>
      </c>
      <c r="O832" s="93">
        <v>8.82</v>
      </c>
      <c r="P832" s="93">
        <v>20.99</v>
      </c>
      <c r="Q832" s="94">
        <v>2</v>
      </c>
      <c r="R832" s="93">
        <f t="shared" si="48"/>
        <v>41.98</v>
      </c>
      <c r="S832" s="95">
        <v>7.0000000000000007E-2</v>
      </c>
      <c r="T832" s="96">
        <f t="shared" si="49"/>
        <v>2.9386000000000001</v>
      </c>
      <c r="U832" s="96">
        <f t="shared" si="50"/>
        <v>41.91</v>
      </c>
      <c r="V832" s="93">
        <v>4.8099999999999996</v>
      </c>
      <c r="W832" s="97">
        <f t="shared" si="51"/>
        <v>46.72</v>
      </c>
    </row>
    <row r="833" spans="1:23" x14ac:dyDescent="0.25">
      <c r="A833" s="61" t="s">
        <v>926</v>
      </c>
      <c r="B833" s="91">
        <v>42454</v>
      </c>
      <c r="C833" s="92" t="s">
        <v>1644</v>
      </c>
      <c r="D833" s="92" t="s">
        <v>1316</v>
      </c>
      <c r="E833" s="92" t="s">
        <v>1199</v>
      </c>
      <c r="F833" s="92" t="s">
        <v>1254</v>
      </c>
      <c r="G833" s="92" t="s">
        <v>1200</v>
      </c>
      <c r="H833" s="92" t="s">
        <v>1255</v>
      </c>
      <c r="I833" s="92" t="s">
        <v>1256</v>
      </c>
      <c r="J833" s="92" t="s">
        <v>1334</v>
      </c>
      <c r="K833" s="92" t="s">
        <v>1243</v>
      </c>
      <c r="L833" s="92" t="s">
        <v>1244</v>
      </c>
      <c r="M833" s="92" t="s">
        <v>1241</v>
      </c>
      <c r="N833" s="91">
        <v>42454</v>
      </c>
      <c r="O833" s="93">
        <v>2.31</v>
      </c>
      <c r="P833" s="93">
        <v>3.78</v>
      </c>
      <c r="Q833" s="94">
        <v>28</v>
      </c>
      <c r="R833" s="93">
        <f t="shared" si="48"/>
        <v>105.83999999999999</v>
      </c>
      <c r="S833" s="95">
        <v>0</v>
      </c>
      <c r="T833" s="96">
        <f t="shared" si="49"/>
        <v>0</v>
      </c>
      <c r="U833" s="96">
        <f t="shared" si="50"/>
        <v>105.83999999999999</v>
      </c>
      <c r="V833" s="93">
        <v>0.71</v>
      </c>
      <c r="W833" s="97">
        <f t="shared" si="51"/>
        <v>106.54999999999998</v>
      </c>
    </row>
    <row r="834" spans="1:23" x14ac:dyDescent="0.25">
      <c r="A834" s="61" t="s">
        <v>927</v>
      </c>
      <c r="B834" s="91">
        <v>42455</v>
      </c>
      <c r="C834" s="92" t="s">
        <v>2000</v>
      </c>
      <c r="D834" s="92" t="s">
        <v>1390</v>
      </c>
      <c r="E834" s="92" t="s">
        <v>1198</v>
      </c>
      <c r="F834" s="92" t="s">
        <v>1235</v>
      </c>
      <c r="G834" s="92" t="s">
        <v>1200</v>
      </c>
      <c r="H834" s="92" t="s">
        <v>1247</v>
      </c>
      <c r="I834" s="92" t="s">
        <v>1248</v>
      </c>
      <c r="J834" s="92" t="s">
        <v>1618</v>
      </c>
      <c r="K834" s="92" t="s">
        <v>1243</v>
      </c>
      <c r="L834" s="92" t="s">
        <v>1240</v>
      </c>
      <c r="M834" s="92" t="s">
        <v>1241</v>
      </c>
      <c r="N834" s="91">
        <v>42457</v>
      </c>
      <c r="O834" s="93">
        <v>2.5</v>
      </c>
      <c r="P834" s="93">
        <v>5.68</v>
      </c>
      <c r="Q834" s="94">
        <v>45</v>
      </c>
      <c r="R834" s="93">
        <f t="shared" si="48"/>
        <v>255.6</v>
      </c>
      <c r="S834" s="95">
        <v>0.01</v>
      </c>
      <c r="T834" s="96">
        <f t="shared" si="49"/>
        <v>2.556</v>
      </c>
      <c r="U834" s="96">
        <f t="shared" si="50"/>
        <v>255.59</v>
      </c>
      <c r="V834" s="93">
        <v>3.6</v>
      </c>
      <c r="W834" s="97">
        <f t="shared" si="51"/>
        <v>259.19</v>
      </c>
    </row>
    <row r="835" spans="1:23" x14ac:dyDescent="0.25">
      <c r="A835" s="61" t="s">
        <v>928</v>
      </c>
      <c r="B835" s="91">
        <v>42455</v>
      </c>
      <c r="C835" s="92" t="s">
        <v>1245</v>
      </c>
      <c r="D835" s="92" t="s">
        <v>1246</v>
      </c>
      <c r="E835" s="92" t="s">
        <v>1198</v>
      </c>
      <c r="F835" s="92" t="s">
        <v>1235</v>
      </c>
      <c r="G835" s="92" t="s">
        <v>1201</v>
      </c>
      <c r="H835" s="92" t="s">
        <v>1247</v>
      </c>
      <c r="I835" s="92" t="s">
        <v>1264</v>
      </c>
      <c r="J835" s="92" t="s">
        <v>1468</v>
      </c>
      <c r="K835" s="92" t="s">
        <v>1243</v>
      </c>
      <c r="L835" s="92" t="s">
        <v>1260</v>
      </c>
      <c r="M835" s="92" t="s">
        <v>1241</v>
      </c>
      <c r="N835" s="91">
        <v>42457</v>
      </c>
      <c r="O835" s="93">
        <v>1.59</v>
      </c>
      <c r="P835" s="93">
        <v>2.61</v>
      </c>
      <c r="Q835" s="94">
        <v>8</v>
      </c>
      <c r="R835" s="93">
        <f t="shared" si="48"/>
        <v>20.88</v>
      </c>
      <c r="S835" s="95">
        <v>0.02</v>
      </c>
      <c r="T835" s="96">
        <f t="shared" si="49"/>
        <v>0.41759999999999997</v>
      </c>
      <c r="U835" s="96">
        <f t="shared" si="50"/>
        <v>20.86</v>
      </c>
      <c r="V835" s="93">
        <v>0.5</v>
      </c>
      <c r="W835" s="97">
        <f t="shared" si="51"/>
        <v>21.36</v>
      </c>
    </row>
    <row r="836" spans="1:23" x14ac:dyDescent="0.25">
      <c r="A836" s="61" t="s">
        <v>929</v>
      </c>
      <c r="B836" s="91">
        <v>42456</v>
      </c>
      <c r="C836" s="92" t="s">
        <v>1769</v>
      </c>
      <c r="D836" s="92" t="s">
        <v>1770</v>
      </c>
      <c r="E836" s="92" t="s">
        <v>1199</v>
      </c>
      <c r="F836" s="92" t="s">
        <v>1254</v>
      </c>
      <c r="G836" s="92" t="s">
        <v>1202</v>
      </c>
      <c r="H836" s="92" t="s">
        <v>1471</v>
      </c>
      <c r="I836" s="92" t="s">
        <v>1317</v>
      </c>
      <c r="J836" s="92" t="s">
        <v>1318</v>
      </c>
      <c r="K836" s="92" t="s">
        <v>1239</v>
      </c>
      <c r="L836" s="92" t="s">
        <v>1296</v>
      </c>
      <c r="M836" s="92" t="s">
        <v>1241</v>
      </c>
      <c r="N836" s="91">
        <v>42457</v>
      </c>
      <c r="O836" s="93">
        <v>216</v>
      </c>
      <c r="P836" s="93">
        <v>449.99</v>
      </c>
      <c r="Q836" s="94">
        <v>49</v>
      </c>
      <c r="R836" s="93">
        <f t="shared" si="48"/>
        <v>22049.510000000002</v>
      </c>
      <c r="S836" s="95">
        <v>0.06</v>
      </c>
      <c r="T836" s="96">
        <f t="shared" si="49"/>
        <v>1322.9706000000001</v>
      </c>
      <c r="U836" s="96">
        <f t="shared" si="50"/>
        <v>22049.45</v>
      </c>
      <c r="V836" s="93">
        <v>24.49</v>
      </c>
      <c r="W836" s="97">
        <f t="shared" si="51"/>
        <v>22073.940000000002</v>
      </c>
    </row>
    <row r="837" spans="1:23" x14ac:dyDescent="0.25">
      <c r="A837" s="61" t="s">
        <v>930</v>
      </c>
      <c r="B837" s="91">
        <v>42456</v>
      </c>
      <c r="C837" s="92" t="s">
        <v>2001</v>
      </c>
      <c r="D837" s="92" t="s">
        <v>1653</v>
      </c>
      <c r="E837" s="92" t="s">
        <v>1198</v>
      </c>
      <c r="F837" s="92" t="s">
        <v>1235</v>
      </c>
      <c r="G837" s="92" t="s">
        <v>1203</v>
      </c>
      <c r="H837" s="92" t="s">
        <v>1313</v>
      </c>
      <c r="I837" s="92" t="s">
        <v>1248</v>
      </c>
      <c r="J837" s="92" t="s">
        <v>1413</v>
      </c>
      <c r="K837" s="92" t="s">
        <v>1239</v>
      </c>
      <c r="L837" s="92" t="s">
        <v>1319</v>
      </c>
      <c r="M837" s="92" t="s">
        <v>1320</v>
      </c>
      <c r="N837" s="91">
        <v>42463</v>
      </c>
      <c r="O837" s="93">
        <v>75</v>
      </c>
      <c r="P837" s="93">
        <v>120.97</v>
      </c>
      <c r="Q837" s="94">
        <v>42</v>
      </c>
      <c r="R837" s="93">
        <f t="shared" ref="R837:R900" si="52">P837*Q837</f>
        <v>5080.74</v>
      </c>
      <c r="S837" s="95">
        <v>0</v>
      </c>
      <c r="T837" s="96">
        <f t="shared" ref="T837:T900" si="53">R837*S837</f>
        <v>0</v>
      </c>
      <c r="U837" s="96">
        <f t="shared" ref="U837:U900" si="54">R837-S837</f>
        <v>5080.74</v>
      </c>
      <c r="V837" s="93">
        <v>26.3</v>
      </c>
      <c r="W837" s="97">
        <f t="shared" ref="W837:W900" si="55">U837+V837</f>
        <v>5107.04</v>
      </c>
    </row>
    <row r="838" spans="1:23" x14ac:dyDescent="0.25">
      <c r="A838" s="61" t="s">
        <v>931</v>
      </c>
      <c r="B838" s="91">
        <v>42458</v>
      </c>
      <c r="C838" s="92" t="s">
        <v>1967</v>
      </c>
      <c r="D838" s="92" t="s">
        <v>1833</v>
      </c>
      <c r="E838" s="92" t="s">
        <v>1198</v>
      </c>
      <c r="F838" s="92" t="s">
        <v>1235</v>
      </c>
      <c r="G838" s="92" t="s">
        <v>1200</v>
      </c>
      <c r="H838" s="92" t="s">
        <v>1409</v>
      </c>
      <c r="I838" s="92" t="s">
        <v>1264</v>
      </c>
      <c r="J838" s="92" t="s">
        <v>1331</v>
      </c>
      <c r="K838" s="92" t="s">
        <v>1243</v>
      </c>
      <c r="L838" s="92" t="s">
        <v>1240</v>
      </c>
      <c r="M838" s="92" t="s">
        <v>1241</v>
      </c>
      <c r="N838" s="91">
        <v>42459</v>
      </c>
      <c r="O838" s="93">
        <v>5.19</v>
      </c>
      <c r="P838" s="93">
        <v>12.98</v>
      </c>
      <c r="Q838" s="94">
        <v>45</v>
      </c>
      <c r="R838" s="93">
        <f t="shared" si="52"/>
        <v>584.1</v>
      </c>
      <c r="S838" s="95">
        <v>0.05</v>
      </c>
      <c r="T838" s="96">
        <f t="shared" si="53"/>
        <v>29.205000000000002</v>
      </c>
      <c r="U838" s="96">
        <f t="shared" si="54"/>
        <v>584.05000000000007</v>
      </c>
      <c r="V838" s="93">
        <v>3.14</v>
      </c>
      <c r="W838" s="97">
        <f t="shared" si="55"/>
        <v>587.19000000000005</v>
      </c>
    </row>
    <row r="839" spans="1:23" x14ac:dyDescent="0.25">
      <c r="A839" s="61" t="s">
        <v>932</v>
      </c>
      <c r="B839" s="91">
        <v>42458</v>
      </c>
      <c r="C839" s="92" t="s">
        <v>2002</v>
      </c>
      <c r="D839" s="92" t="s">
        <v>1572</v>
      </c>
      <c r="E839" s="92" t="s">
        <v>1199</v>
      </c>
      <c r="F839" s="92" t="s">
        <v>1254</v>
      </c>
      <c r="G839" s="92" t="s">
        <v>1200</v>
      </c>
      <c r="H839" s="92" t="s">
        <v>1274</v>
      </c>
      <c r="I839" s="92" t="s">
        <v>1248</v>
      </c>
      <c r="J839" s="92" t="s">
        <v>1575</v>
      </c>
      <c r="K839" s="92" t="s">
        <v>1243</v>
      </c>
      <c r="L839" s="92" t="s">
        <v>1260</v>
      </c>
      <c r="M839" s="92" t="s">
        <v>1241</v>
      </c>
      <c r="N839" s="91">
        <v>42460</v>
      </c>
      <c r="O839" s="93">
        <v>1.94</v>
      </c>
      <c r="P839" s="93">
        <v>3.08</v>
      </c>
      <c r="Q839" s="94">
        <v>42</v>
      </c>
      <c r="R839" s="93">
        <f t="shared" si="52"/>
        <v>129.36000000000001</v>
      </c>
      <c r="S839" s="95">
        <v>0.09</v>
      </c>
      <c r="T839" s="96">
        <f t="shared" si="53"/>
        <v>11.6424</v>
      </c>
      <c r="U839" s="96">
        <f t="shared" si="54"/>
        <v>129.27000000000001</v>
      </c>
      <c r="V839" s="93">
        <v>0.99</v>
      </c>
      <c r="W839" s="97">
        <f t="shared" si="55"/>
        <v>130.26000000000002</v>
      </c>
    </row>
    <row r="840" spans="1:23" x14ac:dyDescent="0.25">
      <c r="A840" s="61" t="s">
        <v>933</v>
      </c>
      <c r="B840" s="91">
        <v>42459</v>
      </c>
      <c r="C840" s="92" t="s">
        <v>2003</v>
      </c>
      <c r="D840" s="92" t="s">
        <v>1347</v>
      </c>
      <c r="E840" s="92" t="s">
        <v>1198</v>
      </c>
      <c r="F840" s="92" t="s">
        <v>1235</v>
      </c>
      <c r="G840" s="92" t="s">
        <v>1200</v>
      </c>
      <c r="H840" s="92" t="s">
        <v>1236</v>
      </c>
      <c r="I840" s="92" t="s">
        <v>1256</v>
      </c>
      <c r="J840" s="92" t="s">
        <v>1292</v>
      </c>
      <c r="K840" s="92" t="s">
        <v>1243</v>
      </c>
      <c r="L840" s="92" t="s">
        <v>1240</v>
      </c>
      <c r="M840" s="92" t="s">
        <v>1241</v>
      </c>
      <c r="N840" s="91">
        <v>42460</v>
      </c>
      <c r="O840" s="93">
        <v>0.94</v>
      </c>
      <c r="P840" s="93">
        <v>2.08</v>
      </c>
      <c r="Q840" s="94">
        <v>2</v>
      </c>
      <c r="R840" s="93">
        <f t="shared" si="52"/>
        <v>4.16</v>
      </c>
      <c r="S840" s="95">
        <v>0.01</v>
      </c>
      <c r="T840" s="96">
        <f t="shared" si="53"/>
        <v>4.1600000000000005E-2</v>
      </c>
      <c r="U840" s="96">
        <f t="shared" si="54"/>
        <v>4.1500000000000004</v>
      </c>
      <c r="V840" s="93">
        <v>2.56</v>
      </c>
      <c r="W840" s="97">
        <f t="shared" si="55"/>
        <v>6.7100000000000009</v>
      </c>
    </row>
    <row r="841" spans="1:23" x14ac:dyDescent="0.25">
      <c r="A841" s="61" t="s">
        <v>934</v>
      </c>
      <c r="B841" s="91">
        <v>42462</v>
      </c>
      <c r="C841" s="92" t="s">
        <v>2004</v>
      </c>
      <c r="D841" s="92" t="s">
        <v>1278</v>
      </c>
      <c r="E841" s="92" t="s">
        <v>1198</v>
      </c>
      <c r="F841" s="92" t="s">
        <v>1235</v>
      </c>
      <c r="G841" s="92" t="s">
        <v>1200</v>
      </c>
      <c r="H841" s="92" t="s">
        <v>1236</v>
      </c>
      <c r="I841" s="92" t="s">
        <v>1248</v>
      </c>
      <c r="J841" s="92" t="s">
        <v>1338</v>
      </c>
      <c r="K841" s="92" t="s">
        <v>1243</v>
      </c>
      <c r="L841" s="92" t="s">
        <v>1260</v>
      </c>
      <c r="M841" s="92" t="s">
        <v>1241</v>
      </c>
      <c r="N841" s="91">
        <v>42470</v>
      </c>
      <c r="O841" s="93">
        <v>13.88</v>
      </c>
      <c r="P841" s="93">
        <v>22.38</v>
      </c>
      <c r="Q841" s="94">
        <v>16</v>
      </c>
      <c r="R841" s="93">
        <f t="shared" si="52"/>
        <v>358.08</v>
      </c>
      <c r="S841" s="95">
        <v>0.09</v>
      </c>
      <c r="T841" s="96">
        <f t="shared" si="53"/>
        <v>32.227199999999996</v>
      </c>
      <c r="U841" s="96">
        <f t="shared" si="54"/>
        <v>357.99</v>
      </c>
      <c r="V841" s="93">
        <v>15.1</v>
      </c>
      <c r="W841" s="97">
        <f t="shared" si="55"/>
        <v>373.09000000000003</v>
      </c>
    </row>
    <row r="842" spans="1:23" x14ac:dyDescent="0.25">
      <c r="A842" s="61" t="s">
        <v>935</v>
      </c>
      <c r="B842" s="91">
        <v>42463</v>
      </c>
      <c r="C842" s="92" t="s">
        <v>1445</v>
      </c>
      <c r="D842" s="92" t="s">
        <v>1347</v>
      </c>
      <c r="E842" s="92" t="s">
        <v>1198</v>
      </c>
      <c r="F842" s="92" t="s">
        <v>1235</v>
      </c>
      <c r="G842" s="92" t="s">
        <v>1201</v>
      </c>
      <c r="H842" s="92" t="s">
        <v>1236</v>
      </c>
      <c r="I842" s="92" t="s">
        <v>1248</v>
      </c>
      <c r="J842" s="92" t="s">
        <v>1344</v>
      </c>
      <c r="K842" s="92" t="s">
        <v>1243</v>
      </c>
      <c r="L842" s="92" t="s">
        <v>1244</v>
      </c>
      <c r="M842" s="92" t="s">
        <v>1250</v>
      </c>
      <c r="N842" s="91">
        <v>42463</v>
      </c>
      <c r="O842" s="93">
        <v>0.24</v>
      </c>
      <c r="P842" s="93">
        <v>1.26</v>
      </c>
      <c r="Q842" s="94">
        <v>40</v>
      </c>
      <c r="R842" s="93">
        <f t="shared" si="52"/>
        <v>50.4</v>
      </c>
      <c r="S842" s="95">
        <v>0.04</v>
      </c>
      <c r="T842" s="96">
        <f t="shared" si="53"/>
        <v>2.016</v>
      </c>
      <c r="U842" s="96">
        <f t="shared" si="54"/>
        <v>50.36</v>
      </c>
      <c r="V842" s="93">
        <v>0.7</v>
      </c>
      <c r="W842" s="97">
        <f t="shared" si="55"/>
        <v>51.06</v>
      </c>
    </row>
    <row r="843" spans="1:23" x14ac:dyDescent="0.25">
      <c r="A843" s="61" t="s">
        <v>936</v>
      </c>
      <c r="B843" s="91">
        <v>42465</v>
      </c>
      <c r="C843" s="92" t="s">
        <v>2005</v>
      </c>
      <c r="D843" s="92" t="s">
        <v>1246</v>
      </c>
      <c r="E843" s="92" t="s">
        <v>1198</v>
      </c>
      <c r="F843" s="92" t="s">
        <v>1235</v>
      </c>
      <c r="G843" s="92" t="s">
        <v>1202</v>
      </c>
      <c r="H843" s="92" t="s">
        <v>1247</v>
      </c>
      <c r="I843" s="92" t="s">
        <v>1248</v>
      </c>
      <c r="J843" s="92" t="s">
        <v>1363</v>
      </c>
      <c r="K843" s="92" t="s">
        <v>1243</v>
      </c>
      <c r="L843" s="92" t="s">
        <v>1240</v>
      </c>
      <c r="M843" s="92" t="s">
        <v>1241</v>
      </c>
      <c r="N843" s="91">
        <v>42471</v>
      </c>
      <c r="O843" s="93">
        <v>4.0999999999999996</v>
      </c>
      <c r="P843" s="93">
        <v>9.31</v>
      </c>
      <c r="Q843" s="94">
        <v>35</v>
      </c>
      <c r="R843" s="93">
        <f t="shared" si="52"/>
        <v>325.85000000000002</v>
      </c>
      <c r="S843" s="95">
        <v>0.05</v>
      </c>
      <c r="T843" s="96">
        <f t="shared" si="53"/>
        <v>16.2925</v>
      </c>
      <c r="U843" s="96">
        <f t="shared" si="54"/>
        <v>325.8</v>
      </c>
      <c r="V843" s="93">
        <v>3.98</v>
      </c>
      <c r="W843" s="97">
        <f t="shared" si="55"/>
        <v>329.78000000000003</v>
      </c>
    </row>
    <row r="844" spans="1:23" x14ac:dyDescent="0.25">
      <c r="A844" s="61" t="s">
        <v>937</v>
      </c>
      <c r="B844" s="91">
        <v>42466</v>
      </c>
      <c r="C844" s="92" t="s">
        <v>2006</v>
      </c>
      <c r="D844" s="92" t="s">
        <v>1337</v>
      </c>
      <c r="E844" s="92" t="s">
        <v>1198</v>
      </c>
      <c r="F844" s="92" t="s">
        <v>1235</v>
      </c>
      <c r="G844" s="92" t="s">
        <v>1203</v>
      </c>
      <c r="H844" s="92" t="s">
        <v>1247</v>
      </c>
      <c r="I844" s="92" t="s">
        <v>1256</v>
      </c>
      <c r="J844" s="92" t="s">
        <v>1396</v>
      </c>
      <c r="K844" s="92" t="s">
        <v>1243</v>
      </c>
      <c r="L844" s="92" t="s">
        <v>1244</v>
      </c>
      <c r="M844" s="92" t="s">
        <v>1241</v>
      </c>
      <c r="N844" s="91">
        <v>42468</v>
      </c>
      <c r="O844" s="93">
        <v>1.53</v>
      </c>
      <c r="P844" s="93">
        <v>2.78</v>
      </c>
      <c r="Q844" s="94">
        <v>10</v>
      </c>
      <c r="R844" s="93">
        <f t="shared" si="52"/>
        <v>27.799999999999997</v>
      </c>
      <c r="S844" s="95">
        <v>0.01</v>
      </c>
      <c r="T844" s="96">
        <f t="shared" si="53"/>
        <v>0.27799999999999997</v>
      </c>
      <c r="U844" s="96">
        <f t="shared" si="54"/>
        <v>27.789999999999996</v>
      </c>
      <c r="V844" s="93">
        <v>1.34</v>
      </c>
      <c r="W844" s="97">
        <f t="shared" si="55"/>
        <v>29.129999999999995</v>
      </c>
    </row>
    <row r="845" spans="1:23" x14ac:dyDescent="0.25">
      <c r="A845" s="61" t="s">
        <v>938</v>
      </c>
      <c r="B845" s="91">
        <v>42471</v>
      </c>
      <c r="C845" s="92" t="s">
        <v>1469</v>
      </c>
      <c r="D845" s="92" t="s">
        <v>1470</v>
      </c>
      <c r="E845" s="92" t="s">
        <v>1198</v>
      </c>
      <c r="F845" s="92" t="s">
        <v>1235</v>
      </c>
      <c r="G845" s="92" t="s">
        <v>1200</v>
      </c>
      <c r="H845" s="92" t="s">
        <v>1471</v>
      </c>
      <c r="I845" s="92" t="s">
        <v>1256</v>
      </c>
      <c r="J845" s="92" t="s">
        <v>1880</v>
      </c>
      <c r="K845" s="92" t="s">
        <v>1243</v>
      </c>
      <c r="L845" s="92" t="s">
        <v>1260</v>
      </c>
      <c r="M845" s="92" t="s">
        <v>1241</v>
      </c>
      <c r="N845" s="91">
        <v>42473</v>
      </c>
      <c r="O845" s="93">
        <v>3.99</v>
      </c>
      <c r="P845" s="93">
        <v>6.23</v>
      </c>
      <c r="Q845" s="94">
        <v>21</v>
      </c>
      <c r="R845" s="93">
        <f t="shared" si="52"/>
        <v>130.83000000000001</v>
      </c>
      <c r="S845" s="95">
        <v>0.05</v>
      </c>
      <c r="T845" s="96">
        <f t="shared" si="53"/>
        <v>6.541500000000001</v>
      </c>
      <c r="U845" s="96">
        <f t="shared" si="54"/>
        <v>130.78</v>
      </c>
      <c r="V845" s="93">
        <v>6.97</v>
      </c>
      <c r="W845" s="97">
        <f t="shared" si="55"/>
        <v>137.75</v>
      </c>
    </row>
    <row r="846" spans="1:23" x14ac:dyDescent="0.25">
      <c r="A846" s="61" t="s">
        <v>939</v>
      </c>
      <c r="B846" s="91">
        <v>42471</v>
      </c>
      <c r="C846" s="92" t="s">
        <v>1252</v>
      </c>
      <c r="D846" s="92" t="s">
        <v>1253</v>
      </c>
      <c r="E846" s="92" t="s">
        <v>1199</v>
      </c>
      <c r="F846" s="92" t="s">
        <v>1254</v>
      </c>
      <c r="G846" s="92" t="s">
        <v>1200</v>
      </c>
      <c r="H846" s="92" t="s">
        <v>1255</v>
      </c>
      <c r="I846" s="92" t="s">
        <v>1264</v>
      </c>
      <c r="J846" s="92" t="s">
        <v>1309</v>
      </c>
      <c r="K846" s="92" t="s">
        <v>1243</v>
      </c>
      <c r="L846" s="92" t="s">
        <v>1244</v>
      </c>
      <c r="M846" s="92" t="s">
        <v>1241</v>
      </c>
      <c r="N846" s="91">
        <v>42471</v>
      </c>
      <c r="O846" s="93">
        <v>0.92</v>
      </c>
      <c r="P846" s="93">
        <v>1.81</v>
      </c>
      <c r="Q846" s="94">
        <v>22</v>
      </c>
      <c r="R846" s="93">
        <f t="shared" si="52"/>
        <v>39.82</v>
      </c>
      <c r="S846" s="95">
        <v>0.09</v>
      </c>
      <c r="T846" s="96">
        <f t="shared" si="53"/>
        <v>3.5838000000000001</v>
      </c>
      <c r="U846" s="96">
        <f t="shared" si="54"/>
        <v>39.729999999999997</v>
      </c>
      <c r="V846" s="93">
        <v>1.56</v>
      </c>
      <c r="W846" s="97">
        <f t="shared" si="55"/>
        <v>41.29</v>
      </c>
    </row>
    <row r="847" spans="1:23" x14ac:dyDescent="0.25">
      <c r="A847" s="61" t="s">
        <v>940</v>
      </c>
      <c r="B847" s="91">
        <v>42471</v>
      </c>
      <c r="C847" s="92" t="s">
        <v>2007</v>
      </c>
      <c r="D847" s="92" t="s">
        <v>1615</v>
      </c>
      <c r="E847" s="92" t="s">
        <v>1198</v>
      </c>
      <c r="F847" s="92" t="s">
        <v>1235</v>
      </c>
      <c r="G847" s="92" t="s">
        <v>1203</v>
      </c>
      <c r="H847" s="92" t="s">
        <v>1404</v>
      </c>
      <c r="I847" s="92" t="s">
        <v>1317</v>
      </c>
      <c r="J847" s="92" t="s">
        <v>1345</v>
      </c>
      <c r="K847" s="92" t="s">
        <v>1243</v>
      </c>
      <c r="L847" s="92" t="s">
        <v>1244</v>
      </c>
      <c r="M847" s="92" t="s">
        <v>1250</v>
      </c>
      <c r="N847" s="91">
        <v>42472</v>
      </c>
      <c r="O847" s="93">
        <v>2.39</v>
      </c>
      <c r="P847" s="93">
        <v>4.26</v>
      </c>
      <c r="Q847" s="94">
        <v>34</v>
      </c>
      <c r="R847" s="93">
        <f t="shared" si="52"/>
        <v>144.84</v>
      </c>
      <c r="S847" s="95">
        <v>0.03</v>
      </c>
      <c r="T847" s="96">
        <f t="shared" si="53"/>
        <v>4.3452000000000002</v>
      </c>
      <c r="U847" s="96">
        <f t="shared" si="54"/>
        <v>144.81</v>
      </c>
      <c r="V847" s="93">
        <v>1.2</v>
      </c>
      <c r="W847" s="97">
        <f t="shared" si="55"/>
        <v>146.01</v>
      </c>
    </row>
    <row r="848" spans="1:23" x14ac:dyDescent="0.25">
      <c r="A848" s="61" t="s">
        <v>941</v>
      </c>
      <c r="B848" s="91">
        <v>42473</v>
      </c>
      <c r="C848" s="92" t="s">
        <v>1791</v>
      </c>
      <c r="D848" s="92" t="s">
        <v>1388</v>
      </c>
      <c r="E848" s="92" t="s">
        <v>1199</v>
      </c>
      <c r="F848" s="92" t="s">
        <v>1254</v>
      </c>
      <c r="G848" s="92" t="s">
        <v>1200</v>
      </c>
      <c r="H848" s="92" t="s">
        <v>1255</v>
      </c>
      <c r="I848" s="92" t="s">
        <v>1264</v>
      </c>
      <c r="J848" s="92" t="s">
        <v>1318</v>
      </c>
      <c r="K848" s="92" t="s">
        <v>1239</v>
      </c>
      <c r="L848" s="92" t="s">
        <v>1319</v>
      </c>
      <c r="M848" s="92" t="s">
        <v>1320</v>
      </c>
      <c r="N848" s="91">
        <v>42475</v>
      </c>
      <c r="O848" s="93">
        <v>278.99</v>
      </c>
      <c r="P848" s="93">
        <v>449.99</v>
      </c>
      <c r="Q848" s="94">
        <v>43</v>
      </c>
      <c r="R848" s="93">
        <f t="shared" si="52"/>
        <v>19349.57</v>
      </c>
      <c r="S848" s="95">
        <v>0.06</v>
      </c>
      <c r="T848" s="96">
        <f t="shared" si="53"/>
        <v>1160.9741999999999</v>
      </c>
      <c r="U848" s="96">
        <f t="shared" si="54"/>
        <v>19349.509999999998</v>
      </c>
      <c r="V848" s="93">
        <v>49</v>
      </c>
      <c r="W848" s="97">
        <f t="shared" si="55"/>
        <v>19398.509999999998</v>
      </c>
    </row>
    <row r="849" spans="1:23" x14ac:dyDescent="0.25">
      <c r="A849" s="61" t="s">
        <v>942</v>
      </c>
      <c r="B849" s="91">
        <v>42477</v>
      </c>
      <c r="C849" s="92" t="s">
        <v>1638</v>
      </c>
      <c r="D849" s="92" t="s">
        <v>1246</v>
      </c>
      <c r="E849" s="92" t="s">
        <v>1198</v>
      </c>
      <c r="F849" s="92" t="s">
        <v>1235</v>
      </c>
      <c r="G849" s="92" t="s">
        <v>1202</v>
      </c>
      <c r="H849" s="92" t="s">
        <v>1247</v>
      </c>
      <c r="I849" s="92" t="s">
        <v>1248</v>
      </c>
      <c r="J849" s="92" t="s">
        <v>1734</v>
      </c>
      <c r="K849" s="92" t="s">
        <v>1243</v>
      </c>
      <c r="L849" s="92" t="s">
        <v>1244</v>
      </c>
      <c r="M849" s="92" t="s">
        <v>1241</v>
      </c>
      <c r="N849" s="91">
        <v>42479</v>
      </c>
      <c r="O849" s="93">
        <v>1.05</v>
      </c>
      <c r="P849" s="93">
        <v>1.95</v>
      </c>
      <c r="Q849" s="94">
        <v>23</v>
      </c>
      <c r="R849" s="93">
        <f t="shared" si="52"/>
        <v>44.85</v>
      </c>
      <c r="S849" s="95">
        <v>0.09</v>
      </c>
      <c r="T849" s="96">
        <f t="shared" si="53"/>
        <v>4.0365000000000002</v>
      </c>
      <c r="U849" s="96">
        <f t="shared" si="54"/>
        <v>44.76</v>
      </c>
      <c r="V849" s="93">
        <v>1.63</v>
      </c>
      <c r="W849" s="97">
        <f t="shared" si="55"/>
        <v>46.39</v>
      </c>
    </row>
    <row r="850" spans="1:23" x14ac:dyDescent="0.25">
      <c r="A850" s="61" t="s">
        <v>943</v>
      </c>
      <c r="B850" s="91">
        <v>42483</v>
      </c>
      <c r="C850" s="92" t="s">
        <v>1810</v>
      </c>
      <c r="D850" s="92" t="s">
        <v>1395</v>
      </c>
      <c r="E850" s="92" t="s">
        <v>1198</v>
      </c>
      <c r="F850" s="92" t="s">
        <v>1235</v>
      </c>
      <c r="G850" s="92" t="s">
        <v>1200</v>
      </c>
      <c r="H850" s="92" t="s">
        <v>1236</v>
      </c>
      <c r="I850" s="92" t="s">
        <v>1256</v>
      </c>
      <c r="J850" s="92" t="s">
        <v>1344</v>
      </c>
      <c r="K850" s="92" t="s">
        <v>1243</v>
      </c>
      <c r="L850" s="92" t="s">
        <v>1244</v>
      </c>
      <c r="M850" s="92" t="s">
        <v>1241</v>
      </c>
      <c r="N850" s="91">
        <v>42484</v>
      </c>
      <c r="O850" s="93">
        <v>0.24</v>
      </c>
      <c r="P850" s="93">
        <v>1.26</v>
      </c>
      <c r="Q850" s="94">
        <v>11</v>
      </c>
      <c r="R850" s="93">
        <f t="shared" si="52"/>
        <v>13.86</v>
      </c>
      <c r="S850" s="95">
        <v>0</v>
      </c>
      <c r="T850" s="96">
        <f t="shared" si="53"/>
        <v>0</v>
      </c>
      <c r="U850" s="96">
        <f t="shared" si="54"/>
        <v>13.86</v>
      </c>
      <c r="V850" s="93">
        <v>0.7</v>
      </c>
      <c r="W850" s="97">
        <f t="shared" si="55"/>
        <v>14.559999999999999</v>
      </c>
    </row>
    <row r="851" spans="1:23" x14ac:dyDescent="0.25">
      <c r="A851" s="61" t="s">
        <v>944</v>
      </c>
      <c r="B851" s="91">
        <v>42483</v>
      </c>
      <c r="C851" s="92" t="s">
        <v>2008</v>
      </c>
      <c r="D851" s="92" t="s">
        <v>1581</v>
      </c>
      <c r="E851" s="92" t="s">
        <v>1199</v>
      </c>
      <c r="F851" s="92" t="s">
        <v>1254</v>
      </c>
      <c r="G851" s="92" t="s">
        <v>1203</v>
      </c>
      <c r="H851" s="92" t="s">
        <v>1274</v>
      </c>
      <c r="I851" s="92" t="s">
        <v>1256</v>
      </c>
      <c r="J851" s="92" t="s">
        <v>1492</v>
      </c>
      <c r="K851" s="92" t="s">
        <v>1243</v>
      </c>
      <c r="L851" s="92" t="s">
        <v>1244</v>
      </c>
      <c r="M851" s="92" t="s">
        <v>1241</v>
      </c>
      <c r="N851" s="91">
        <v>42485</v>
      </c>
      <c r="O851" s="93">
        <v>21.56</v>
      </c>
      <c r="P851" s="93">
        <v>36.549999999999997</v>
      </c>
      <c r="Q851" s="94">
        <v>17</v>
      </c>
      <c r="R851" s="93">
        <f t="shared" si="52"/>
        <v>621.34999999999991</v>
      </c>
      <c r="S851" s="95">
        <v>0.09</v>
      </c>
      <c r="T851" s="96">
        <f t="shared" si="53"/>
        <v>55.921499999999988</v>
      </c>
      <c r="U851" s="96">
        <f t="shared" si="54"/>
        <v>621.25999999999988</v>
      </c>
      <c r="V851" s="93">
        <v>13.89</v>
      </c>
      <c r="W851" s="97">
        <f t="shared" si="55"/>
        <v>635.14999999999986</v>
      </c>
    </row>
    <row r="852" spans="1:23" x14ac:dyDescent="0.25">
      <c r="A852" s="61" t="s">
        <v>945</v>
      </c>
      <c r="B852" s="91">
        <v>42483</v>
      </c>
      <c r="C852" s="92" t="s">
        <v>1881</v>
      </c>
      <c r="D852" s="92" t="s">
        <v>1294</v>
      </c>
      <c r="E852" s="92" t="s">
        <v>1199</v>
      </c>
      <c r="F852" s="92" t="s">
        <v>1254</v>
      </c>
      <c r="G852" s="92" t="s">
        <v>1202</v>
      </c>
      <c r="H852" s="92" t="s">
        <v>1274</v>
      </c>
      <c r="I852" s="92" t="s">
        <v>1256</v>
      </c>
      <c r="J852" s="92" t="s">
        <v>1449</v>
      </c>
      <c r="K852" s="92" t="s">
        <v>1243</v>
      </c>
      <c r="L852" s="92" t="s">
        <v>1244</v>
      </c>
      <c r="M852" s="92" t="s">
        <v>1241</v>
      </c>
      <c r="N852" s="91">
        <v>42484</v>
      </c>
      <c r="O852" s="93">
        <v>1.82</v>
      </c>
      <c r="P852" s="93">
        <v>2.98</v>
      </c>
      <c r="Q852" s="94">
        <v>32</v>
      </c>
      <c r="R852" s="93">
        <f t="shared" si="52"/>
        <v>95.36</v>
      </c>
      <c r="S852" s="95">
        <v>0.01</v>
      </c>
      <c r="T852" s="96">
        <f t="shared" si="53"/>
        <v>0.9536</v>
      </c>
      <c r="U852" s="96">
        <f t="shared" si="54"/>
        <v>95.35</v>
      </c>
      <c r="V852" s="93">
        <v>1.58</v>
      </c>
      <c r="W852" s="97">
        <f t="shared" si="55"/>
        <v>96.929999999999993</v>
      </c>
    </row>
    <row r="853" spans="1:23" x14ac:dyDescent="0.25">
      <c r="A853" s="61" t="s">
        <v>946</v>
      </c>
      <c r="B853" s="91">
        <v>42484</v>
      </c>
      <c r="C853" s="92" t="s">
        <v>2009</v>
      </c>
      <c r="D853" s="92" t="s">
        <v>1246</v>
      </c>
      <c r="E853" s="92" t="s">
        <v>1198</v>
      </c>
      <c r="F853" s="92" t="s">
        <v>1235</v>
      </c>
      <c r="G853" s="92" t="s">
        <v>1203</v>
      </c>
      <c r="H853" s="92" t="s">
        <v>1247</v>
      </c>
      <c r="I853" s="92" t="s">
        <v>1317</v>
      </c>
      <c r="J853" s="92" t="s">
        <v>1593</v>
      </c>
      <c r="K853" s="92" t="s">
        <v>1243</v>
      </c>
      <c r="L853" s="92" t="s">
        <v>1260</v>
      </c>
      <c r="M853" s="92" t="s">
        <v>1241</v>
      </c>
      <c r="N853" s="91">
        <v>42486</v>
      </c>
      <c r="O853" s="93">
        <v>2.1800000000000002</v>
      </c>
      <c r="P853" s="93">
        <v>3.52</v>
      </c>
      <c r="Q853" s="94">
        <v>32</v>
      </c>
      <c r="R853" s="93">
        <f t="shared" si="52"/>
        <v>112.64</v>
      </c>
      <c r="S853" s="95">
        <v>7.0000000000000007E-2</v>
      </c>
      <c r="T853" s="96">
        <f t="shared" si="53"/>
        <v>7.8848000000000011</v>
      </c>
      <c r="U853" s="96">
        <f t="shared" si="54"/>
        <v>112.57000000000001</v>
      </c>
      <c r="V853" s="93">
        <v>6.83</v>
      </c>
      <c r="W853" s="97">
        <f t="shared" si="55"/>
        <v>119.4</v>
      </c>
    </row>
    <row r="854" spans="1:23" x14ac:dyDescent="0.25">
      <c r="A854" s="61" t="s">
        <v>947</v>
      </c>
      <c r="B854" s="91">
        <v>42485</v>
      </c>
      <c r="C854" s="92" t="s">
        <v>1832</v>
      </c>
      <c r="D854" s="92" t="s">
        <v>1833</v>
      </c>
      <c r="E854" s="92" t="s">
        <v>1198</v>
      </c>
      <c r="F854" s="92" t="s">
        <v>1235</v>
      </c>
      <c r="G854" s="92" t="s">
        <v>1203</v>
      </c>
      <c r="H854" s="92" t="s">
        <v>1409</v>
      </c>
      <c r="I854" s="92" t="s">
        <v>1256</v>
      </c>
      <c r="J854" s="92" t="s">
        <v>1475</v>
      </c>
      <c r="K854" s="92" t="s">
        <v>1239</v>
      </c>
      <c r="L854" s="92" t="s">
        <v>1260</v>
      </c>
      <c r="M854" s="92" t="s">
        <v>1241</v>
      </c>
      <c r="N854" s="91">
        <v>42486</v>
      </c>
      <c r="O854" s="93">
        <v>8.31</v>
      </c>
      <c r="P854" s="93">
        <v>15.98</v>
      </c>
      <c r="Q854" s="94">
        <v>18</v>
      </c>
      <c r="R854" s="93">
        <f t="shared" si="52"/>
        <v>287.64</v>
      </c>
      <c r="S854" s="95">
        <v>0.1</v>
      </c>
      <c r="T854" s="96">
        <f t="shared" si="53"/>
        <v>28.763999999999999</v>
      </c>
      <c r="U854" s="96">
        <f t="shared" si="54"/>
        <v>287.53999999999996</v>
      </c>
      <c r="V854" s="93">
        <v>6.5</v>
      </c>
      <c r="W854" s="97">
        <f t="shared" si="55"/>
        <v>294.03999999999996</v>
      </c>
    </row>
    <row r="855" spans="1:23" x14ac:dyDescent="0.25">
      <c r="A855" s="61" t="s">
        <v>948</v>
      </c>
      <c r="B855" s="91">
        <v>42485</v>
      </c>
      <c r="C855" s="92" t="s">
        <v>2010</v>
      </c>
      <c r="D855" s="92" t="s">
        <v>1496</v>
      </c>
      <c r="E855" s="92" t="s">
        <v>1198</v>
      </c>
      <c r="F855" s="92" t="s">
        <v>1235</v>
      </c>
      <c r="G855" s="92" t="s">
        <v>1202</v>
      </c>
      <c r="H855" s="92" t="s">
        <v>1313</v>
      </c>
      <c r="I855" s="92" t="s">
        <v>1237</v>
      </c>
      <c r="J855" s="92" t="s">
        <v>1366</v>
      </c>
      <c r="K855" s="92" t="s">
        <v>1243</v>
      </c>
      <c r="L855" s="92" t="s">
        <v>1244</v>
      </c>
      <c r="M855" s="92" t="s">
        <v>1241</v>
      </c>
      <c r="N855" s="91">
        <v>42487</v>
      </c>
      <c r="O855" s="93">
        <v>3.48</v>
      </c>
      <c r="P855" s="93">
        <v>5.43</v>
      </c>
      <c r="Q855" s="94">
        <v>37</v>
      </c>
      <c r="R855" s="93">
        <f t="shared" si="52"/>
        <v>200.91</v>
      </c>
      <c r="S855" s="95">
        <v>0.09</v>
      </c>
      <c r="T855" s="96">
        <f t="shared" si="53"/>
        <v>18.081899999999997</v>
      </c>
      <c r="U855" s="96">
        <f t="shared" si="54"/>
        <v>200.82</v>
      </c>
      <c r="V855" s="93">
        <v>0.95</v>
      </c>
      <c r="W855" s="97">
        <f t="shared" si="55"/>
        <v>201.76999999999998</v>
      </c>
    </row>
    <row r="856" spans="1:23" x14ac:dyDescent="0.25">
      <c r="A856" s="61" t="s">
        <v>949</v>
      </c>
      <c r="B856" s="91">
        <v>42487</v>
      </c>
      <c r="C856" s="92" t="s">
        <v>2011</v>
      </c>
      <c r="D856" s="92" t="s">
        <v>1316</v>
      </c>
      <c r="E856" s="92" t="s">
        <v>1199</v>
      </c>
      <c r="F856" s="92" t="s">
        <v>1254</v>
      </c>
      <c r="G856" s="92" t="s">
        <v>1202</v>
      </c>
      <c r="H856" s="92" t="s">
        <v>1274</v>
      </c>
      <c r="I856" s="92" t="s">
        <v>1317</v>
      </c>
      <c r="J856" s="92" t="s">
        <v>1515</v>
      </c>
      <c r="K856" s="92" t="s">
        <v>1243</v>
      </c>
      <c r="L856" s="92" t="s">
        <v>1260</v>
      </c>
      <c r="M856" s="92" t="s">
        <v>1241</v>
      </c>
      <c r="N856" s="91">
        <v>42488</v>
      </c>
      <c r="O856" s="93">
        <v>2.25</v>
      </c>
      <c r="P856" s="93">
        <v>3.69</v>
      </c>
      <c r="Q856" s="94">
        <v>46</v>
      </c>
      <c r="R856" s="93">
        <f t="shared" si="52"/>
        <v>169.74</v>
      </c>
      <c r="S856" s="95">
        <v>0.04</v>
      </c>
      <c r="T856" s="96">
        <f t="shared" si="53"/>
        <v>6.7896000000000001</v>
      </c>
      <c r="U856" s="96">
        <f t="shared" si="54"/>
        <v>169.70000000000002</v>
      </c>
      <c r="V856" s="93">
        <v>2.5</v>
      </c>
      <c r="W856" s="97">
        <f t="shared" si="55"/>
        <v>172.20000000000002</v>
      </c>
    </row>
    <row r="857" spans="1:23" x14ac:dyDescent="0.25">
      <c r="A857" s="61" t="s">
        <v>950</v>
      </c>
      <c r="B857" s="91">
        <v>42492</v>
      </c>
      <c r="C857" s="92" t="s">
        <v>1538</v>
      </c>
      <c r="D857" s="92" t="s">
        <v>1461</v>
      </c>
      <c r="E857" s="92" t="s">
        <v>1199</v>
      </c>
      <c r="F857" s="92" t="s">
        <v>1254</v>
      </c>
      <c r="G857" s="92" t="s">
        <v>1202</v>
      </c>
      <c r="H857" s="92" t="s">
        <v>1255</v>
      </c>
      <c r="I857" s="92" t="s">
        <v>1256</v>
      </c>
      <c r="J857" s="92" t="s">
        <v>1618</v>
      </c>
      <c r="K857" s="92" t="s">
        <v>1243</v>
      </c>
      <c r="L857" s="92" t="s">
        <v>1240</v>
      </c>
      <c r="M857" s="92" t="s">
        <v>1241</v>
      </c>
      <c r="N857" s="91">
        <v>42493</v>
      </c>
      <c r="O857" s="93">
        <v>2.5</v>
      </c>
      <c r="P857" s="93">
        <v>5.68</v>
      </c>
      <c r="Q857" s="94">
        <v>25</v>
      </c>
      <c r="R857" s="93">
        <f t="shared" si="52"/>
        <v>142</v>
      </c>
      <c r="S857" s="95">
        <v>0.1</v>
      </c>
      <c r="T857" s="96">
        <f t="shared" si="53"/>
        <v>14.200000000000001</v>
      </c>
      <c r="U857" s="96">
        <f t="shared" si="54"/>
        <v>141.9</v>
      </c>
      <c r="V857" s="93">
        <v>3.6</v>
      </c>
      <c r="W857" s="97">
        <f t="shared" si="55"/>
        <v>145.5</v>
      </c>
    </row>
    <row r="858" spans="1:23" x14ac:dyDescent="0.25">
      <c r="A858" s="61" t="s">
        <v>951</v>
      </c>
      <c r="B858" s="91">
        <v>42495</v>
      </c>
      <c r="C858" s="92" t="s">
        <v>2012</v>
      </c>
      <c r="D858" s="92" t="s">
        <v>1514</v>
      </c>
      <c r="E858" s="92" t="s">
        <v>1198</v>
      </c>
      <c r="F858" s="92" t="s">
        <v>1235</v>
      </c>
      <c r="G858" s="92" t="s">
        <v>1203</v>
      </c>
      <c r="H858" s="92" t="s">
        <v>1291</v>
      </c>
      <c r="I858" s="92" t="s">
        <v>1237</v>
      </c>
      <c r="J858" s="92" t="s">
        <v>1287</v>
      </c>
      <c r="K858" s="92" t="s">
        <v>1243</v>
      </c>
      <c r="L858" s="92" t="s">
        <v>1260</v>
      </c>
      <c r="M858" s="92" t="s">
        <v>1241</v>
      </c>
      <c r="N858" s="91">
        <v>42497</v>
      </c>
      <c r="O858" s="93">
        <v>3.52</v>
      </c>
      <c r="P858" s="93">
        <v>5.58</v>
      </c>
      <c r="Q858" s="94">
        <v>13</v>
      </c>
      <c r="R858" s="93">
        <f t="shared" si="52"/>
        <v>72.540000000000006</v>
      </c>
      <c r="S858" s="95">
        <v>0.06</v>
      </c>
      <c r="T858" s="96">
        <f t="shared" si="53"/>
        <v>4.3524000000000003</v>
      </c>
      <c r="U858" s="96">
        <f t="shared" si="54"/>
        <v>72.48</v>
      </c>
      <c r="V858" s="93">
        <v>2.99</v>
      </c>
      <c r="W858" s="97">
        <f t="shared" si="55"/>
        <v>75.47</v>
      </c>
    </row>
    <row r="859" spans="1:23" x14ac:dyDescent="0.25">
      <c r="A859" s="61" t="s">
        <v>952</v>
      </c>
      <c r="B859" s="91">
        <v>42498</v>
      </c>
      <c r="C859" s="92" t="s">
        <v>1749</v>
      </c>
      <c r="D859" s="92" t="s">
        <v>1514</v>
      </c>
      <c r="E859" s="92" t="s">
        <v>1198</v>
      </c>
      <c r="F859" s="92" t="s">
        <v>1235</v>
      </c>
      <c r="G859" s="92" t="s">
        <v>1200</v>
      </c>
      <c r="H859" s="92" t="s">
        <v>1291</v>
      </c>
      <c r="I859" s="92" t="s">
        <v>1248</v>
      </c>
      <c r="J859" s="92" t="s">
        <v>1573</v>
      </c>
      <c r="K859" s="92" t="s">
        <v>1243</v>
      </c>
      <c r="L859" s="92" t="s">
        <v>1244</v>
      </c>
      <c r="M859" s="92" t="s">
        <v>1241</v>
      </c>
      <c r="N859" s="91">
        <v>42502</v>
      </c>
      <c r="O859" s="93">
        <v>1.95</v>
      </c>
      <c r="P859" s="93">
        <v>3.98</v>
      </c>
      <c r="Q859" s="94">
        <v>27</v>
      </c>
      <c r="R859" s="93">
        <f t="shared" si="52"/>
        <v>107.46</v>
      </c>
      <c r="S859" s="95">
        <v>0.06</v>
      </c>
      <c r="T859" s="96">
        <f t="shared" si="53"/>
        <v>6.4475999999999996</v>
      </c>
      <c r="U859" s="96">
        <f t="shared" si="54"/>
        <v>107.39999999999999</v>
      </c>
      <c r="V859" s="93">
        <v>0.83</v>
      </c>
      <c r="W859" s="97">
        <f t="shared" si="55"/>
        <v>108.22999999999999</v>
      </c>
    </row>
    <row r="860" spans="1:23" x14ac:dyDescent="0.25">
      <c r="A860" s="61" t="s">
        <v>953</v>
      </c>
      <c r="B860" s="91">
        <v>42498</v>
      </c>
      <c r="C860" s="92" t="s">
        <v>1991</v>
      </c>
      <c r="D860" s="92" t="s">
        <v>1922</v>
      </c>
      <c r="E860" s="92" t="s">
        <v>1198</v>
      </c>
      <c r="F860" s="92" t="s">
        <v>1235</v>
      </c>
      <c r="G860" s="92" t="s">
        <v>1200</v>
      </c>
      <c r="H860" s="92" t="s">
        <v>1304</v>
      </c>
      <c r="I860" s="92" t="s">
        <v>1248</v>
      </c>
      <c r="J860" s="92" t="s">
        <v>1393</v>
      </c>
      <c r="K860" s="92" t="s">
        <v>1243</v>
      </c>
      <c r="L860" s="92" t="s">
        <v>1244</v>
      </c>
      <c r="M860" s="92" t="s">
        <v>1241</v>
      </c>
      <c r="N860" s="91">
        <v>42498</v>
      </c>
      <c r="O860" s="93">
        <v>0.71</v>
      </c>
      <c r="P860" s="93">
        <v>1.1399999999999999</v>
      </c>
      <c r="Q860" s="94">
        <v>20</v>
      </c>
      <c r="R860" s="93">
        <f t="shared" si="52"/>
        <v>22.799999999999997</v>
      </c>
      <c r="S860" s="95">
        <v>0.09</v>
      </c>
      <c r="T860" s="96">
        <f t="shared" si="53"/>
        <v>2.0519999999999996</v>
      </c>
      <c r="U860" s="96">
        <f t="shared" si="54"/>
        <v>22.709999999999997</v>
      </c>
      <c r="V860" s="93">
        <v>0.7</v>
      </c>
      <c r="W860" s="97">
        <f t="shared" si="55"/>
        <v>23.409999999999997</v>
      </c>
    </row>
    <row r="861" spans="1:23" x14ac:dyDescent="0.25">
      <c r="A861" s="61" t="s">
        <v>954</v>
      </c>
      <c r="B861" s="91">
        <v>42499</v>
      </c>
      <c r="C861" s="92" t="s">
        <v>1635</v>
      </c>
      <c r="D861" s="92" t="s">
        <v>1636</v>
      </c>
      <c r="E861" s="92" t="s">
        <v>1198</v>
      </c>
      <c r="F861" s="92" t="s">
        <v>1235</v>
      </c>
      <c r="G861" s="92" t="s">
        <v>1200</v>
      </c>
      <c r="H861" s="92" t="s">
        <v>1409</v>
      </c>
      <c r="I861" s="92" t="s">
        <v>1317</v>
      </c>
      <c r="J861" s="92" t="s">
        <v>1745</v>
      </c>
      <c r="K861" s="92" t="s">
        <v>1243</v>
      </c>
      <c r="L861" s="92" t="s">
        <v>1260</v>
      </c>
      <c r="M861" s="92" t="s">
        <v>1241</v>
      </c>
      <c r="N861" s="91">
        <v>42501</v>
      </c>
      <c r="O861" s="93">
        <v>84.22</v>
      </c>
      <c r="P861" s="93">
        <v>210.55</v>
      </c>
      <c r="Q861" s="94">
        <v>4</v>
      </c>
      <c r="R861" s="93">
        <f t="shared" si="52"/>
        <v>842.2</v>
      </c>
      <c r="S861" s="95">
        <v>0.05</v>
      </c>
      <c r="T861" s="96">
        <f t="shared" si="53"/>
        <v>42.110000000000007</v>
      </c>
      <c r="U861" s="96">
        <f t="shared" si="54"/>
        <v>842.15000000000009</v>
      </c>
      <c r="V861" s="93">
        <v>9.99</v>
      </c>
      <c r="W861" s="97">
        <f t="shared" si="55"/>
        <v>852.1400000000001</v>
      </c>
    </row>
    <row r="862" spans="1:23" x14ac:dyDescent="0.25">
      <c r="A862" s="61" t="s">
        <v>955</v>
      </c>
      <c r="B862" s="91">
        <v>42500</v>
      </c>
      <c r="C862" s="92" t="s">
        <v>1495</v>
      </c>
      <c r="D862" s="92" t="s">
        <v>1496</v>
      </c>
      <c r="E862" s="92" t="s">
        <v>1198</v>
      </c>
      <c r="F862" s="92" t="s">
        <v>1235</v>
      </c>
      <c r="G862" s="92" t="s">
        <v>1200</v>
      </c>
      <c r="H862" s="92" t="s">
        <v>1313</v>
      </c>
      <c r="I862" s="92" t="s">
        <v>1256</v>
      </c>
      <c r="J862" s="92" t="s">
        <v>1456</v>
      </c>
      <c r="K862" s="92" t="s">
        <v>1243</v>
      </c>
      <c r="L862" s="92" t="s">
        <v>1260</v>
      </c>
      <c r="M862" s="92" t="s">
        <v>1241</v>
      </c>
      <c r="N862" s="91">
        <v>42502</v>
      </c>
      <c r="O862" s="93">
        <v>3.52</v>
      </c>
      <c r="P862" s="93">
        <v>5.68</v>
      </c>
      <c r="Q862" s="94">
        <v>34</v>
      </c>
      <c r="R862" s="93">
        <f t="shared" si="52"/>
        <v>193.12</v>
      </c>
      <c r="S862" s="95">
        <v>0.06</v>
      </c>
      <c r="T862" s="96">
        <f t="shared" si="53"/>
        <v>11.587199999999999</v>
      </c>
      <c r="U862" s="96">
        <f t="shared" si="54"/>
        <v>193.06</v>
      </c>
      <c r="V862" s="93">
        <v>1.39</v>
      </c>
      <c r="W862" s="97">
        <f t="shared" si="55"/>
        <v>194.45</v>
      </c>
    </row>
    <row r="863" spans="1:23" x14ac:dyDescent="0.25">
      <c r="A863" s="61" t="s">
        <v>956</v>
      </c>
      <c r="B863" s="91">
        <v>42502</v>
      </c>
      <c r="C863" s="92" t="s">
        <v>1764</v>
      </c>
      <c r="D863" s="92" t="s">
        <v>1253</v>
      </c>
      <c r="E863" s="92" t="s">
        <v>1199</v>
      </c>
      <c r="F863" s="92" t="s">
        <v>1254</v>
      </c>
      <c r="G863" s="92" t="s">
        <v>1200</v>
      </c>
      <c r="H863" s="92" t="s">
        <v>1255</v>
      </c>
      <c r="I863" s="92" t="s">
        <v>1264</v>
      </c>
      <c r="J863" s="92" t="s">
        <v>1593</v>
      </c>
      <c r="K863" s="92" t="s">
        <v>1243</v>
      </c>
      <c r="L863" s="92" t="s">
        <v>1260</v>
      </c>
      <c r="M863" s="92" t="s">
        <v>1241</v>
      </c>
      <c r="N863" s="91">
        <v>42504</v>
      </c>
      <c r="O863" s="93">
        <v>2.1800000000000002</v>
      </c>
      <c r="P863" s="93">
        <v>3.52</v>
      </c>
      <c r="Q863" s="94">
        <v>42</v>
      </c>
      <c r="R863" s="93">
        <f t="shared" si="52"/>
        <v>147.84</v>
      </c>
      <c r="S863" s="95">
        <v>0.04</v>
      </c>
      <c r="T863" s="96">
        <f t="shared" si="53"/>
        <v>5.9136000000000006</v>
      </c>
      <c r="U863" s="96">
        <f t="shared" si="54"/>
        <v>147.80000000000001</v>
      </c>
      <c r="V863" s="93">
        <v>6.83</v>
      </c>
      <c r="W863" s="97">
        <f t="shared" si="55"/>
        <v>154.63000000000002</v>
      </c>
    </row>
    <row r="864" spans="1:23" x14ac:dyDescent="0.25">
      <c r="A864" s="61" t="s">
        <v>957</v>
      </c>
      <c r="B864" s="91">
        <v>42504</v>
      </c>
      <c r="C864" s="92" t="s">
        <v>1785</v>
      </c>
      <c r="D864" s="92" t="s">
        <v>1731</v>
      </c>
      <c r="E864" s="92" t="s">
        <v>1198</v>
      </c>
      <c r="F864" s="92" t="s">
        <v>1235</v>
      </c>
      <c r="G864" s="92" t="s">
        <v>1200</v>
      </c>
      <c r="H864" s="92" t="s">
        <v>1286</v>
      </c>
      <c r="I864" s="92" t="s">
        <v>1256</v>
      </c>
      <c r="J864" s="92" t="s">
        <v>1373</v>
      </c>
      <c r="K864" s="92" t="s">
        <v>1243</v>
      </c>
      <c r="L864" s="92" t="s">
        <v>1260</v>
      </c>
      <c r="M864" s="92" t="s">
        <v>1241</v>
      </c>
      <c r="N864" s="91">
        <v>42506</v>
      </c>
      <c r="O864" s="93">
        <v>2.29</v>
      </c>
      <c r="P864" s="93">
        <v>3.69</v>
      </c>
      <c r="Q864" s="94">
        <v>47</v>
      </c>
      <c r="R864" s="93">
        <f t="shared" si="52"/>
        <v>173.43</v>
      </c>
      <c r="S864" s="95">
        <v>0.05</v>
      </c>
      <c r="T864" s="96">
        <f t="shared" si="53"/>
        <v>8.6715</v>
      </c>
      <c r="U864" s="96">
        <f t="shared" si="54"/>
        <v>173.38</v>
      </c>
      <c r="V864" s="93">
        <v>0.5</v>
      </c>
      <c r="W864" s="97">
        <f t="shared" si="55"/>
        <v>173.88</v>
      </c>
    </row>
    <row r="865" spans="1:23" x14ac:dyDescent="0.25">
      <c r="A865" s="61" t="s">
        <v>958</v>
      </c>
      <c r="B865" s="91">
        <v>42504</v>
      </c>
      <c r="C865" s="92" t="s">
        <v>1325</v>
      </c>
      <c r="D865" s="92" t="s">
        <v>1326</v>
      </c>
      <c r="E865" s="92" t="s">
        <v>1199</v>
      </c>
      <c r="F865" s="92" t="s">
        <v>1254</v>
      </c>
      <c r="G865" s="92" t="s">
        <v>1201</v>
      </c>
      <c r="H865" s="92" t="s">
        <v>1255</v>
      </c>
      <c r="I865" s="92" t="s">
        <v>1256</v>
      </c>
      <c r="J865" s="92" t="s">
        <v>1547</v>
      </c>
      <c r="K865" s="92" t="s">
        <v>1243</v>
      </c>
      <c r="L865" s="92" t="s">
        <v>1260</v>
      </c>
      <c r="M865" s="92" t="s">
        <v>1241</v>
      </c>
      <c r="N865" s="91">
        <v>42506</v>
      </c>
      <c r="O865" s="93">
        <v>1.33</v>
      </c>
      <c r="P865" s="93">
        <v>2.08</v>
      </c>
      <c r="Q865" s="94">
        <v>43</v>
      </c>
      <c r="R865" s="93">
        <f t="shared" si="52"/>
        <v>89.44</v>
      </c>
      <c r="S865" s="95">
        <v>0.05</v>
      </c>
      <c r="T865" s="96">
        <f t="shared" si="53"/>
        <v>4.4720000000000004</v>
      </c>
      <c r="U865" s="96">
        <f t="shared" si="54"/>
        <v>89.39</v>
      </c>
      <c r="V865" s="93">
        <v>1.49</v>
      </c>
      <c r="W865" s="97">
        <f t="shared" si="55"/>
        <v>90.88</v>
      </c>
    </row>
    <row r="866" spans="1:23" x14ac:dyDescent="0.25">
      <c r="A866" s="61" t="s">
        <v>959</v>
      </c>
      <c r="B866" s="91">
        <v>42508</v>
      </c>
      <c r="C866" s="92" t="s">
        <v>2013</v>
      </c>
      <c r="D866" s="92" t="s">
        <v>1340</v>
      </c>
      <c r="E866" s="92" t="s">
        <v>1199</v>
      </c>
      <c r="F866" s="92" t="s">
        <v>1254</v>
      </c>
      <c r="G866" s="92" t="s">
        <v>1200</v>
      </c>
      <c r="H866" s="92" t="s">
        <v>1255</v>
      </c>
      <c r="I866" s="92" t="s">
        <v>1256</v>
      </c>
      <c r="J866" s="92" t="s">
        <v>1333</v>
      </c>
      <c r="K866" s="92" t="s">
        <v>1243</v>
      </c>
      <c r="L866" s="92" t="s">
        <v>1260</v>
      </c>
      <c r="M866" s="92" t="s">
        <v>1241</v>
      </c>
      <c r="N866" s="91">
        <v>42510</v>
      </c>
      <c r="O866" s="93">
        <v>14.95</v>
      </c>
      <c r="P866" s="93">
        <v>34.76</v>
      </c>
      <c r="Q866" s="94">
        <v>8</v>
      </c>
      <c r="R866" s="93">
        <f t="shared" si="52"/>
        <v>278.08</v>
      </c>
      <c r="S866" s="95">
        <v>0</v>
      </c>
      <c r="T866" s="96">
        <f t="shared" si="53"/>
        <v>0</v>
      </c>
      <c r="U866" s="96">
        <f t="shared" si="54"/>
        <v>278.08</v>
      </c>
      <c r="V866" s="93">
        <v>8.2200000000000006</v>
      </c>
      <c r="W866" s="97">
        <f t="shared" si="55"/>
        <v>286.3</v>
      </c>
    </row>
    <row r="867" spans="1:23" x14ac:dyDescent="0.25">
      <c r="A867" s="61" t="s">
        <v>960</v>
      </c>
      <c r="B867" s="91">
        <v>42509</v>
      </c>
      <c r="C867" s="92" t="s">
        <v>2014</v>
      </c>
      <c r="D867" s="92" t="s">
        <v>1742</v>
      </c>
      <c r="E867" s="92" t="s">
        <v>1198</v>
      </c>
      <c r="F867" s="92" t="s">
        <v>1235</v>
      </c>
      <c r="G867" s="92" t="s">
        <v>1203</v>
      </c>
      <c r="H867" s="92" t="s">
        <v>1440</v>
      </c>
      <c r="I867" s="92" t="s">
        <v>1237</v>
      </c>
      <c r="J867" s="92" t="s">
        <v>1378</v>
      </c>
      <c r="K867" s="92" t="s">
        <v>1243</v>
      </c>
      <c r="L867" s="92" t="s">
        <v>1244</v>
      </c>
      <c r="M867" s="92" t="s">
        <v>1241</v>
      </c>
      <c r="N867" s="91">
        <v>42510</v>
      </c>
      <c r="O867" s="93">
        <v>1.76</v>
      </c>
      <c r="P867" s="93">
        <v>2.94</v>
      </c>
      <c r="Q867" s="94">
        <v>31</v>
      </c>
      <c r="R867" s="93">
        <f t="shared" si="52"/>
        <v>91.14</v>
      </c>
      <c r="S867" s="95">
        <v>0.04</v>
      </c>
      <c r="T867" s="96">
        <f t="shared" si="53"/>
        <v>3.6456</v>
      </c>
      <c r="U867" s="96">
        <f t="shared" si="54"/>
        <v>91.1</v>
      </c>
      <c r="V867" s="93">
        <v>0.81</v>
      </c>
      <c r="W867" s="97">
        <f t="shared" si="55"/>
        <v>91.91</v>
      </c>
    </row>
    <row r="868" spans="1:23" x14ac:dyDescent="0.25">
      <c r="A868" s="61" t="s">
        <v>961</v>
      </c>
      <c r="B868" s="91">
        <v>42511</v>
      </c>
      <c r="C868" s="92" t="s">
        <v>2015</v>
      </c>
      <c r="D868" s="92" t="s">
        <v>1278</v>
      </c>
      <c r="E868" s="92" t="s">
        <v>1198</v>
      </c>
      <c r="F868" s="92" t="s">
        <v>1235</v>
      </c>
      <c r="G868" s="92" t="s">
        <v>1200</v>
      </c>
      <c r="H868" s="92" t="s">
        <v>1236</v>
      </c>
      <c r="I868" s="92" t="s">
        <v>1264</v>
      </c>
      <c r="J868" s="92" t="s">
        <v>1386</v>
      </c>
      <c r="K868" s="92" t="s">
        <v>1382</v>
      </c>
      <c r="L868" s="92" t="s">
        <v>1240</v>
      </c>
      <c r="M868" s="92" t="s">
        <v>1241</v>
      </c>
      <c r="N868" s="91">
        <v>42512</v>
      </c>
      <c r="O868" s="93">
        <v>5.5</v>
      </c>
      <c r="P868" s="93">
        <v>12.22</v>
      </c>
      <c r="Q868" s="94">
        <v>10</v>
      </c>
      <c r="R868" s="93">
        <f t="shared" si="52"/>
        <v>122.2</v>
      </c>
      <c r="S868" s="95">
        <v>0.01</v>
      </c>
      <c r="T868" s="96">
        <f t="shared" si="53"/>
        <v>1.222</v>
      </c>
      <c r="U868" s="96">
        <f t="shared" si="54"/>
        <v>122.19</v>
      </c>
      <c r="V868" s="93">
        <v>2.85</v>
      </c>
      <c r="W868" s="97">
        <f t="shared" si="55"/>
        <v>125.03999999999999</v>
      </c>
    </row>
    <row r="869" spans="1:23" x14ac:dyDescent="0.25">
      <c r="A869" s="61" t="s">
        <v>962</v>
      </c>
      <c r="B869" s="91">
        <v>42511</v>
      </c>
      <c r="C869" s="92" t="s">
        <v>1569</v>
      </c>
      <c r="D869" s="92" t="s">
        <v>1337</v>
      </c>
      <c r="E869" s="92" t="s">
        <v>1198</v>
      </c>
      <c r="F869" s="92" t="s">
        <v>1235</v>
      </c>
      <c r="G869" s="92" t="s">
        <v>1201</v>
      </c>
      <c r="H869" s="92" t="s">
        <v>1247</v>
      </c>
      <c r="I869" s="92" t="s">
        <v>1264</v>
      </c>
      <c r="J869" s="92" t="s">
        <v>1705</v>
      </c>
      <c r="K869" s="92" t="s">
        <v>1243</v>
      </c>
      <c r="L869" s="92" t="s">
        <v>1260</v>
      </c>
      <c r="M869" s="92" t="s">
        <v>1241</v>
      </c>
      <c r="N869" s="91">
        <v>42511</v>
      </c>
      <c r="O869" s="93">
        <v>52.07</v>
      </c>
      <c r="P869" s="93">
        <v>83.98</v>
      </c>
      <c r="Q869" s="94">
        <v>46</v>
      </c>
      <c r="R869" s="93">
        <f t="shared" si="52"/>
        <v>3863.0800000000004</v>
      </c>
      <c r="S869" s="95">
        <v>0.06</v>
      </c>
      <c r="T869" s="96">
        <f t="shared" si="53"/>
        <v>231.78480000000002</v>
      </c>
      <c r="U869" s="96">
        <f t="shared" si="54"/>
        <v>3863.0200000000004</v>
      </c>
      <c r="V869" s="93">
        <v>5.01</v>
      </c>
      <c r="W869" s="97">
        <f t="shared" si="55"/>
        <v>3868.0300000000007</v>
      </c>
    </row>
    <row r="870" spans="1:23" x14ac:dyDescent="0.25">
      <c r="A870" s="61" t="s">
        <v>963</v>
      </c>
      <c r="B870" s="91">
        <v>42511</v>
      </c>
      <c r="C870" s="92" t="s">
        <v>1796</v>
      </c>
      <c r="D870" s="92" t="s">
        <v>1347</v>
      </c>
      <c r="E870" s="92" t="s">
        <v>1198</v>
      </c>
      <c r="F870" s="92" t="s">
        <v>1235</v>
      </c>
      <c r="G870" s="92" t="s">
        <v>1200</v>
      </c>
      <c r="H870" s="92" t="s">
        <v>1236</v>
      </c>
      <c r="I870" s="92" t="s">
        <v>1264</v>
      </c>
      <c r="J870" s="92" t="s">
        <v>1333</v>
      </c>
      <c r="K870" s="92" t="s">
        <v>1243</v>
      </c>
      <c r="L870" s="92" t="s">
        <v>1260</v>
      </c>
      <c r="M870" s="92" t="s">
        <v>1241</v>
      </c>
      <c r="N870" s="91">
        <v>42512</v>
      </c>
      <c r="O870" s="93">
        <v>14.95</v>
      </c>
      <c r="P870" s="93">
        <v>34.76</v>
      </c>
      <c r="Q870" s="94">
        <v>47</v>
      </c>
      <c r="R870" s="93">
        <f t="shared" si="52"/>
        <v>1633.7199999999998</v>
      </c>
      <c r="S870" s="95">
        <v>0.09</v>
      </c>
      <c r="T870" s="96">
        <f t="shared" si="53"/>
        <v>147.03479999999999</v>
      </c>
      <c r="U870" s="96">
        <f t="shared" si="54"/>
        <v>1633.6299999999999</v>
      </c>
      <c r="V870" s="93">
        <v>8.2200000000000006</v>
      </c>
      <c r="W870" s="97">
        <f t="shared" si="55"/>
        <v>1641.85</v>
      </c>
    </row>
    <row r="871" spans="1:23" x14ac:dyDescent="0.25">
      <c r="A871" s="61" t="s">
        <v>964</v>
      </c>
      <c r="B871" s="91">
        <v>42512</v>
      </c>
      <c r="C871" s="92" t="s">
        <v>1446</v>
      </c>
      <c r="D871" s="92" t="s">
        <v>1395</v>
      </c>
      <c r="E871" s="92" t="s">
        <v>1198</v>
      </c>
      <c r="F871" s="92" t="s">
        <v>1235</v>
      </c>
      <c r="G871" s="92" t="s">
        <v>1200</v>
      </c>
      <c r="H871" s="92" t="s">
        <v>1236</v>
      </c>
      <c r="I871" s="92" t="s">
        <v>1237</v>
      </c>
      <c r="J871" s="92" t="s">
        <v>1384</v>
      </c>
      <c r="K871" s="92" t="s">
        <v>1243</v>
      </c>
      <c r="L871" s="92" t="s">
        <v>1260</v>
      </c>
      <c r="M871" s="92" t="s">
        <v>1241</v>
      </c>
      <c r="N871" s="91">
        <v>42514</v>
      </c>
      <c r="O871" s="93">
        <v>4.46</v>
      </c>
      <c r="P871" s="93">
        <v>10.89</v>
      </c>
      <c r="Q871" s="94">
        <v>1</v>
      </c>
      <c r="R871" s="93">
        <f t="shared" si="52"/>
        <v>10.89</v>
      </c>
      <c r="S871" s="95">
        <v>0</v>
      </c>
      <c r="T871" s="96">
        <f t="shared" si="53"/>
        <v>0</v>
      </c>
      <c r="U871" s="96">
        <f t="shared" si="54"/>
        <v>10.89</v>
      </c>
      <c r="V871" s="93">
        <v>4.5</v>
      </c>
      <c r="W871" s="97">
        <f t="shared" si="55"/>
        <v>15.39</v>
      </c>
    </row>
    <row r="872" spans="1:23" x14ac:dyDescent="0.25">
      <c r="A872" s="61" t="s">
        <v>965</v>
      </c>
      <c r="B872" s="91">
        <v>42512</v>
      </c>
      <c r="C872" s="92" t="s">
        <v>1966</v>
      </c>
      <c r="D872" s="92" t="s">
        <v>1615</v>
      </c>
      <c r="E872" s="92" t="s">
        <v>1198</v>
      </c>
      <c r="F872" s="92" t="s">
        <v>1235</v>
      </c>
      <c r="G872" s="92" t="s">
        <v>1203</v>
      </c>
      <c r="H872" s="92" t="s">
        <v>1404</v>
      </c>
      <c r="I872" s="92" t="s">
        <v>1256</v>
      </c>
      <c r="J872" s="92" t="s">
        <v>1324</v>
      </c>
      <c r="K872" s="92" t="s">
        <v>1243</v>
      </c>
      <c r="L872" s="92" t="s">
        <v>1260</v>
      </c>
      <c r="M872" s="92" t="s">
        <v>1241</v>
      </c>
      <c r="N872" s="91">
        <v>42513</v>
      </c>
      <c r="O872" s="93">
        <v>1.18</v>
      </c>
      <c r="P872" s="93">
        <v>1.88</v>
      </c>
      <c r="Q872" s="94">
        <v>22</v>
      </c>
      <c r="R872" s="93">
        <f t="shared" si="52"/>
        <v>41.36</v>
      </c>
      <c r="S872" s="95">
        <v>0.09</v>
      </c>
      <c r="T872" s="96">
        <f t="shared" si="53"/>
        <v>3.7223999999999999</v>
      </c>
      <c r="U872" s="96">
        <f t="shared" si="54"/>
        <v>41.269999999999996</v>
      </c>
      <c r="V872" s="93">
        <v>1.49</v>
      </c>
      <c r="W872" s="97">
        <f t="shared" si="55"/>
        <v>42.76</v>
      </c>
    </row>
    <row r="873" spans="1:23" x14ac:dyDescent="0.25">
      <c r="A873" s="61" t="s">
        <v>966</v>
      </c>
      <c r="B873" s="91">
        <v>42513</v>
      </c>
      <c r="C873" s="92" t="s">
        <v>2016</v>
      </c>
      <c r="D873" s="92" t="s">
        <v>1532</v>
      </c>
      <c r="E873" s="92" t="s">
        <v>1198</v>
      </c>
      <c r="F873" s="92" t="s">
        <v>1235</v>
      </c>
      <c r="G873" s="92" t="s">
        <v>1201</v>
      </c>
      <c r="H873" s="92" t="s">
        <v>1263</v>
      </c>
      <c r="I873" s="92" t="s">
        <v>1317</v>
      </c>
      <c r="J873" s="92" t="s">
        <v>1345</v>
      </c>
      <c r="K873" s="92" t="s">
        <v>1243</v>
      </c>
      <c r="L873" s="92" t="s">
        <v>1244</v>
      </c>
      <c r="M873" s="92" t="s">
        <v>1250</v>
      </c>
      <c r="N873" s="91">
        <v>42514</v>
      </c>
      <c r="O873" s="93">
        <v>2.39</v>
      </c>
      <c r="P873" s="93">
        <v>4.26</v>
      </c>
      <c r="Q873" s="94">
        <v>5</v>
      </c>
      <c r="R873" s="93">
        <f t="shared" si="52"/>
        <v>21.299999999999997</v>
      </c>
      <c r="S873" s="95">
        <v>0.01</v>
      </c>
      <c r="T873" s="96">
        <f t="shared" si="53"/>
        <v>0.21299999999999997</v>
      </c>
      <c r="U873" s="96">
        <f t="shared" si="54"/>
        <v>21.289999999999996</v>
      </c>
      <c r="V873" s="93">
        <v>1.2</v>
      </c>
      <c r="W873" s="97">
        <f t="shared" si="55"/>
        <v>22.489999999999995</v>
      </c>
    </row>
    <row r="874" spans="1:23" x14ac:dyDescent="0.25">
      <c r="A874" s="61" t="s">
        <v>967</v>
      </c>
      <c r="B874" s="91">
        <v>42516</v>
      </c>
      <c r="C874" s="92" t="s">
        <v>2017</v>
      </c>
      <c r="D874" s="92" t="s">
        <v>1290</v>
      </c>
      <c r="E874" s="92" t="s">
        <v>1198</v>
      </c>
      <c r="F874" s="92" t="s">
        <v>1235</v>
      </c>
      <c r="G874" s="92" t="s">
        <v>1201</v>
      </c>
      <c r="H874" s="92" t="s">
        <v>1291</v>
      </c>
      <c r="I874" s="92" t="s">
        <v>1237</v>
      </c>
      <c r="J874" s="92" t="s">
        <v>1720</v>
      </c>
      <c r="K874" s="92" t="s">
        <v>1243</v>
      </c>
      <c r="L874" s="92" t="s">
        <v>1260</v>
      </c>
      <c r="M874" s="92" t="s">
        <v>1241</v>
      </c>
      <c r="N874" s="91">
        <v>42517</v>
      </c>
      <c r="O874" s="93">
        <v>52.04</v>
      </c>
      <c r="P874" s="93">
        <v>83.93</v>
      </c>
      <c r="Q874" s="94">
        <v>5</v>
      </c>
      <c r="R874" s="93">
        <f t="shared" si="52"/>
        <v>419.65000000000003</v>
      </c>
      <c r="S874" s="95">
        <v>0.04</v>
      </c>
      <c r="T874" s="96">
        <f t="shared" si="53"/>
        <v>16.786000000000001</v>
      </c>
      <c r="U874" s="96">
        <f t="shared" si="54"/>
        <v>419.61</v>
      </c>
      <c r="V874" s="93">
        <v>19.989999999999998</v>
      </c>
      <c r="W874" s="97">
        <f t="shared" si="55"/>
        <v>439.6</v>
      </c>
    </row>
    <row r="875" spans="1:23" x14ac:dyDescent="0.25">
      <c r="A875" s="61" t="s">
        <v>968</v>
      </c>
      <c r="B875" s="91">
        <v>42517</v>
      </c>
      <c r="C875" s="92" t="s">
        <v>2018</v>
      </c>
      <c r="D875" s="92" t="s">
        <v>2019</v>
      </c>
      <c r="E875" s="92" t="s">
        <v>1198</v>
      </c>
      <c r="F875" s="92" t="s">
        <v>1235</v>
      </c>
      <c r="G875" s="92" t="s">
        <v>1200</v>
      </c>
      <c r="H875" s="92" t="s">
        <v>1291</v>
      </c>
      <c r="I875" s="92" t="s">
        <v>1256</v>
      </c>
      <c r="J875" s="92" t="s">
        <v>1282</v>
      </c>
      <c r="K875" s="92" t="s">
        <v>1243</v>
      </c>
      <c r="L875" s="92" t="s">
        <v>1260</v>
      </c>
      <c r="M875" s="92" t="s">
        <v>1241</v>
      </c>
      <c r="N875" s="91">
        <v>42517</v>
      </c>
      <c r="O875" s="93">
        <v>5.33</v>
      </c>
      <c r="P875" s="93">
        <v>8.6</v>
      </c>
      <c r="Q875" s="94">
        <v>1</v>
      </c>
      <c r="R875" s="93">
        <f t="shared" si="52"/>
        <v>8.6</v>
      </c>
      <c r="S875" s="95">
        <v>0.06</v>
      </c>
      <c r="T875" s="96">
        <f t="shared" si="53"/>
        <v>0.51600000000000001</v>
      </c>
      <c r="U875" s="96">
        <f t="shared" si="54"/>
        <v>8.5399999999999991</v>
      </c>
      <c r="V875" s="93">
        <v>6.19</v>
      </c>
      <c r="W875" s="97">
        <f t="shared" si="55"/>
        <v>14.73</v>
      </c>
    </row>
    <row r="876" spans="1:23" x14ac:dyDescent="0.25">
      <c r="A876" s="61" t="s">
        <v>969</v>
      </c>
      <c r="B876" s="91">
        <v>42519</v>
      </c>
      <c r="C876" s="92" t="s">
        <v>2020</v>
      </c>
      <c r="D876" s="92" t="s">
        <v>1988</v>
      </c>
      <c r="E876" s="92" t="s">
        <v>1198</v>
      </c>
      <c r="F876" s="92" t="s">
        <v>1235</v>
      </c>
      <c r="G876" s="92" t="s">
        <v>1202</v>
      </c>
      <c r="H876" s="92" t="s">
        <v>1404</v>
      </c>
      <c r="I876" s="92" t="s">
        <v>1237</v>
      </c>
      <c r="J876" s="92" t="s">
        <v>1333</v>
      </c>
      <c r="K876" s="92" t="s">
        <v>1243</v>
      </c>
      <c r="L876" s="92" t="s">
        <v>1260</v>
      </c>
      <c r="M876" s="92" t="s">
        <v>1241</v>
      </c>
      <c r="N876" s="91">
        <v>42520</v>
      </c>
      <c r="O876" s="93">
        <v>14.95</v>
      </c>
      <c r="P876" s="93">
        <v>34.76</v>
      </c>
      <c r="Q876" s="94">
        <v>32</v>
      </c>
      <c r="R876" s="93">
        <f t="shared" si="52"/>
        <v>1112.32</v>
      </c>
      <c r="S876" s="95">
        <v>0.02</v>
      </c>
      <c r="T876" s="96">
        <f t="shared" si="53"/>
        <v>22.246399999999998</v>
      </c>
      <c r="U876" s="96">
        <f t="shared" si="54"/>
        <v>1112.3</v>
      </c>
      <c r="V876" s="93">
        <v>8.2200000000000006</v>
      </c>
      <c r="W876" s="97">
        <f t="shared" si="55"/>
        <v>1120.52</v>
      </c>
    </row>
    <row r="877" spans="1:23" x14ac:dyDescent="0.25">
      <c r="A877" s="61" t="s">
        <v>970</v>
      </c>
      <c r="B877" s="91">
        <v>42520</v>
      </c>
      <c r="C877" s="92" t="s">
        <v>2006</v>
      </c>
      <c r="D877" s="92" t="s">
        <v>1337</v>
      </c>
      <c r="E877" s="92" t="s">
        <v>1198</v>
      </c>
      <c r="F877" s="92" t="s">
        <v>1235</v>
      </c>
      <c r="G877" s="92" t="s">
        <v>1203</v>
      </c>
      <c r="H877" s="92" t="s">
        <v>1247</v>
      </c>
      <c r="I877" s="92" t="s">
        <v>1237</v>
      </c>
      <c r="J877" s="92" t="s">
        <v>1567</v>
      </c>
      <c r="K877" s="92" t="s">
        <v>1239</v>
      </c>
      <c r="L877" s="92" t="s">
        <v>1260</v>
      </c>
      <c r="M877" s="92" t="s">
        <v>1241</v>
      </c>
      <c r="N877" s="91">
        <v>42520</v>
      </c>
      <c r="O877" s="93">
        <v>6.2</v>
      </c>
      <c r="P877" s="93">
        <v>30.98</v>
      </c>
      <c r="Q877" s="94">
        <v>24</v>
      </c>
      <c r="R877" s="93">
        <f t="shared" si="52"/>
        <v>743.52</v>
      </c>
      <c r="S877" s="95">
        <v>0.08</v>
      </c>
      <c r="T877" s="96">
        <f t="shared" si="53"/>
        <v>59.4816</v>
      </c>
      <c r="U877" s="96">
        <f t="shared" si="54"/>
        <v>743.43999999999994</v>
      </c>
      <c r="V877" s="93">
        <v>4</v>
      </c>
      <c r="W877" s="97">
        <f t="shared" si="55"/>
        <v>747.43999999999994</v>
      </c>
    </row>
    <row r="878" spans="1:23" x14ac:dyDescent="0.25">
      <c r="A878" s="61" t="s">
        <v>971</v>
      </c>
      <c r="B878" s="91">
        <v>42521</v>
      </c>
      <c r="C878" s="92" t="s">
        <v>1261</v>
      </c>
      <c r="D878" s="92" t="s">
        <v>1262</v>
      </c>
      <c r="E878" s="92" t="s">
        <v>1198</v>
      </c>
      <c r="F878" s="92" t="s">
        <v>1235</v>
      </c>
      <c r="G878" s="92" t="s">
        <v>1202</v>
      </c>
      <c r="H878" s="92" t="s">
        <v>1263</v>
      </c>
      <c r="I878" s="92" t="s">
        <v>1248</v>
      </c>
      <c r="J878" s="92" t="s">
        <v>1292</v>
      </c>
      <c r="K878" s="92" t="s">
        <v>1243</v>
      </c>
      <c r="L878" s="92" t="s">
        <v>1240</v>
      </c>
      <c r="M878" s="92" t="s">
        <v>1241</v>
      </c>
      <c r="N878" s="91">
        <v>42523</v>
      </c>
      <c r="O878" s="93">
        <v>0.94</v>
      </c>
      <c r="P878" s="93">
        <v>2.08</v>
      </c>
      <c r="Q878" s="94">
        <v>49</v>
      </c>
      <c r="R878" s="93">
        <f t="shared" si="52"/>
        <v>101.92</v>
      </c>
      <c r="S878" s="95">
        <v>0.08</v>
      </c>
      <c r="T878" s="96">
        <f t="shared" si="53"/>
        <v>8.1536000000000008</v>
      </c>
      <c r="U878" s="96">
        <f t="shared" si="54"/>
        <v>101.84</v>
      </c>
      <c r="V878" s="93">
        <v>2.56</v>
      </c>
      <c r="W878" s="97">
        <f t="shared" si="55"/>
        <v>104.4</v>
      </c>
    </row>
    <row r="879" spans="1:23" x14ac:dyDescent="0.25">
      <c r="A879" s="61" t="s">
        <v>972</v>
      </c>
      <c r="B879" s="91">
        <v>42521</v>
      </c>
      <c r="C879" s="92" t="s">
        <v>1336</v>
      </c>
      <c r="D879" s="92" t="s">
        <v>1337</v>
      </c>
      <c r="E879" s="92" t="s">
        <v>1198</v>
      </c>
      <c r="F879" s="92" t="s">
        <v>1235</v>
      </c>
      <c r="G879" s="92" t="s">
        <v>1201</v>
      </c>
      <c r="H879" s="92" t="s">
        <v>1247</v>
      </c>
      <c r="I879" s="92" t="s">
        <v>1317</v>
      </c>
      <c r="J879" s="92" t="s">
        <v>1400</v>
      </c>
      <c r="K879" s="92" t="s">
        <v>1239</v>
      </c>
      <c r="L879" s="92" t="s">
        <v>1260</v>
      </c>
      <c r="M879" s="92" t="s">
        <v>1241</v>
      </c>
      <c r="N879" s="91">
        <v>42524</v>
      </c>
      <c r="O879" s="93">
        <v>14.7</v>
      </c>
      <c r="P879" s="93">
        <v>29.99</v>
      </c>
      <c r="Q879" s="94">
        <v>1</v>
      </c>
      <c r="R879" s="93">
        <f t="shared" si="52"/>
        <v>29.99</v>
      </c>
      <c r="S879" s="95">
        <v>0.04</v>
      </c>
      <c r="T879" s="96">
        <f t="shared" si="53"/>
        <v>1.1996</v>
      </c>
      <c r="U879" s="96">
        <f t="shared" si="54"/>
        <v>29.95</v>
      </c>
      <c r="V879" s="93">
        <v>5.5</v>
      </c>
      <c r="W879" s="97">
        <f t="shared" si="55"/>
        <v>35.450000000000003</v>
      </c>
    </row>
    <row r="880" spans="1:23" x14ac:dyDescent="0.25">
      <c r="A880" s="61" t="s">
        <v>973</v>
      </c>
      <c r="B880" s="91">
        <v>42523</v>
      </c>
      <c r="C880" s="92" t="s">
        <v>1535</v>
      </c>
      <c r="D880" s="92" t="s">
        <v>1532</v>
      </c>
      <c r="E880" s="92" t="s">
        <v>1198</v>
      </c>
      <c r="F880" s="92" t="s">
        <v>1235</v>
      </c>
      <c r="G880" s="92" t="s">
        <v>1202</v>
      </c>
      <c r="H880" s="92" t="s">
        <v>1263</v>
      </c>
      <c r="I880" s="92" t="s">
        <v>1264</v>
      </c>
      <c r="J880" s="92" t="s">
        <v>1973</v>
      </c>
      <c r="K880" s="92" t="s">
        <v>1243</v>
      </c>
      <c r="L880" s="92" t="s">
        <v>1244</v>
      </c>
      <c r="M880" s="92" t="s">
        <v>1241</v>
      </c>
      <c r="N880" s="91">
        <v>42525</v>
      </c>
      <c r="O880" s="93">
        <v>3.95</v>
      </c>
      <c r="P880" s="93">
        <v>6.08</v>
      </c>
      <c r="Q880" s="94">
        <v>50</v>
      </c>
      <c r="R880" s="93">
        <f t="shared" si="52"/>
        <v>304</v>
      </c>
      <c r="S880" s="95">
        <v>0.09</v>
      </c>
      <c r="T880" s="96">
        <f t="shared" si="53"/>
        <v>27.36</v>
      </c>
      <c r="U880" s="96">
        <f t="shared" si="54"/>
        <v>303.91000000000003</v>
      </c>
      <c r="V880" s="93">
        <v>1.82</v>
      </c>
      <c r="W880" s="97">
        <f t="shared" si="55"/>
        <v>305.73</v>
      </c>
    </row>
    <row r="881" spans="1:23" x14ac:dyDescent="0.25">
      <c r="A881" s="61" t="s">
        <v>974</v>
      </c>
      <c r="B881" s="91">
        <v>42524</v>
      </c>
      <c r="C881" s="92" t="s">
        <v>1501</v>
      </c>
      <c r="D881" s="92" t="s">
        <v>1448</v>
      </c>
      <c r="E881" s="92" t="s">
        <v>1198</v>
      </c>
      <c r="F881" s="92" t="s">
        <v>1235</v>
      </c>
      <c r="G881" s="92" t="s">
        <v>1201</v>
      </c>
      <c r="H881" s="92" t="s">
        <v>1404</v>
      </c>
      <c r="I881" s="92" t="s">
        <v>1264</v>
      </c>
      <c r="J881" s="92" t="s">
        <v>1575</v>
      </c>
      <c r="K881" s="92" t="s">
        <v>1243</v>
      </c>
      <c r="L881" s="92" t="s">
        <v>1260</v>
      </c>
      <c r="M881" s="92" t="s">
        <v>1241</v>
      </c>
      <c r="N881" s="91">
        <v>42525</v>
      </c>
      <c r="O881" s="93">
        <v>1.94</v>
      </c>
      <c r="P881" s="93">
        <v>3.08</v>
      </c>
      <c r="Q881" s="94">
        <v>11</v>
      </c>
      <c r="R881" s="93">
        <f t="shared" si="52"/>
        <v>33.880000000000003</v>
      </c>
      <c r="S881" s="95">
        <v>0.03</v>
      </c>
      <c r="T881" s="96">
        <f t="shared" si="53"/>
        <v>1.0164</v>
      </c>
      <c r="U881" s="96">
        <f t="shared" si="54"/>
        <v>33.85</v>
      </c>
      <c r="V881" s="93">
        <v>0.99</v>
      </c>
      <c r="W881" s="97">
        <f t="shared" si="55"/>
        <v>34.840000000000003</v>
      </c>
    </row>
    <row r="882" spans="1:23" x14ac:dyDescent="0.25">
      <c r="A882" s="61" t="s">
        <v>975</v>
      </c>
      <c r="B882" s="91">
        <v>42524</v>
      </c>
      <c r="C882" s="92" t="s">
        <v>2021</v>
      </c>
      <c r="D882" s="92" t="s">
        <v>1795</v>
      </c>
      <c r="E882" s="92" t="s">
        <v>1198</v>
      </c>
      <c r="F882" s="92" t="s">
        <v>1235</v>
      </c>
      <c r="G882" s="92" t="s">
        <v>1201</v>
      </c>
      <c r="H882" s="92" t="s">
        <v>1269</v>
      </c>
      <c r="I882" s="92" t="s">
        <v>1256</v>
      </c>
      <c r="J882" s="92" t="s">
        <v>1393</v>
      </c>
      <c r="K882" s="92" t="s">
        <v>1243</v>
      </c>
      <c r="L882" s="92" t="s">
        <v>1244</v>
      </c>
      <c r="M882" s="92" t="s">
        <v>1241</v>
      </c>
      <c r="N882" s="91">
        <v>42526</v>
      </c>
      <c r="O882" s="93">
        <v>0.71</v>
      </c>
      <c r="P882" s="93">
        <v>1.1399999999999999</v>
      </c>
      <c r="Q882" s="94">
        <v>3</v>
      </c>
      <c r="R882" s="93">
        <f t="shared" si="52"/>
        <v>3.42</v>
      </c>
      <c r="S882" s="95">
        <v>0.1</v>
      </c>
      <c r="T882" s="96">
        <f t="shared" si="53"/>
        <v>0.34200000000000003</v>
      </c>
      <c r="U882" s="96">
        <f t="shared" si="54"/>
        <v>3.32</v>
      </c>
      <c r="V882" s="93">
        <v>0.7</v>
      </c>
      <c r="W882" s="97">
        <f t="shared" si="55"/>
        <v>4.0199999999999996</v>
      </c>
    </row>
    <row r="883" spans="1:23" x14ac:dyDescent="0.25">
      <c r="A883" s="61" t="s">
        <v>976</v>
      </c>
      <c r="B883" s="91">
        <v>42532</v>
      </c>
      <c r="C883" s="92" t="s">
        <v>1907</v>
      </c>
      <c r="D883" s="92" t="s">
        <v>1395</v>
      </c>
      <c r="E883" s="92" t="s">
        <v>1198</v>
      </c>
      <c r="F883" s="92" t="s">
        <v>1235</v>
      </c>
      <c r="G883" s="92" t="s">
        <v>1200</v>
      </c>
      <c r="H883" s="92" t="s">
        <v>1236</v>
      </c>
      <c r="I883" s="92" t="s">
        <v>1264</v>
      </c>
      <c r="J883" s="92" t="s">
        <v>1266</v>
      </c>
      <c r="K883" s="92" t="s">
        <v>1243</v>
      </c>
      <c r="L883" s="92" t="s">
        <v>1244</v>
      </c>
      <c r="M883" s="92" t="s">
        <v>1241</v>
      </c>
      <c r="N883" s="91">
        <v>42533</v>
      </c>
      <c r="O883" s="93">
        <v>1.31</v>
      </c>
      <c r="P883" s="93">
        <v>2.84</v>
      </c>
      <c r="Q883" s="94">
        <v>9</v>
      </c>
      <c r="R883" s="93">
        <f t="shared" si="52"/>
        <v>25.56</v>
      </c>
      <c r="S883" s="95">
        <v>0.08</v>
      </c>
      <c r="T883" s="96">
        <f t="shared" si="53"/>
        <v>2.0448</v>
      </c>
      <c r="U883" s="96">
        <f t="shared" si="54"/>
        <v>25.48</v>
      </c>
      <c r="V883" s="93">
        <v>0.93</v>
      </c>
      <c r="W883" s="97">
        <f t="shared" si="55"/>
        <v>26.41</v>
      </c>
    </row>
    <row r="884" spans="1:23" x14ac:dyDescent="0.25">
      <c r="A884" s="61" t="s">
        <v>977</v>
      </c>
      <c r="B884" s="91">
        <v>42534</v>
      </c>
      <c r="C884" s="92" t="s">
        <v>1818</v>
      </c>
      <c r="D884" s="92" t="s">
        <v>1454</v>
      </c>
      <c r="E884" s="92" t="s">
        <v>1198</v>
      </c>
      <c r="F884" s="92" t="s">
        <v>1235</v>
      </c>
      <c r="G884" s="92" t="s">
        <v>1203</v>
      </c>
      <c r="H884" s="92" t="s">
        <v>1304</v>
      </c>
      <c r="I884" s="92" t="s">
        <v>1264</v>
      </c>
      <c r="J884" s="92" t="s">
        <v>1391</v>
      </c>
      <c r="K884" s="92" t="s">
        <v>1239</v>
      </c>
      <c r="L884" s="92" t="s">
        <v>1260</v>
      </c>
      <c r="M884" s="92" t="s">
        <v>1241</v>
      </c>
      <c r="N884" s="91">
        <v>42536</v>
      </c>
      <c r="O884" s="93">
        <v>32.020000000000003</v>
      </c>
      <c r="P884" s="93">
        <v>152.47999999999999</v>
      </c>
      <c r="Q884" s="94">
        <v>12</v>
      </c>
      <c r="R884" s="93">
        <f t="shared" si="52"/>
        <v>1829.7599999999998</v>
      </c>
      <c r="S884" s="95">
        <v>0.1</v>
      </c>
      <c r="T884" s="96">
        <f t="shared" si="53"/>
        <v>182.976</v>
      </c>
      <c r="U884" s="96">
        <f t="shared" si="54"/>
        <v>1829.6599999999999</v>
      </c>
      <c r="V884" s="93">
        <v>4</v>
      </c>
      <c r="W884" s="97">
        <f t="shared" si="55"/>
        <v>1833.6599999999999</v>
      </c>
    </row>
    <row r="885" spans="1:23" x14ac:dyDescent="0.25">
      <c r="A885" s="61" t="s">
        <v>978</v>
      </c>
      <c r="B885" s="91">
        <v>42535</v>
      </c>
      <c r="C885" s="92" t="s">
        <v>2022</v>
      </c>
      <c r="D885" s="92" t="s">
        <v>1491</v>
      </c>
      <c r="E885" s="92" t="s">
        <v>1198</v>
      </c>
      <c r="F885" s="92" t="s">
        <v>1235</v>
      </c>
      <c r="G885" s="92" t="s">
        <v>1200</v>
      </c>
      <c r="H885" s="92" t="s">
        <v>1313</v>
      </c>
      <c r="I885" s="92" t="s">
        <v>1264</v>
      </c>
      <c r="J885" s="92" t="s">
        <v>1421</v>
      </c>
      <c r="K885" s="92" t="s">
        <v>1243</v>
      </c>
      <c r="L885" s="92" t="s">
        <v>1260</v>
      </c>
      <c r="M885" s="92" t="s">
        <v>1250</v>
      </c>
      <c r="N885" s="91">
        <v>42536</v>
      </c>
      <c r="O885" s="93">
        <v>99.39</v>
      </c>
      <c r="P885" s="93">
        <v>162.93</v>
      </c>
      <c r="Q885" s="94">
        <v>36</v>
      </c>
      <c r="R885" s="93">
        <f t="shared" si="52"/>
        <v>5865.4800000000005</v>
      </c>
      <c r="S885" s="95">
        <v>0.05</v>
      </c>
      <c r="T885" s="96">
        <f t="shared" si="53"/>
        <v>293.27400000000006</v>
      </c>
      <c r="U885" s="96">
        <f t="shared" si="54"/>
        <v>5865.43</v>
      </c>
      <c r="V885" s="93">
        <v>19.989999999999998</v>
      </c>
      <c r="W885" s="97">
        <f t="shared" si="55"/>
        <v>5885.42</v>
      </c>
    </row>
    <row r="886" spans="1:23" x14ac:dyDescent="0.25">
      <c r="A886" s="61" t="s">
        <v>979</v>
      </c>
      <c r="B886" s="91">
        <v>42536</v>
      </c>
      <c r="C886" s="92" t="s">
        <v>1817</v>
      </c>
      <c r="D886" s="92" t="s">
        <v>1246</v>
      </c>
      <c r="E886" s="92" t="s">
        <v>1198</v>
      </c>
      <c r="F886" s="92" t="s">
        <v>1235</v>
      </c>
      <c r="G886" s="92" t="s">
        <v>1203</v>
      </c>
      <c r="H886" s="92" t="s">
        <v>1247</v>
      </c>
      <c r="I886" s="92" t="s">
        <v>1248</v>
      </c>
      <c r="J886" s="92" t="s">
        <v>1338</v>
      </c>
      <c r="K886" s="92" t="s">
        <v>1243</v>
      </c>
      <c r="L886" s="92" t="s">
        <v>1260</v>
      </c>
      <c r="M886" s="92" t="s">
        <v>1241</v>
      </c>
      <c r="N886" s="91">
        <v>42538</v>
      </c>
      <c r="O886" s="93">
        <v>13.88</v>
      </c>
      <c r="P886" s="93">
        <v>22.38</v>
      </c>
      <c r="Q886" s="94">
        <v>11</v>
      </c>
      <c r="R886" s="93">
        <f t="shared" si="52"/>
        <v>246.17999999999998</v>
      </c>
      <c r="S886" s="95">
        <v>0.01</v>
      </c>
      <c r="T886" s="96">
        <f t="shared" si="53"/>
        <v>2.4617999999999998</v>
      </c>
      <c r="U886" s="96">
        <f t="shared" si="54"/>
        <v>246.17</v>
      </c>
      <c r="V886" s="93">
        <v>15.1</v>
      </c>
      <c r="W886" s="97">
        <f t="shared" si="55"/>
        <v>261.27</v>
      </c>
    </row>
    <row r="887" spans="1:23" x14ac:dyDescent="0.25">
      <c r="A887" s="61" t="s">
        <v>980</v>
      </c>
      <c r="B887" s="91">
        <v>42536</v>
      </c>
      <c r="C887" s="92" t="s">
        <v>1528</v>
      </c>
      <c r="D887" s="92" t="s">
        <v>1234</v>
      </c>
      <c r="E887" s="92" t="s">
        <v>1198</v>
      </c>
      <c r="F887" s="92" t="s">
        <v>1235</v>
      </c>
      <c r="G887" s="92" t="s">
        <v>1200</v>
      </c>
      <c r="H887" s="92" t="s">
        <v>1236</v>
      </c>
      <c r="I887" s="92" t="s">
        <v>1256</v>
      </c>
      <c r="J887" s="92" t="s">
        <v>1416</v>
      </c>
      <c r="K887" s="92" t="s">
        <v>1243</v>
      </c>
      <c r="L887" s="92" t="s">
        <v>1244</v>
      </c>
      <c r="M887" s="92" t="s">
        <v>1250</v>
      </c>
      <c r="N887" s="91">
        <v>42538</v>
      </c>
      <c r="O887" s="93">
        <v>0.9</v>
      </c>
      <c r="P887" s="93">
        <v>2.1</v>
      </c>
      <c r="Q887" s="94">
        <v>31</v>
      </c>
      <c r="R887" s="93">
        <f t="shared" si="52"/>
        <v>65.100000000000009</v>
      </c>
      <c r="S887" s="95">
        <v>0.08</v>
      </c>
      <c r="T887" s="96">
        <f t="shared" si="53"/>
        <v>5.2080000000000011</v>
      </c>
      <c r="U887" s="96">
        <f t="shared" si="54"/>
        <v>65.02000000000001</v>
      </c>
      <c r="V887" s="93">
        <v>0.7</v>
      </c>
      <c r="W887" s="97">
        <f t="shared" si="55"/>
        <v>65.720000000000013</v>
      </c>
    </row>
    <row r="888" spans="1:23" x14ac:dyDescent="0.25">
      <c r="A888" s="61" t="s">
        <v>981</v>
      </c>
      <c r="B888" s="91">
        <v>42539</v>
      </c>
      <c r="C888" s="92" t="s">
        <v>2012</v>
      </c>
      <c r="D888" s="92" t="s">
        <v>1514</v>
      </c>
      <c r="E888" s="92" t="s">
        <v>1198</v>
      </c>
      <c r="F888" s="92" t="s">
        <v>1235</v>
      </c>
      <c r="G888" s="92" t="s">
        <v>1203</v>
      </c>
      <c r="H888" s="92" t="s">
        <v>1291</v>
      </c>
      <c r="I888" s="92" t="s">
        <v>1248</v>
      </c>
      <c r="J888" s="92" t="s">
        <v>1452</v>
      </c>
      <c r="K888" s="92" t="s">
        <v>1239</v>
      </c>
      <c r="L888" s="92" t="s">
        <v>1260</v>
      </c>
      <c r="M888" s="92" t="s">
        <v>1241</v>
      </c>
      <c r="N888" s="91">
        <v>42541</v>
      </c>
      <c r="O888" s="93">
        <v>81.59</v>
      </c>
      <c r="P888" s="93">
        <v>159.99</v>
      </c>
      <c r="Q888" s="94">
        <v>31</v>
      </c>
      <c r="R888" s="93">
        <f t="shared" si="52"/>
        <v>4959.6900000000005</v>
      </c>
      <c r="S888" s="95">
        <v>0.01</v>
      </c>
      <c r="T888" s="96">
        <f t="shared" si="53"/>
        <v>49.596900000000005</v>
      </c>
      <c r="U888" s="96">
        <f t="shared" si="54"/>
        <v>4959.68</v>
      </c>
      <c r="V888" s="93">
        <v>5.5</v>
      </c>
      <c r="W888" s="97">
        <f t="shared" si="55"/>
        <v>4965.18</v>
      </c>
    </row>
    <row r="889" spans="1:23" x14ac:dyDescent="0.25">
      <c r="A889" s="61" t="s">
        <v>982</v>
      </c>
      <c r="B889" s="91">
        <v>42540</v>
      </c>
      <c r="C889" s="92" t="s">
        <v>2023</v>
      </c>
      <c r="D889" s="92" t="s">
        <v>1875</v>
      </c>
      <c r="E889" s="92" t="s">
        <v>1198</v>
      </c>
      <c r="F889" s="92" t="s">
        <v>1235</v>
      </c>
      <c r="G889" s="92" t="s">
        <v>1202</v>
      </c>
      <c r="H889" s="92" t="s">
        <v>1304</v>
      </c>
      <c r="I889" s="92" t="s">
        <v>1237</v>
      </c>
      <c r="J889" s="92" t="s">
        <v>1618</v>
      </c>
      <c r="K889" s="92" t="s">
        <v>1243</v>
      </c>
      <c r="L889" s="92" t="s">
        <v>1240</v>
      </c>
      <c r="M889" s="92" t="s">
        <v>1241</v>
      </c>
      <c r="N889" s="91">
        <v>42541</v>
      </c>
      <c r="O889" s="93">
        <v>2.5</v>
      </c>
      <c r="P889" s="93">
        <v>5.68</v>
      </c>
      <c r="Q889" s="94">
        <v>27</v>
      </c>
      <c r="R889" s="93">
        <f t="shared" si="52"/>
        <v>153.35999999999999</v>
      </c>
      <c r="S889" s="95">
        <v>0.03</v>
      </c>
      <c r="T889" s="96">
        <f t="shared" si="53"/>
        <v>4.6007999999999996</v>
      </c>
      <c r="U889" s="96">
        <f t="shared" si="54"/>
        <v>153.32999999999998</v>
      </c>
      <c r="V889" s="93">
        <v>3.6</v>
      </c>
      <c r="W889" s="97">
        <f t="shared" si="55"/>
        <v>156.92999999999998</v>
      </c>
    </row>
    <row r="890" spans="1:23" x14ac:dyDescent="0.25">
      <c r="A890" s="61" t="s">
        <v>983</v>
      </c>
      <c r="B890" s="91">
        <v>42541</v>
      </c>
      <c r="C890" s="92" t="s">
        <v>2024</v>
      </c>
      <c r="D890" s="92" t="s">
        <v>1361</v>
      </c>
      <c r="E890" s="92" t="s">
        <v>1198</v>
      </c>
      <c r="F890" s="92" t="s">
        <v>1235</v>
      </c>
      <c r="G890" s="92" t="s">
        <v>1202</v>
      </c>
      <c r="H890" s="92" t="s">
        <v>1286</v>
      </c>
      <c r="I890" s="92" t="s">
        <v>1317</v>
      </c>
      <c r="J890" s="92" t="s">
        <v>1492</v>
      </c>
      <c r="K890" s="92" t="s">
        <v>1243</v>
      </c>
      <c r="L890" s="92" t="s">
        <v>1244</v>
      </c>
      <c r="M890" s="92" t="s">
        <v>1241</v>
      </c>
      <c r="N890" s="91">
        <v>42542</v>
      </c>
      <c r="O890" s="93">
        <v>21.56</v>
      </c>
      <c r="P890" s="93">
        <v>36.549999999999997</v>
      </c>
      <c r="Q890" s="94">
        <v>34</v>
      </c>
      <c r="R890" s="93">
        <f t="shared" si="52"/>
        <v>1242.6999999999998</v>
      </c>
      <c r="S890" s="95">
        <v>0.1</v>
      </c>
      <c r="T890" s="96">
        <f t="shared" si="53"/>
        <v>124.26999999999998</v>
      </c>
      <c r="U890" s="96">
        <f t="shared" si="54"/>
        <v>1242.5999999999999</v>
      </c>
      <c r="V890" s="93">
        <v>13.89</v>
      </c>
      <c r="W890" s="97">
        <f t="shared" si="55"/>
        <v>1256.49</v>
      </c>
    </row>
    <row r="891" spans="1:23" x14ac:dyDescent="0.25">
      <c r="A891" s="61" t="s">
        <v>984</v>
      </c>
      <c r="B891" s="91">
        <v>42546</v>
      </c>
      <c r="C891" s="92" t="s">
        <v>1810</v>
      </c>
      <c r="D891" s="92" t="s">
        <v>1395</v>
      </c>
      <c r="E891" s="92" t="s">
        <v>1198</v>
      </c>
      <c r="F891" s="92" t="s">
        <v>1235</v>
      </c>
      <c r="G891" s="92" t="s">
        <v>1200</v>
      </c>
      <c r="H891" s="92" t="s">
        <v>1236</v>
      </c>
      <c r="I891" s="92" t="s">
        <v>1256</v>
      </c>
      <c r="J891" s="92" t="s">
        <v>1539</v>
      </c>
      <c r="K891" s="92" t="s">
        <v>1243</v>
      </c>
      <c r="L891" s="92" t="s">
        <v>1244</v>
      </c>
      <c r="M891" s="92" t="s">
        <v>1241</v>
      </c>
      <c r="N891" s="91">
        <v>42548</v>
      </c>
      <c r="O891" s="93">
        <v>2.9</v>
      </c>
      <c r="P891" s="93">
        <v>4.76</v>
      </c>
      <c r="Q891" s="94">
        <v>5</v>
      </c>
      <c r="R891" s="93">
        <f t="shared" si="52"/>
        <v>23.799999999999997</v>
      </c>
      <c r="S891" s="95">
        <v>0.09</v>
      </c>
      <c r="T891" s="96">
        <f t="shared" si="53"/>
        <v>2.1419999999999995</v>
      </c>
      <c r="U891" s="96">
        <f t="shared" si="54"/>
        <v>23.709999999999997</v>
      </c>
      <c r="V891" s="93">
        <v>0.88</v>
      </c>
      <c r="W891" s="97">
        <f t="shared" si="55"/>
        <v>24.589999999999996</v>
      </c>
    </row>
    <row r="892" spans="1:23" x14ac:dyDescent="0.25">
      <c r="A892" s="61" t="s">
        <v>985</v>
      </c>
      <c r="B892" s="91">
        <v>42550</v>
      </c>
      <c r="C892" s="92" t="s">
        <v>1916</v>
      </c>
      <c r="D892" s="92" t="s">
        <v>1451</v>
      </c>
      <c r="E892" s="92" t="s">
        <v>1198</v>
      </c>
      <c r="F892" s="92" t="s">
        <v>1235</v>
      </c>
      <c r="G892" s="92" t="s">
        <v>1200</v>
      </c>
      <c r="H892" s="92" t="s">
        <v>1291</v>
      </c>
      <c r="I892" s="92" t="s">
        <v>1264</v>
      </c>
      <c r="J892" s="92" t="s">
        <v>1680</v>
      </c>
      <c r="K892" s="92" t="s">
        <v>1243</v>
      </c>
      <c r="L892" s="92" t="s">
        <v>1260</v>
      </c>
      <c r="M892" s="92" t="s">
        <v>1241</v>
      </c>
      <c r="N892" s="91">
        <v>42552</v>
      </c>
      <c r="O892" s="93">
        <v>3.14</v>
      </c>
      <c r="P892" s="93">
        <v>4.91</v>
      </c>
      <c r="Q892" s="94">
        <v>28</v>
      </c>
      <c r="R892" s="93">
        <f t="shared" si="52"/>
        <v>137.48000000000002</v>
      </c>
      <c r="S892" s="95">
        <v>0.08</v>
      </c>
      <c r="T892" s="96">
        <f t="shared" si="53"/>
        <v>10.998400000000002</v>
      </c>
      <c r="U892" s="96">
        <f t="shared" si="54"/>
        <v>137.4</v>
      </c>
      <c r="V892" s="93">
        <v>0.5</v>
      </c>
      <c r="W892" s="97">
        <f t="shared" si="55"/>
        <v>137.9</v>
      </c>
    </row>
    <row r="893" spans="1:23" x14ac:dyDescent="0.25">
      <c r="A893" s="61" t="s">
        <v>986</v>
      </c>
      <c r="B893" s="91">
        <v>42551</v>
      </c>
      <c r="C893" s="92" t="s">
        <v>2025</v>
      </c>
      <c r="D893" s="92" t="s">
        <v>1458</v>
      </c>
      <c r="E893" s="92" t="s">
        <v>1198</v>
      </c>
      <c r="F893" s="92" t="s">
        <v>1235</v>
      </c>
      <c r="G893" s="92" t="s">
        <v>1202</v>
      </c>
      <c r="H893" s="92" t="s">
        <v>1404</v>
      </c>
      <c r="I893" s="92" t="s">
        <v>1248</v>
      </c>
      <c r="J893" s="92" t="s">
        <v>1338</v>
      </c>
      <c r="K893" s="92" t="s">
        <v>1243</v>
      </c>
      <c r="L893" s="92" t="s">
        <v>1260</v>
      </c>
      <c r="M893" s="92" t="s">
        <v>1241</v>
      </c>
      <c r="N893" s="91">
        <v>42553</v>
      </c>
      <c r="O893" s="93">
        <v>13.88</v>
      </c>
      <c r="P893" s="93">
        <v>22.38</v>
      </c>
      <c r="Q893" s="94">
        <v>9</v>
      </c>
      <c r="R893" s="93">
        <f t="shared" si="52"/>
        <v>201.42</v>
      </c>
      <c r="S893" s="95">
        <v>0.03</v>
      </c>
      <c r="T893" s="96">
        <f t="shared" si="53"/>
        <v>6.0425999999999993</v>
      </c>
      <c r="U893" s="96">
        <f t="shared" si="54"/>
        <v>201.39</v>
      </c>
      <c r="V893" s="93">
        <v>15.1</v>
      </c>
      <c r="W893" s="97">
        <f t="shared" si="55"/>
        <v>216.48999999999998</v>
      </c>
    </row>
    <row r="894" spans="1:23" x14ac:dyDescent="0.25">
      <c r="A894" s="61" t="s">
        <v>987</v>
      </c>
      <c r="B894" s="91">
        <v>42551</v>
      </c>
      <c r="C894" s="92" t="s">
        <v>1761</v>
      </c>
      <c r="D894" s="92" t="s">
        <v>1308</v>
      </c>
      <c r="E894" s="92" t="s">
        <v>1198</v>
      </c>
      <c r="F894" s="92" t="s">
        <v>1235</v>
      </c>
      <c r="G894" s="92" t="s">
        <v>1200</v>
      </c>
      <c r="H894" s="92" t="s">
        <v>1247</v>
      </c>
      <c r="I894" s="92" t="s">
        <v>1317</v>
      </c>
      <c r="J894" s="92" t="s">
        <v>1344</v>
      </c>
      <c r="K894" s="92" t="s">
        <v>1243</v>
      </c>
      <c r="L894" s="92" t="s">
        <v>1244</v>
      </c>
      <c r="M894" s="92" t="s">
        <v>1241</v>
      </c>
      <c r="N894" s="91">
        <v>42552</v>
      </c>
      <c r="O894" s="93">
        <v>0.24</v>
      </c>
      <c r="P894" s="93">
        <v>1.26</v>
      </c>
      <c r="Q894" s="94">
        <v>47</v>
      </c>
      <c r="R894" s="93">
        <f t="shared" si="52"/>
        <v>59.22</v>
      </c>
      <c r="S894" s="95">
        <v>0</v>
      </c>
      <c r="T894" s="96">
        <f t="shared" si="53"/>
        <v>0</v>
      </c>
      <c r="U894" s="96">
        <f t="shared" si="54"/>
        <v>59.22</v>
      </c>
      <c r="V894" s="93">
        <v>0.7</v>
      </c>
      <c r="W894" s="97">
        <f t="shared" si="55"/>
        <v>59.92</v>
      </c>
    </row>
    <row r="895" spans="1:23" x14ac:dyDescent="0.25">
      <c r="A895" s="61" t="s">
        <v>988</v>
      </c>
      <c r="B895" s="91">
        <v>42553</v>
      </c>
      <c r="C895" s="92" t="s">
        <v>1885</v>
      </c>
      <c r="D895" s="92" t="s">
        <v>1390</v>
      </c>
      <c r="E895" s="92" t="s">
        <v>1198</v>
      </c>
      <c r="F895" s="92" t="s">
        <v>1235</v>
      </c>
      <c r="G895" s="92" t="s">
        <v>1203</v>
      </c>
      <c r="H895" s="92" t="s">
        <v>1247</v>
      </c>
      <c r="I895" s="92" t="s">
        <v>1317</v>
      </c>
      <c r="J895" s="92" t="s">
        <v>1773</v>
      </c>
      <c r="K895" s="92" t="s">
        <v>1243</v>
      </c>
      <c r="L895" s="92" t="s">
        <v>1260</v>
      </c>
      <c r="M895" s="92" t="s">
        <v>1241</v>
      </c>
      <c r="N895" s="91">
        <v>42555</v>
      </c>
      <c r="O895" s="93">
        <v>1.84</v>
      </c>
      <c r="P895" s="93">
        <v>2.88</v>
      </c>
      <c r="Q895" s="94">
        <v>18</v>
      </c>
      <c r="R895" s="93">
        <f t="shared" si="52"/>
        <v>51.839999999999996</v>
      </c>
      <c r="S895" s="95">
        <v>0.03</v>
      </c>
      <c r="T895" s="96">
        <f t="shared" si="53"/>
        <v>1.5551999999999999</v>
      </c>
      <c r="U895" s="96">
        <f t="shared" si="54"/>
        <v>51.809999999999995</v>
      </c>
      <c r="V895" s="93">
        <v>0.99</v>
      </c>
      <c r="W895" s="97">
        <f t="shared" si="55"/>
        <v>52.8</v>
      </c>
    </row>
    <row r="896" spans="1:23" x14ac:dyDescent="0.25">
      <c r="A896" s="61" t="s">
        <v>989</v>
      </c>
      <c r="B896" s="91">
        <v>42553</v>
      </c>
      <c r="C896" s="92" t="s">
        <v>1892</v>
      </c>
      <c r="D896" s="92" t="s">
        <v>1674</v>
      </c>
      <c r="E896" s="92" t="s">
        <v>1198</v>
      </c>
      <c r="F896" s="92" t="s">
        <v>1235</v>
      </c>
      <c r="G896" s="92" t="s">
        <v>1200</v>
      </c>
      <c r="H896" s="92" t="s">
        <v>1409</v>
      </c>
      <c r="I896" s="92" t="s">
        <v>1264</v>
      </c>
      <c r="J896" s="92" t="s">
        <v>1314</v>
      </c>
      <c r="K896" s="92" t="s">
        <v>1243</v>
      </c>
      <c r="L896" s="92" t="s">
        <v>1244</v>
      </c>
      <c r="M896" s="92" t="s">
        <v>1241</v>
      </c>
      <c r="N896" s="91">
        <v>42555</v>
      </c>
      <c r="O896" s="93">
        <v>1.6</v>
      </c>
      <c r="P896" s="93">
        <v>2.62</v>
      </c>
      <c r="Q896" s="94">
        <v>16</v>
      </c>
      <c r="R896" s="93">
        <f t="shared" si="52"/>
        <v>41.92</v>
      </c>
      <c r="S896" s="95">
        <v>0.09</v>
      </c>
      <c r="T896" s="96">
        <f t="shared" si="53"/>
        <v>3.7728000000000002</v>
      </c>
      <c r="U896" s="96">
        <f t="shared" si="54"/>
        <v>41.83</v>
      </c>
      <c r="V896" s="93">
        <v>0.8</v>
      </c>
      <c r="W896" s="97">
        <f t="shared" si="55"/>
        <v>42.629999999999995</v>
      </c>
    </row>
    <row r="897" spans="1:23" x14ac:dyDescent="0.25">
      <c r="A897" s="61" t="s">
        <v>990</v>
      </c>
      <c r="B897" s="91">
        <v>42554</v>
      </c>
      <c r="C897" s="92" t="s">
        <v>1682</v>
      </c>
      <c r="D897" s="92" t="s">
        <v>1511</v>
      </c>
      <c r="E897" s="92" t="s">
        <v>1198</v>
      </c>
      <c r="F897" s="92" t="s">
        <v>1235</v>
      </c>
      <c r="G897" s="92" t="s">
        <v>1203</v>
      </c>
      <c r="H897" s="92" t="s">
        <v>1236</v>
      </c>
      <c r="I897" s="92" t="s">
        <v>1237</v>
      </c>
      <c r="J897" s="92" t="s">
        <v>1301</v>
      </c>
      <c r="K897" s="92" t="s">
        <v>1243</v>
      </c>
      <c r="L897" s="92" t="s">
        <v>1244</v>
      </c>
      <c r="M897" s="92" t="s">
        <v>1241</v>
      </c>
      <c r="N897" s="91">
        <v>42556</v>
      </c>
      <c r="O897" s="93">
        <v>0.87</v>
      </c>
      <c r="P897" s="93">
        <v>1.81</v>
      </c>
      <c r="Q897" s="94">
        <v>50</v>
      </c>
      <c r="R897" s="93">
        <f t="shared" si="52"/>
        <v>90.5</v>
      </c>
      <c r="S897" s="95">
        <v>0.08</v>
      </c>
      <c r="T897" s="96">
        <f t="shared" si="53"/>
        <v>7.24</v>
      </c>
      <c r="U897" s="96">
        <f t="shared" si="54"/>
        <v>90.42</v>
      </c>
      <c r="V897" s="93">
        <v>0.75</v>
      </c>
      <c r="W897" s="97">
        <f t="shared" si="55"/>
        <v>91.17</v>
      </c>
    </row>
    <row r="898" spans="1:23" x14ac:dyDescent="0.25">
      <c r="A898" s="61" t="s">
        <v>991</v>
      </c>
      <c r="B898" s="91">
        <v>42556</v>
      </c>
      <c r="C898" s="92" t="s">
        <v>1350</v>
      </c>
      <c r="D898" s="92" t="s">
        <v>1351</v>
      </c>
      <c r="E898" s="92" t="s">
        <v>1198</v>
      </c>
      <c r="F898" s="92" t="s">
        <v>1235</v>
      </c>
      <c r="G898" s="92" t="s">
        <v>1203</v>
      </c>
      <c r="H898" s="92" t="s">
        <v>1304</v>
      </c>
      <c r="I898" s="92" t="s">
        <v>1256</v>
      </c>
      <c r="J898" s="92" t="s">
        <v>1300</v>
      </c>
      <c r="K898" s="92" t="s">
        <v>1243</v>
      </c>
      <c r="L898" s="92" t="s">
        <v>1260</v>
      </c>
      <c r="M898" s="92" t="s">
        <v>1250</v>
      </c>
      <c r="N898" s="91">
        <v>42558</v>
      </c>
      <c r="O898" s="93">
        <v>2.2599999999999998</v>
      </c>
      <c r="P898" s="93">
        <v>3.58</v>
      </c>
      <c r="Q898" s="94">
        <v>36</v>
      </c>
      <c r="R898" s="93">
        <f t="shared" si="52"/>
        <v>128.88</v>
      </c>
      <c r="S898" s="95">
        <v>0.04</v>
      </c>
      <c r="T898" s="96">
        <f t="shared" si="53"/>
        <v>5.1551999999999998</v>
      </c>
      <c r="U898" s="96">
        <f t="shared" si="54"/>
        <v>128.84</v>
      </c>
      <c r="V898" s="93">
        <v>5.47</v>
      </c>
      <c r="W898" s="97">
        <f t="shared" si="55"/>
        <v>134.31</v>
      </c>
    </row>
    <row r="899" spans="1:23" x14ac:dyDescent="0.25">
      <c r="A899" s="61" t="s">
        <v>992</v>
      </c>
      <c r="B899" s="91">
        <v>42558</v>
      </c>
      <c r="C899" s="92" t="s">
        <v>2026</v>
      </c>
      <c r="D899" s="92" t="s">
        <v>1376</v>
      </c>
      <c r="E899" s="92" t="s">
        <v>1199</v>
      </c>
      <c r="F899" s="92" t="s">
        <v>1254</v>
      </c>
      <c r="G899" s="92" t="s">
        <v>1203</v>
      </c>
      <c r="H899" s="92" t="s">
        <v>1255</v>
      </c>
      <c r="I899" s="92" t="s">
        <v>1317</v>
      </c>
      <c r="J899" s="92" t="s">
        <v>1423</v>
      </c>
      <c r="K899" s="92" t="s">
        <v>1243</v>
      </c>
      <c r="L899" s="92" t="s">
        <v>1244</v>
      </c>
      <c r="M899" s="92" t="s">
        <v>1241</v>
      </c>
      <c r="N899" s="91">
        <v>42559</v>
      </c>
      <c r="O899" s="93">
        <v>1.0900000000000001</v>
      </c>
      <c r="P899" s="93">
        <v>1.68</v>
      </c>
      <c r="Q899" s="94">
        <v>50</v>
      </c>
      <c r="R899" s="93">
        <f t="shared" si="52"/>
        <v>84</v>
      </c>
      <c r="S899" s="95">
        <v>0.09</v>
      </c>
      <c r="T899" s="96">
        <f t="shared" si="53"/>
        <v>7.56</v>
      </c>
      <c r="U899" s="96">
        <f t="shared" si="54"/>
        <v>83.91</v>
      </c>
      <c r="V899" s="93">
        <v>1</v>
      </c>
      <c r="W899" s="97">
        <f t="shared" si="55"/>
        <v>84.91</v>
      </c>
    </row>
    <row r="900" spans="1:23" x14ac:dyDescent="0.25">
      <c r="A900" s="61" t="s">
        <v>993</v>
      </c>
      <c r="B900" s="91">
        <v>42562</v>
      </c>
      <c r="C900" s="92" t="s">
        <v>2027</v>
      </c>
      <c r="D900" s="92" t="s">
        <v>1415</v>
      </c>
      <c r="E900" s="92" t="s">
        <v>1198</v>
      </c>
      <c r="F900" s="92" t="s">
        <v>1235</v>
      </c>
      <c r="G900" s="92" t="s">
        <v>1203</v>
      </c>
      <c r="H900" s="92" t="s">
        <v>1404</v>
      </c>
      <c r="I900" s="92" t="s">
        <v>1237</v>
      </c>
      <c r="J900" s="92" t="s">
        <v>1366</v>
      </c>
      <c r="K900" s="92" t="s">
        <v>1243</v>
      </c>
      <c r="L900" s="92" t="s">
        <v>1244</v>
      </c>
      <c r="M900" s="92" t="s">
        <v>1241</v>
      </c>
      <c r="N900" s="91">
        <v>42563</v>
      </c>
      <c r="O900" s="93">
        <v>3.48</v>
      </c>
      <c r="P900" s="93">
        <v>5.43</v>
      </c>
      <c r="Q900" s="94">
        <v>2</v>
      </c>
      <c r="R900" s="93">
        <f t="shared" si="52"/>
        <v>10.86</v>
      </c>
      <c r="S900" s="95">
        <v>0.03</v>
      </c>
      <c r="T900" s="96">
        <f t="shared" si="53"/>
        <v>0.32579999999999998</v>
      </c>
      <c r="U900" s="96">
        <f t="shared" si="54"/>
        <v>10.83</v>
      </c>
      <c r="V900" s="93">
        <v>0.95</v>
      </c>
      <c r="W900" s="97">
        <f t="shared" si="55"/>
        <v>11.78</v>
      </c>
    </row>
    <row r="901" spans="1:23" x14ac:dyDescent="0.25">
      <c r="A901" s="61" t="s">
        <v>994</v>
      </c>
      <c r="B901" s="91">
        <v>42563</v>
      </c>
      <c r="C901" s="92" t="s">
        <v>2028</v>
      </c>
      <c r="D901" s="92" t="s">
        <v>1326</v>
      </c>
      <c r="E901" s="92" t="s">
        <v>1199</v>
      </c>
      <c r="F901" s="92" t="s">
        <v>1254</v>
      </c>
      <c r="G901" s="92" t="s">
        <v>1201</v>
      </c>
      <c r="H901" s="92" t="s">
        <v>1255</v>
      </c>
      <c r="I901" s="92" t="s">
        <v>1237</v>
      </c>
      <c r="J901" s="92" t="s">
        <v>1349</v>
      </c>
      <c r="K901" s="92" t="s">
        <v>1243</v>
      </c>
      <c r="L901" s="92" t="s">
        <v>1260</v>
      </c>
      <c r="M901" s="92" t="s">
        <v>1241</v>
      </c>
      <c r="N901" s="91">
        <v>42564</v>
      </c>
      <c r="O901" s="93">
        <v>3.65</v>
      </c>
      <c r="P901" s="93">
        <v>5.98</v>
      </c>
      <c r="Q901" s="94">
        <v>22</v>
      </c>
      <c r="R901" s="93">
        <f t="shared" ref="R901:R964" si="56">P901*Q901</f>
        <v>131.56</v>
      </c>
      <c r="S901" s="95">
        <v>7.0000000000000007E-2</v>
      </c>
      <c r="T901" s="96">
        <f t="shared" ref="T901:T964" si="57">R901*S901</f>
        <v>9.2092000000000009</v>
      </c>
      <c r="U901" s="96">
        <f t="shared" ref="U901:U964" si="58">R901-S901</f>
        <v>131.49</v>
      </c>
      <c r="V901" s="93">
        <v>1.49</v>
      </c>
      <c r="W901" s="97">
        <f t="shared" ref="W901:W964" si="59">U901+V901</f>
        <v>132.98000000000002</v>
      </c>
    </row>
    <row r="902" spans="1:23" x14ac:dyDescent="0.25">
      <c r="A902" s="61" t="s">
        <v>995</v>
      </c>
      <c r="B902" s="91">
        <v>42567</v>
      </c>
      <c r="C902" s="92" t="s">
        <v>1625</v>
      </c>
      <c r="D902" s="92" t="s">
        <v>1330</v>
      </c>
      <c r="E902" s="92" t="s">
        <v>1199</v>
      </c>
      <c r="F902" s="92" t="s">
        <v>1254</v>
      </c>
      <c r="G902" s="92" t="s">
        <v>1203</v>
      </c>
      <c r="H902" s="92" t="s">
        <v>1255</v>
      </c>
      <c r="I902" s="92" t="s">
        <v>1317</v>
      </c>
      <c r="J902" s="92" t="s">
        <v>1391</v>
      </c>
      <c r="K902" s="92" t="s">
        <v>1239</v>
      </c>
      <c r="L902" s="92" t="s">
        <v>1260</v>
      </c>
      <c r="M902" s="92" t="s">
        <v>1241</v>
      </c>
      <c r="N902" s="91">
        <v>42569</v>
      </c>
      <c r="O902" s="93">
        <v>32.020000000000003</v>
      </c>
      <c r="P902" s="93">
        <v>152.47999999999999</v>
      </c>
      <c r="Q902" s="94">
        <v>2</v>
      </c>
      <c r="R902" s="93">
        <f t="shared" si="56"/>
        <v>304.95999999999998</v>
      </c>
      <c r="S902" s="95">
        <v>0.03</v>
      </c>
      <c r="T902" s="96">
        <f t="shared" si="57"/>
        <v>9.1487999999999996</v>
      </c>
      <c r="U902" s="96">
        <f t="shared" si="58"/>
        <v>304.93</v>
      </c>
      <c r="V902" s="93">
        <v>4</v>
      </c>
      <c r="W902" s="97">
        <f t="shared" si="59"/>
        <v>308.93</v>
      </c>
    </row>
    <row r="903" spans="1:23" x14ac:dyDescent="0.25">
      <c r="A903" s="61" t="s">
        <v>996</v>
      </c>
      <c r="B903" s="91">
        <v>42568</v>
      </c>
      <c r="C903" s="92" t="s">
        <v>1805</v>
      </c>
      <c r="D903" s="92" t="s">
        <v>1496</v>
      </c>
      <c r="E903" s="92" t="s">
        <v>1198</v>
      </c>
      <c r="F903" s="92" t="s">
        <v>1235</v>
      </c>
      <c r="G903" s="92" t="s">
        <v>1200</v>
      </c>
      <c r="H903" s="92" t="s">
        <v>1313</v>
      </c>
      <c r="I903" s="92" t="s">
        <v>1256</v>
      </c>
      <c r="J903" s="92" t="s">
        <v>1670</v>
      </c>
      <c r="K903" s="92" t="s">
        <v>1243</v>
      </c>
      <c r="L903" s="92" t="s">
        <v>1244</v>
      </c>
      <c r="M903" s="92" t="s">
        <v>1241</v>
      </c>
      <c r="N903" s="91">
        <v>42569</v>
      </c>
      <c r="O903" s="93">
        <v>0.93</v>
      </c>
      <c r="P903" s="93">
        <v>1.6</v>
      </c>
      <c r="Q903" s="94">
        <v>39</v>
      </c>
      <c r="R903" s="93">
        <f t="shared" si="56"/>
        <v>62.400000000000006</v>
      </c>
      <c r="S903" s="95">
        <v>0.1</v>
      </c>
      <c r="T903" s="96">
        <f t="shared" si="57"/>
        <v>6.2400000000000011</v>
      </c>
      <c r="U903" s="96">
        <f t="shared" si="58"/>
        <v>62.300000000000004</v>
      </c>
      <c r="V903" s="93">
        <v>1.29</v>
      </c>
      <c r="W903" s="97">
        <f t="shared" si="59"/>
        <v>63.59</v>
      </c>
    </row>
    <row r="904" spans="1:23" x14ac:dyDescent="0.25">
      <c r="A904" s="61" t="s">
        <v>997</v>
      </c>
      <c r="B904" s="91">
        <v>42578</v>
      </c>
      <c r="C904" s="92" t="s">
        <v>1932</v>
      </c>
      <c r="D904" s="92" t="s">
        <v>1900</v>
      </c>
      <c r="E904" s="92" t="s">
        <v>1198</v>
      </c>
      <c r="F904" s="92" t="s">
        <v>1235</v>
      </c>
      <c r="G904" s="92" t="s">
        <v>1203</v>
      </c>
      <c r="H904" s="92" t="s">
        <v>1304</v>
      </c>
      <c r="I904" s="92" t="s">
        <v>1264</v>
      </c>
      <c r="J904" s="92" t="s">
        <v>2029</v>
      </c>
      <c r="K904" s="92" t="s">
        <v>1239</v>
      </c>
      <c r="L904" s="92" t="s">
        <v>1296</v>
      </c>
      <c r="M904" s="92" t="s">
        <v>1241</v>
      </c>
      <c r="N904" s="91">
        <v>42580</v>
      </c>
      <c r="O904" s="93">
        <v>269.99</v>
      </c>
      <c r="P904" s="93">
        <v>449.99</v>
      </c>
      <c r="Q904" s="94">
        <v>3</v>
      </c>
      <c r="R904" s="93">
        <f t="shared" si="56"/>
        <v>1349.97</v>
      </c>
      <c r="S904" s="95">
        <v>0.06</v>
      </c>
      <c r="T904" s="96">
        <f t="shared" si="57"/>
        <v>80.998199999999997</v>
      </c>
      <c r="U904" s="96">
        <f t="shared" si="58"/>
        <v>1349.91</v>
      </c>
      <c r="V904" s="93">
        <v>24.49</v>
      </c>
      <c r="W904" s="97">
        <f t="shared" si="59"/>
        <v>1374.4</v>
      </c>
    </row>
    <row r="905" spans="1:23" x14ac:dyDescent="0.25">
      <c r="A905" s="61" t="s">
        <v>998</v>
      </c>
      <c r="B905" s="91">
        <v>42579</v>
      </c>
      <c r="C905" s="92" t="s">
        <v>1882</v>
      </c>
      <c r="D905" s="92" t="s">
        <v>1514</v>
      </c>
      <c r="E905" s="92" t="s">
        <v>1198</v>
      </c>
      <c r="F905" s="92" t="s">
        <v>1235</v>
      </c>
      <c r="G905" s="92" t="s">
        <v>1203</v>
      </c>
      <c r="H905" s="92" t="s">
        <v>1291</v>
      </c>
      <c r="I905" s="92" t="s">
        <v>1237</v>
      </c>
      <c r="J905" s="92" t="s">
        <v>1338</v>
      </c>
      <c r="K905" s="92" t="s">
        <v>1243</v>
      </c>
      <c r="L905" s="92" t="s">
        <v>1260</v>
      </c>
      <c r="M905" s="92" t="s">
        <v>1241</v>
      </c>
      <c r="N905" s="91">
        <v>42581</v>
      </c>
      <c r="O905" s="93">
        <v>13.88</v>
      </c>
      <c r="P905" s="93">
        <v>22.38</v>
      </c>
      <c r="Q905" s="94">
        <v>18</v>
      </c>
      <c r="R905" s="93">
        <f t="shared" si="56"/>
        <v>402.84</v>
      </c>
      <c r="S905" s="95">
        <v>0.05</v>
      </c>
      <c r="T905" s="96">
        <f t="shared" si="57"/>
        <v>20.141999999999999</v>
      </c>
      <c r="U905" s="96">
        <f t="shared" si="58"/>
        <v>402.78999999999996</v>
      </c>
      <c r="V905" s="93">
        <v>15.1</v>
      </c>
      <c r="W905" s="97">
        <f t="shared" si="59"/>
        <v>417.89</v>
      </c>
    </row>
    <row r="906" spans="1:23" x14ac:dyDescent="0.25">
      <c r="A906" s="61" t="s">
        <v>999</v>
      </c>
      <c r="B906" s="91">
        <v>42584</v>
      </c>
      <c r="C906" s="92" t="s">
        <v>1740</v>
      </c>
      <c r="D906" s="92" t="s">
        <v>1294</v>
      </c>
      <c r="E906" s="92" t="s">
        <v>1199</v>
      </c>
      <c r="F906" s="92" t="s">
        <v>1254</v>
      </c>
      <c r="G906" s="92" t="s">
        <v>1203</v>
      </c>
      <c r="H906" s="92" t="s">
        <v>1274</v>
      </c>
      <c r="I906" s="92" t="s">
        <v>1256</v>
      </c>
      <c r="J906" s="92" t="s">
        <v>1533</v>
      </c>
      <c r="K906" s="92" t="s">
        <v>1243</v>
      </c>
      <c r="L906" s="92" t="s">
        <v>1260</v>
      </c>
      <c r="M906" s="92" t="s">
        <v>1241</v>
      </c>
      <c r="N906" s="91">
        <v>42586</v>
      </c>
      <c r="O906" s="93">
        <v>178.83</v>
      </c>
      <c r="P906" s="93">
        <v>415.88</v>
      </c>
      <c r="Q906" s="94">
        <v>4</v>
      </c>
      <c r="R906" s="93">
        <f t="shared" si="56"/>
        <v>1663.52</v>
      </c>
      <c r="S906" s="95">
        <v>0.04</v>
      </c>
      <c r="T906" s="96">
        <f t="shared" si="57"/>
        <v>66.540800000000004</v>
      </c>
      <c r="U906" s="96">
        <f t="shared" si="58"/>
        <v>1663.48</v>
      </c>
      <c r="V906" s="93">
        <v>11.37</v>
      </c>
      <c r="W906" s="97">
        <f t="shared" si="59"/>
        <v>1674.85</v>
      </c>
    </row>
    <row r="907" spans="1:23" x14ac:dyDescent="0.25">
      <c r="A907" s="61" t="s">
        <v>1000</v>
      </c>
      <c r="B907" s="91">
        <v>42585</v>
      </c>
      <c r="C907" s="92" t="s">
        <v>2030</v>
      </c>
      <c r="D907" s="92" t="s">
        <v>1451</v>
      </c>
      <c r="E907" s="92" t="s">
        <v>1198</v>
      </c>
      <c r="F907" s="92" t="s">
        <v>1235</v>
      </c>
      <c r="G907" s="92" t="s">
        <v>1201</v>
      </c>
      <c r="H907" s="92" t="s">
        <v>1291</v>
      </c>
      <c r="I907" s="92" t="s">
        <v>1256</v>
      </c>
      <c r="J907" s="92" t="s">
        <v>1477</v>
      </c>
      <c r="K907" s="92" t="s">
        <v>1243</v>
      </c>
      <c r="L907" s="92" t="s">
        <v>1240</v>
      </c>
      <c r="M907" s="92" t="s">
        <v>1241</v>
      </c>
      <c r="N907" s="91">
        <v>42586</v>
      </c>
      <c r="O907" s="93">
        <v>4.79</v>
      </c>
      <c r="P907" s="93">
        <v>11.97</v>
      </c>
      <c r="Q907" s="94">
        <v>49</v>
      </c>
      <c r="R907" s="93">
        <f t="shared" si="56"/>
        <v>586.53000000000009</v>
      </c>
      <c r="S907" s="95">
        <v>0.09</v>
      </c>
      <c r="T907" s="96">
        <f t="shared" si="57"/>
        <v>52.787700000000008</v>
      </c>
      <c r="U907" s="96">
        <f t="shared" si="58"/>
        <v>586.44000000000005</v>
      </c>
      <c r="V907" s="93">
        <v>5.81</v>
      </c>
      <c r="W907" s="97">
        <f t="shared" si="59"/>
        <v>592.25</v>
      </c>
    </row>
    <row r="908" spans="1:23" x14ac:dyDescent="0.25">
      <c r="A908" s="61" t="s">
        <v>1001</v>
      </c>
      <c r="B908" s="91">
        <v>42586</v>
      </c>
      <c r="C908" s="92" t="s">
        <v>2031</v>
      </c>
      <c r="D908" s="92" t="s">
        <v>1496</v>
      </c>
      <c r="E908" s="92" t="s">
        <v>1198</v>
      </c>
      <c r="F908" s="92" t="s">
        <v>1235</v>
      </c>
      <c r="G908" s="92" t="s">
        <v>1200</v>
      </c>
      <c r="H908" s="92" t="s">
        <v>1313</v>
      </c>
      <c r="I908" s="92" t="s">
        <v>1317</v>
      </c>
      <c r="J908" s="92" t="s">
        <v>1401</v>
      </c>
      <c r="K908" s="92" t="s">
        <v>1239</v>
      </c>
      <c r="L908" s="92" t="s">
        <v>1260</v>
      </c>
      <c r="M908" s="92" t="s">
        <v>1241</v>
      </c>
      <c r="N908" s="91">
        <v>42588</v>
      </c>
      <c r="O908" s="93">
        <v>54.52</v>
      </c>
      <c r="P908" s="93">
        <v>100.97</v>
      </c>
      <c r="Q908" s="94">
        <v>41</v>
      </c>
      <c r="R908" s="93">
        <f t="shared" si="56"/>
        <v>4139.7699999999995</v>
      </c>
      <c r="S908" s="95">
        <v>0.03</v>
      </c>
      <c r="T908" s="96">
        <f t="shared" si="57"/>
        <v>124.19309999999999</v>
      </c>
      <c r="U908" s="96">
        <f t="shared" si="58"/>
        <v>4139.74</v>
      </c>
      <c r="V908" s="93">
        <v>7.18</v>
      </c>
      <c r="W908" s="97">
        <f t="shared" si="59"/>
        <v>4146.92</v>
      </c>
    </row>
    <row r="909" spans="1:23" x14ac:dyDescent="0.25">
      <c r="A909" s="61" t="s">
        <v>1002</v>
      </c>
      <c r="B909" s="91">
        <v>42587</v>
      </c>
      <c r="C909" s="92" t="s">
        <v>1531</v>
      </c>
      <c r="D909" s="92" t="s">
        <v>1532</v>
      </c>
      <c r="E909" s="92" t="s">
        <v>1198</v>
      </c>
      <c r="F909" s="92" t="s">
        <v>1235</v>
      </c>
      <c r="G909" s="92" t="s">
        <v>1200</v>
      </c>
      <c r="H909" s="92" t="s">
        <v>1263</v>
      </c>
      <c r="I909" s="92" t="s">
        <v>1317</v>
      </c>
      <c r="J909" s="92" t="s">
        <v>1396</v>
      </c>
      <c r="K909" s="92" t="s">
        <v>1243</v>
      </c>
      <c r="L909" s="92" t="s">
        <v>1244</v>
      </c>
      <c r="M909" s="92" t="s">
        <v>1241</v>
      </c>
      <c r="N909" s="91">
        <v>42588</v>
      </c>
      <c r="O909" s="93">
        <v>1.17</v>
      </c>
      <c r="P909" s="93">
        <v>2.78</v>
      </c>
      <c r="Q909" s="94">
        <v>6</v>
      </c>
      <c r="R909" s="93">
        <f t="shared" si="56"/>
        <v>16.68</v>
      </c>
      <c r="S909" s="95">
        <v>0.01</v>
      </c>
      <c r="T909" s="96">
        <f t="shared" si="57"/>
        <v>0.1668</v>
      </c>
      <c r="U909" s="96">
        <f t="shared" si="58"/>
        <v>16.669999999999998</v>
      </c>
      <c r="V909" s="93">
        <v>1.2</v>
      </c>
      <c r="W909" s="97">
        <f t="shared" si="59"/>
        <v>17.869999999999997</v>
      </c>
    </row>
    <row r="910" spans="1:23" x14ac:dyDescent="0.25">
      <c r="A910" s="61" t="s">
        <v>1003</v>
      </c>
      <c r="B910" s="91">
        <v>42589</v>
      </c>
      <c r="C910" s="92" t="s">
        <v>2032</v>
      </c>
      <c r="D910" s="92" t="s">
        <v>1486</v>
      </c>
      <c r="E910" s="92" t="s">
        <v>1198</v>
      </c>
      <c r="F910" s="92" t="s">
        <v>1235</v>
      </c>
      <c r="G910" s="92" t="s">
        <v>1202</v>
      </c>
      <c r="H910" s="92" t="s">
        <v>1291</v>
      </c>
      <c r="I910" s="92" t="s">
        <v>1256</v>
      </c>
      <c r="J910" s="92" t="s">
        <v>1720</v>
      </c>
      <c r="K910" s="92" t="s">
        <v>1243</v>
      </c>
      <c r="L910" s="92" t="s">
        <v>1260</v>
      </c>
      <c r="M910" s="92" t="s">
        <v>1241</v>
      </c>
      <c r="N910" s="91">
        <v>42590</v>
      </c>
      <c r="O910" s="93">
        <v>52.04</v>
      </c>
      <c r="P910" s="93">
        <v>83.93</v>
      </c>
      <c r="Q910" s="94">
        <v>37</v>
      </c>
      <c r="R910" s="93">
        <f t="shared" si="56"/>
        <v>3105.4100000000003</v>
      </c>
      <c r="S910" s="95">
        <v>0.03</v>
      </c>
      <c r="T910" s="96">
        <f t="shared" si="57"/>
        <v>93.162300000000002</v>
      </c>
      <c r="U910" s="96">
        <f t="shared" si="58"/>
        <v>3105.38</v>
      </c>
      <c r="V910" s="93">
        <v>19.989999999999998</v>
      </c>
      <c r="W910" s="97">
        <f t="shared" si="59"/>
        <v>3125.37</v>
      </c>
    </row>
    <row r="911" spans="1:23" x14ac:dyDescent="0.25">
      <c r="A911" s="61" t="s">
        <v>1004</v>
      </c>
      <c r="B911" s="91">
        <v>42590</v>
      </c>
      <c r="C911" s="92" t="s">
        <v>2033</v>
      </c>
      <c r="D911" s="92" t="s">
        <v>1290</v>
      </c>
      <c r="E911" s="92" t="s">
        <v>1198</v>
      </c>
      <c r="F911" s="92" t="s">
        <v>1235</v>
      </c>
      <c r="G911" s="92" t="s">
        <v>1203</v>
      </c>
      <c r="H911" s="92" t="s">
        <v>1291</v>
      </c>
      <c r="I911" s="92" t="s">
        <v>1317</v>
      </c>
      <c r="J911" s="92" t="s">
        <v>1275</v>
      </c>
      <c r="K911" s="92" t="s">
        <v>1243</v>
      </c>
      <c r="L911" s="92" t="s">
        <v>1260</v>
      </c>
      <c r="M911" s="92" t="s">
        <v>1241</v>
      </c>
      <c r="N911" s="91">
        <v>42591</v>
      </c>
      <c r="O911" s="93">
        <v>2.4500000000000002</v>
      </c>
      <c r="P911" s="93">
        <v>3.89</v>
      </c>
      <c r="Q911" s="94">
        <v>18</v>
      </c>
      <c r="R911" s="93">
        <f t="shared" si="56"/>
        <v>70.02</v>
      </c>
      <c r="S911" s="95">
        <v>0.04</v>
      </c>
      <c r="T911" s="96">
        <f t="shared" si="57"/>
        <v>2.8007999999999997</v>
      </c>
      <c r="U911" s="96">
        <f t="shared" si="58"/>
        <v>69.97999999999999</v>
      </c>
      <c r="V911" s="93">
        <v>7.01</v>
      </c>
      <c r="W911" s="97">
        <f t="shared" si="59"/>
        <v>76.989999999999995</v>
      </c>
    </row>
    <row r="912" spans="1:23" x14ac:dyDescent="0.25">
      <c r="A912" s="61" t="s">
        <v>1005</v>
      </c>
      <c r="B912" s="91">
        <v>42593</v>
      </c>
      <c r="C912" s="92" t="s">
        <v>1975</v>
      </c>
      <c r="D912" s="92" t="s">
        <v>1544</v>
      </c>
      <c r="E912" s="92" t="s">
        <v>1198</v>
      </c>
      <c r="F912" s="92" t="s">
        <v>1235</v>
      </c>
      <c r="G912" s="92" t="s">
        <v>1202</v>
      </c>
      <c r="H912" s="92" t="s">
        <v>1409</v>
      </c>
      <c r="I912" s="92" t="s">
        <v>1317</v>
      </c>
      <c r="J912" s="92" t="s">
        <v>1373</v>
      </c>
      <c r="K912" s="92" t="s">
        <v>1243</v>
      </c>
      <c r="L912" s="92" t="s">
        <v>1260</v>
      </c>
      <c r="M912" s="92" t="s">
        <v>1241</v>
      </c>
      <c r="N912" s="91">
        <v>42595</v>
      </c>
      <c r="O912" s="93">
        <v>2.29</v>
      </c>
      <c r="P912" s="93">
        <v>3.69</v>
      </c>
      <c r="Q912" s="94">
        <v>13</v>
      </c>
      <c r="R912" s="93">
        <f t="shared" si="56"/>
        <v>47.97</v>
      </c>
      <c r="S912" s="95">
        <v>0.04</v>
      </c>
      <c r="T912" s="96">
        <f t="shared" si="57"/>
        <v>1.9188000000000001</v>
      </c>
      <c r="U912" s="96">
        <f t="shared" si="58"/>
        <v>47.93</v>
      </c>
      <c r="V912" s="93">
        <v>0.5</v>
      </c>
      <c r="W912" s="97">
        <f t="shared" si="59"/>
        <v>48.43</v>
      </c>
    </row>
    <row r="913" spans="1:23" x14ac:dyDescent="0.25">
      <c r="A913" s="61" t="s">
        <v>1006</v>
      </c>
      <c r="B913" s="91">
        <v>42593</v>
      </c>
      <c r="C913" s="92" t="s">
        <v>1967</v>
      </c>
      <c r="D913" s="92" t="s">
        <v>1833</v>
      </c>
      <c r="E913" s="92" t="s">
        <v>1198</v>
      </c>
      <c r="F913" s="92" t="s">
        <v>1235</v>
      </c>
      <c r="G913" s="92" t="s">
        <v>1200</v>
      </c>
      <c r="H913" s="92" t="s">
        <v>1409</v>
      </c>
      <c r="I913" s="92" t="s">
        <v>1237</v>
      </c>
      <c r="J913" s="92" t="s">
        <v>1344</v>
      </c>
      <c r="K913" s="92" t="s">
        <v>1243</v>
      </c>
      <c r="L913" s="92" t="s">
        <v>1244</v>
      </c>
      <c r="M913" s="92" t="s">
        <v>1241</v>
      </c>
      <c r="N913" s="91">
        <v>42595</v>
      </c>
      <c r="O913" s="93">
        <v>0.24</v>
      </c>
      <c r="P913" s="93">
        <v>1.26</v>
      </c>
      <c r="Q913" s="94">
        <v>34</v>
      </c>
      <c r="R913" s="93">
        <f t="shared" si="56"/>
        <v>42.84</v>
      </c>
      <c r="S913" s="95">
        <v>0</v>
      </c>
      <c r="T913" s="96">
        <f t="shared" si="57"/>
        <v>0</v>
      </c>
      <c r="U913" s="96">
        <f t="shared" si="58"/>
        <v>42.84</v>
      </c>
      <c r="V913" s="93">
        <v>0.7</v>
      </c>
      <c r="W913" s="97">
        <f t="shared" si="59"/>
        <v>43.540000000000006</v>
      </c>
    </row>
    <row r="914" spans="1:23" x14ac:dyDescent="0.25">
      <c r="A914" s="61" t="s">
        <v>1007</v>
      </c>
      <c r="B914" s="91">
        <v>42597</v>
      </c>
      <c r="C914" s="92" t="s">
        <v>1855</v>
      </c>
      <c r="D914" s="92" t="s">
        <v>1598</v>
      </c>
      <c r="E914" s="92" t="s">
        <v>1198</v>
      </c>
      <c r="F914" s="92" t="s">
        <v>1235</v>
      </c>
      <c r="G914" s="92" t="s">
        <v>1200</v>
      </c>
      <c r="H914" s="92" t="s">
        <v>1471</v>
      </c>
      <c r="I914" s="92" t="s">
        <v>1248</v>
      </c>
      <c r="J914" s="92" t="s">
        <v>1275</v>
      </c>
      <c r="K914" s="92" t="s">
        <v>1243</v>
      </c>
      <c r="L914" s="92" t="s">
        <v>1260</v>
      </c>
      <c r="M914" s="92" t="s">
        <v>1250</v>
      </c>
      <c r="N914" s="91">
        <v>42602</v>
      </c>
      <c r="O914" s="93">
        <v>2.4500000000000002</v>
      </c>
      <c r="P914" s="93">
        <v>3.89</v>
      </c>
      <c r="Q914" s="94">
        <v>30</v>
      </c>
      <c r="R914" s="93">
        <f t="shared" si="56"/>
        <v>116.7</v>
      </c>
      <c r="S914" s="95">
        <v>0.09</v>
      </c>
      <c r="T914" s="96">
        <f t="shared" si="57"/>
        <v>10.503</v>
      </c>
      <c r="U914" s="96">
        <f t="shared" si="58"/>
        <v>116.61</v>
      </c>
      <c r="V914" s="93">
        <v>7.01</v>
      </c>
      <c r="W914" s="97">
        <f t="shared" si="59"/>
        <v>123.62</v>
      </c>
    </row>
    <row r="915" spans="1:23" x14ac:dyDescent="0.25">
      <c r="A915" s="61" t="s">
        <v>1008</v>
      </c>
      <c r="B915" s="91">
        <v>42599</v>
      </c>
      <c r="C915" s="92" t="s">
        <v>1829</v>
      </c>
      <c r="D915" s="92" t="s">
        <v>1326</v>
      </c>
      <c r="E915" s="92" t="s">
        <v>1199</v>
      </c>
      <c r="F915" s="92" t="s">
        <v>1254</v>
      </c>
      <c r="G915" s="92" t="s">
        <v>1202</v>
      </c>
      <c r="H915" s="92" t="s">
        <v>1255</v>
      </c>
      <c r="I915" s="92" t="s">
        <v>1317</v>
      </c>
      <c r="J915" s="92" t="s">
        <v>1539</v>
      </c>
      <c r="K915" s="92" t="s">
        <v>1243</v>
      </c>
      <c r="L915" s="92" t="s">
        <v>1244</v>
      </c>
      <c r="M915" s="92" t="s">
        <v>1241</v>
      </c>
      <c r="N915" s="91">
        <v>42600</v>
      </c>
      <c r="O915" s="93">
        <v>2.9</v>
      </c>
      <c r="P915" s="93">
        <v>4.76</v>
      </c>
      <c r="Q915" s="94">
        <v>1</v>
      </c>
      <c r="R915" s="93">
        <f t="shared" si="56"/>
        <v>4.76</v>
      </c>
      <c r="S915" s="95">
        <v>0.02</v>
      </c>
      <c r="T915" s="96">
        <f t="shared" si="57"/>
        <v>9.5199999999999993E-2</v>
      </c>
      <c r="U915" s="96">
        <f t="shared" si="58"/>
        <v>4.74</v>
      </c>
      <c r="V915" s="93">
        <v>0.88</v>
      </c>
      <c r="W915" s="97">
        <f t="shared" si="59"/>
        <v>5.62</v>
      </c>
    </row>
    <row r="916" spans="1:23" x14ac:dyDescent="0.25">
      <c r="A916" s="61" t="s">
        <v>1009</v>
      </c>
      <c r="B916" s="91">
        <v>42600</v>
      </c>
      <c r="C916" s="92" t="s">
        <v>2006</v>
      </c>
      <c r="D916" s="92" t="s">
        <v>1337</v>
      </c>
      <c r="E916" s="92" t="s">
        <v>1198</v>
      </c>
      <c r="F916" s="92" t="s">
        <v>1235</v>
      </c>
      <c r="G916" s="92" t="s">
        <v>1203</v>
      </c>
      <c r="H916" s="92" t="s">
        <v>1247</v>
      </c>
      <c r="I916" s="92" t="s">
        <v>1317</v>
      </c>
      <c r="J916" s="92" t="s">
        <v>1305</v>
      </c>
      <c r="K916" s="92" t="s">
        <v>1243</v>
      </c>
      <c r="L916" s="92" t="s">
        <v>1260</v>
      </c>
      <c r="M916" s="92" t="s">
        <v>1250</v>
      </c>
      <c r="N916" s="91">
        <v>42602</v>
      </c>
      <c r="O916" s="93">
        <v>4.53</v>
      </c>
      <c r="P916" s="93">
        <v>7.3</v>
      </c>
      <c r="Q916" s="94">
        <v>41</v>
      </c>
      <c r="R916" s="93">
        <f t="shared" si="56"/>
        <v>299.3</v>
      </c>
      <c r="S916" s="95">
        <v>0.05</v>
      </c>
      <c r="T916" s="96">
        <f t="shared" si="57"/>
        <v>14.965000000000002</v>
      </c>
      <c r="U916" s="96">
        <f t="shared" si="58"/>
        <v>299.25</v>
      </c>
      <c r="V916" s="93">
        <v>7.72</v>
      </c>
      <c r="W916" s="97">
        <f t="shared" si="59"/>
        <v>306.97000000000003</v>
      </c>
    </row>
    <row r="917" spans="1:23" x14ac:dyDescent="0.25">
      <c r="A917" s="61" t="s">
        <v>1010</v>
      </c>
      <c r="B917" s="91">
        <v>42600</v>
      </c>
      <c r="C917" s="92" t="s">
        <v>1387</v>
      </c>
      <c r="D917" s="92" t="s">
        <v>1388</v>
      </c>
      <c r="E917" s="92" t="s">
        <v>1199</v>
      </c>
      <c r="F917" s="92" t="s">
        <v>1254</v>
      </c>
      <c r="G917" s="92" t="s">
        <v>1203</v>
      </c>
      <c r="H917" s="92" t="s">
        <v>1255</v>
      </c>
      <c r="I917" s="92" t="s">
        <v>1248</v>
      </c>
      <c r="J917" s="92" t="s">
        <v>1515</v>
      </c>
      <c r="K917" s="92" t="s">
        <v>1243</v>
      </c>
      <c r="L917" s="92" t="s">
        <v>1260</v>
      </c>
      <c r="M917" s="92" t="s">
        <v>1241</v>
      </c>
      <c r="N917" s="91">
        <v>42604</v>
      </c>
      <c r="O917" s="93">
        <v>2.25</v>
      </c>
      <c r="P917" s="93">
        <v>3.69</v>
      </c>
      <c r="Q917" s="94">
        <v>16</v>
      </c>
      <c r="R917" s="93">
        <f t="shared" si="56"/>
        <v>59.04</v>
      </c>
      <c r="S917" s="95">
        <v>0.02</v>
      </c>
      <c r="T917" s="96">
        <f t="shared" si="57"/>
        <v>1.1808000000000001</v>
      </c>
      <c r="U917" s="96">
        <f t="shared" si="58"/>
        <v>59.019999999999996</v>
      </c>
      <c r="V917" s="93">
        <v>2.5</v>
      </c>
      <c r="W917" s="97">
        <f t="shared" si="59"/>
        <v>61.519999999999996</v>
      </c>
    </row>
    <row r="918" spans="1:23" x14ac:dyDescent="0.25">
      <c r="A918" s="61" t="s">
        <v>1011</v>
      </c>
      <c r="B918" s="91">
        <v>42602</v>
      </c>
      <c r="C918" s="92" t="s">
        <v>1793</v>
      </c>
      <c r="D918" s="92" t="s">
        <v>1281</v>
      </c>
      <c r="E918" s="92" t="s">
        <v>1199</v>
      </c>
      <c r="F918" s="92" t="s">
        <v>1254</v>
      </c>
      <c r="G918" s="92" t="s">
        <v>1202</v>
      </c>
      <c r="H918" s="92" t="s">
        <v>1274</v>
      </c>
      <c r="I918" s="92" t="s">
        <v>1248</v>
      </c>
      <c r="J918" s="92" t="s">
        <v>1334</v>
      </c>
      <c r="K918" s="92" t="s">
        <v>1243</v>
      </c>
      <c r="L918" s="92" t="s">
        <v>1244</v>
      </c>
      <c r="M918" s="92" t="s">
        <v>1241</v>
      </c>
      <c r="N918" s="91">
        <v>42607</v>
      </c>
      <c r="O918" s="93">
        <v>2.31</v>
      </c>
      <c r="P918" s="93">
        <v>3.78</v>
      </c>
      <c r="Q918" s="94">
        <v>28</v>
      </c>
      <c r="R918" s="93">
        <f t="shared" si="56"/>
        <v>105.83999999999999</v>
      </c>
      <c r="S918" s="95">
        <v>0.06</v>
      </c>
      <c r="T918" s="96">
        <f t="shared" si="57"/>
        <v>6.3503999999999987</v>
      </c>
      <c r="U918" s="96">
        <f t="shared" si="58"/>
        <v>105.77999999999999</v>
      </c>
      <c r="V918" s="93">
        <v>0.71</v>
      </c>
      <c r="W918" s="97">
        <f t="shared" si="59"/>
        <v>106.48999999999998</v>
      </c>
    </row>
    <row r="919" spans="1:23" x14ac:dyDescent="0.25">
      <c r="A919" s="61" t="s">
        <v>1012</v>
      </c>
      <c r="B919" s="91">
        <v>42605</v>
      </c>
      <c r="C919" s="92" t="s">
        <v>1787</v>
      </c>
      <c r="D919" s="92" t="s">
        <v>1788</v>
      </c>
      <c r="E919" s="92" t="s">
        <v>1198</v>
      </c>
      <c r="F919" s="92" t="s">
        <v>1235</v>
      </c>
      <c r="G919" s="92" t="s">
        <v>1200</v>
      </c>
      <c r="H919" s="92" t="s">
        <v>1263</v>
      </c>
      <c r="I919" s="92" t="s">
        <v>1256</v>
      </c>
      <c r="J919" s="92" t="s">
        <v>1359</v>
      </c>
      <c r="K919" s="92" t="s">
        <v>1243</v>
      </c>
      <c r="L919" s="92" t="s">
        <v>1244</v>
      </c>
      <c r="M919" s="92" t="s">
        <v>1241</v>
      </c>
      <c r="N919" s="91">
        <v>42607</v>
      </c>
      <c r="O919" s="93">
        <v>11.11</v>
      </c>
      <c r="P919" s="93">
        <v>19.84</v>
      </c>
      <c r="Q919" s="94">
        <v>22</v>
      </c>
      <c r="R919" s="93">
        <f t="shared" si="56"/>
        <v>436.48</v>
      </c>
      <c r="S919" s="95">
        <v>0.06</v>
      </c>
      <c r="T919" s="96">
        <f t="shared" si="57"/>
        <v>26.188800000000001</v>
      </c>
      <c r="U919" s="96">
        <f t="shared" si="58"/>
        <v>436.42</v>
      </c>
      <c r="V919" s="93">
        <v>4.0999999999999996</v>
      </c>
      <c r="W919" s="97">
        <f t="shared" si="59"/>
        <v>440.52000000000004</v>
      </c>
    </row>
    <row r="920" spans="1:23" x14ac:dyDescent="0.25">
      <c r="A920" s="61" t="s">
        <v>1013</v>
      </c>
      <c r="B920" s="91">
        <v>42606</v>
      </c>
      <c r="C920" s="92" t="s">
        <v>1827</v>
      </c>
      <c r="D920" s="92" t="s">
        <v>1828</v>
      </c>
      <c r="E920" s="92" t="s">
        <v>1198</v>
      </c>
      <c r="F920" s="92" t="s">
        <v>1235</v>
      </c>
      <c r="G920" s="92" t="s">
        <v>1203</v>
      </c>
      <c r="H920" s="92" t="s">
        <v>1404</v>
      </c>
      <c r="I920" s="92" t="s">
        <v>1248</v>
      </c>
      <c r="J920" s="92" t="s">
        <v>1327</v>
      </c>
      <c r="K920" s="92" t="s">
        <v>1239</v>
      </c>
      <c r="L920" s="92" t="s">
        <v>1260</v>
      </c>
      <c r="M920" s="92" t="s">
        <v>1241</v>
      </c>
      <c r="N920" s="91">
        <v>42606</v>
      </c>
      <c r="O920" s="93">
        <v>19.78</v>
      </c>
      <c r="P920" s="93">
        <v>45.99</v>
      </c>
      <c r="Q920" s="94">
        <v>46</v>
      </c>
      <c r="R920" s="93">
        <f t="shared" si="56"/>
        <v>2115.54</v>
      </c>
      <c r="S920" s="95">
        <v>0.1</v>
      </c>
      <c r="T920" s="96">
        <f t="shared" si="57"/>
        <v>211.554</v>
      </c>
      <c r="U920" s="96">
        <f t="shared" si="58"/>
        <v>2115.44</v>
      </c>
      <c r="V920" s="93">
        <v>4.99</v>
      </c>
      <c r="W920" s="97">
        <f t="shared" si="59"/>
        <v>2120.4299999999998</v>
      </c>
    </row>
    <row r="921" spans="1:23" x14ac:dyDescent="0.25">
      <c r="A921" s="61" t="s">
        <v>1014</v>
      </c>
      <c r="B921" s="91">
        <v>42606</v>
      </c>
      <c r="C921" s="92" t="s">
        <v>1676</v>
      </c>
      <c r="D921" s="92" t="s">
        <v>1581</v>
      </c>
      <c r="E921" s="92" t="s">
        <v>1199</v>
      </c>
      <c r="F921" s="92" t="s">
        <v>1254</v>
      </c>
      <c r="G921" s="92" t="s">
        <v>1201</v>
      </c>
      <c r="H921" s="92" t="s">
        <v>1274</v>
      </c>
      <c r="I921" s="92" t="s">
        <v>1256</v>
      </c>
      <c r="J921" s="92" t="s">
        <v>1468</v>
      </c>
      <c r="K921" s="92" t="s">
        <v>1243</v>
      </c>
      <c r="L921" s="92" t="s">
        <v>1260</v>
      </c>
      <c r="M921" s="92" t="s">
        <v>1241</v>
      </c>
      <c r="N921" s="91">
        <v>42609</v>
      </c>
      <c r="O921" s="93">
        <v>1.59</v>
      </c>
      <c r="P921" s="93">
        <v>2.61</v>
      </c>
      <c r="Q921" s="94">
        <v>34</v>
      </c>
      <c r="R921" s="93">
        <f t="shared" si="56"/>
        <v>88.74</v>
      </c>
      <c r="S921" s="95">
        <v>0</v>
      </c>
      <c r="T921" s="96">
        <f t="shared" si="57"/>
        <v>0</v>
      </c>
      <c r="U921" s="96">
        <f t="shared" si="58"/>
        <v>88.74</v>
      </c>
      <c r="V921" s="93">
        <v>0.5</v>
      </c>
      <c r="W921" s="97">
        <f t="shared" si="59"/>
        <v>89.24</v>
      </c>
    </row>
    <row r="922" spans="1:23" x14ac:dyDescent="0.25">
      <c r="A922" s="61" t="s">
        <v>1015</v>
      </c>
      <c r="B922" s="91">
        <v>42606</v>
      </c>
      <c r="C922" s="92" t="s">
        <v>1991</v>
      </c>
      <c r="D922" s="92" t="s">
        <v>1922</v>
      </c>
      <c r="E922" s="92" t="s">
        <v>1198</v>
      </c>
      <c r="F922" s="92" t="s">
        <v>1235</v>
      </c>
      <c r="G922" s="92" t="s">
        <v>1201</v>
      </c>
      <c r="H922" s="92" t="s">
        <v>1304</v>
      </c>
      <c r="I922" s="92" t="s">
        <v>1237</v>
      </c>
      <c r="J922" s="92" t="s">
        <v>1396</v>
      </c>
      <c r="K922" s="92" t="s">
        <v>1243</v>
      </c>
      <c r="L922" s="92" t="s">
        <v>1244</v>
      </c>
      <c r="M922" s="92" t="s">
        <v>1241</v>
      </c>
      <c r="N922" s="91">
        <v>42606</v>
      </c>
      <c r="O922" s="93">
        <v>1.53</v>
      </c>
      <c r="P922" s="93">
        <v>2.78</v>
      </c>
      <c r="Q922" s="94">
        <v>23</v>
      </c>
      <c r="R922" s="93">
        <f t="shared" si="56"/>
        <v>63.94</v>
      </c>
      <c r="S922" s="95">
        <v>0.01</v>
      </c>
      <c r="T922" s="96">
        <f t="shared" si="57"/>
        <v>0.63939999999999997</v>
      </c>
      <c r="U922" s="96">
        <f t="shared" si="58"/>
        <v>63.93</v>
      </c>
      <c r="V922" s="93">
        <v>1.34</v>
      </c>
      <c r="W922" s="97">
        <f t="shared" si="59"/>
        <v>65.27</v>
      </c>
    </row>
    <row r="923" spans="1:23" x14ac:dyDescent="0.25">
      <c r="A923" s="61" t="s">
        <v>1016</v>
      </c>
      <c r="B923" s="91">
        <v>42606</v>
      </c>
      <c r="C923" s="92" t="s">
        <v>1472</v>
      </c>
      <c r="D923" s="92" t="s">
        <v>1355</v>
      </c>
      <c r="E923" s="92" t="s">
        <v>1199</v>
      </c>
      <c r="F923" s="92" t="s">
        <v>1254</v>
      </c>
      <c r="G923" s="92" t="s">
        <v>1200</v>
      </c>
      <c r="H923" s="92" t="s">
        <v>1274</v>
      </c>
      <c r="I923" s="92" t="s">
        <v>1237</v>
      </c>
      <c r="J923" s="92" t="s">
        <v>1556</v>
      </c>
      <c r="K923" s="92" t="s">
        <v>1243</v>
      </c>
      <c r="L923" s="92" t="s">
        <v>1260</v>
      </c>
      <c r="M923" s="92" t="s">
        <v>1241</v>
      </c>
      <c r="N923" s="91">
        <v>42607</v>
      </c>
      <c r="O923" s="93">
        <v>16.850000000000001</v>
      </c>
      <c r="P923" s="93">
        <v>27.18</v>
      </c>
      <c r="Q923" s="94">
        <v>50</v>
      </c>
      <c r="R923" s="93">
        <f t="shared" si="56"/>
        <v>1359</v>
      </c>
      <c r="S923" s="95">
        <v>0.02</v>
      </c>
      <c r="T923" s="96">
        <f t="shared" si="57"/>
        <v>27.18</v>
      </c>
      <c r="U923" s="96">
        <f t="shared" si="58"/>
        <v>1358.98</v>
      </c>
      <c r="V923" s="93">
        <v>8.23</v>
      </c>
      <c r="W923" s="97">
        <f t="shared" si="59"/>
        <v>1367.21</v>
      </c>
    </row>
    <row r="924" spans="1:23" x14ac:dyDescent="0.25">
      <c r="A924" s="61" t="s">
        <v>1017</v>
      </c>
      <c r="B924" s="91">
        <v>42613</v>
      </c>
      <c r="C924" s="92" t="s">
        <v>2024</v>
      </c>
      <c r="D924" s="92" t="s">
        <v>1361</v>
      </c>
      <c r="E924" s="92" t="s">
        <v>1198</v>
      </c>
      <c r="F924" s="92" t="s">
        <v>1235</v>
      </c>
      <c r="G924" s="92" t="s">
        <v>1202</v>
      </c>
      <c r="H924" s="92" t="s">
        <v>1286</v>
      </c>
      <c r="I924" s="92" t="s">
        <v>1264</v>
      </c>
      <c r="J924" s="92" t="s">
        <v>1249</v>
      </c>
      <c r="K924" s="92" t="s">
        <v>1243</v>
      </c>
      <c r="L924" s="92" t="s">
        <v>1244</v>
      </c>
      <c r="M924" s="92" t="s">
        <v>1241</v>
      </c>
      <c r="N924" s="91">
        <v>42615</v>
      </c>
      <c r="O924" s="93">
        <v>3.32</v>
      </c>
      <c r="P924" s="93">
        <v>5.18</v>
      </c>
      <c r="Q924" s="94">
        <v>32</v>
      </c>
      <c r="R924" s="93">
        <f t="shared" si="56"/>
        <v>165.76</v>
      </c>
      <c r="S924" s="95">
        <v>0.06</v>
      </c>
      <c r="T924" s="96">
        <f t="shared" si="57"/>
        <v>9.9455999999999989</v>
      </c>
      <c r="U924" s="96">
        <f t="shared" si="58"/>
        <v>165.7</v>
      </c>
      <c r="V924" s="93">
        <v>2.04</v>
      </c>
      <c r="W924" s="97">
        <f t="shared" si="59"/>
        <v>167.73999999999998</v>
      </c>
    </row>
    <row r="925" spans="1:23" x14ac:dyDescent="0.25">
      <c r="A925" s="61" t="s">
        <v>1018</v>
      </c>
      <c r="B925" s="91">
        <v>42616</v>
      </c>
      <c r="C925" s="92" t="s">
        <v>2034</v>
      </c>
      <c r="D925" s="92" t="s">
        <v>1285</v>
      </c>
      <c r="E925" s="92" t="s">
        <v>1198</v>
      </c>
      <c r="F925" s="92" t="s">
        <v>1235</v>
      </c>
      <c r="G925" s="92" t="s">
        <v>1200</v>
      </c>
      <c r="H925" s="92" t="s">
        <v>1286</v>
      </c>
      <c r="I925" s="92" t="s">
        <v>1256</v>
      </c>
      <c r="J925" s="92" t="s">
        <v>1475</v>
      </c>
      <c r="K925" s="92" t="s">
        <v>1239</v>
      </c>
      <c r="L925" s="92" t="s">
        <v>1260</v>
      </c>
      <c r="M925" s="92" t="s">
        <v>1241</v>
      </c>
      <c r="N925" s="91">
        <v>42618</v>
      </c>
      <c r="O925" s="93">
        <v>10.07</v>
      </c>
      <c r="P925" s="93">
        <v>15.98</v>
      </c>
      <c r="Q925" s="94">
        <v>30</v>
      </c>
      <c r="R925" s="93">
        <f t="shared" si="56"/>
        <v>479.40000000000003</v>
      </c>
      <c r="S925" s="95">
        <v>0.08</v>
      </c>
      <c r="T925" s="96">
        <f t="shared" si="57"/>
        <v>38.352000000000004</v>
      </c>
      <c r="U925" s="96">
        <f t="shared" si="58"/>
        <v>479.32000000000005</v>
      </c>
      <c r="V925" s="93">
        <v>4</v>
      </c>
      <c r="W925" s="97">
        <f t="shared" si="59"/>
        <v>483.32000000000005</v>
      </c>
    </row>
    <row r="926" spans="1:23" x14ac:dyDescent="0.25">
      <c r="A926" s="61" t="s">
        <v>1019</v>
      </c>
      <c r="B926" s="91">
        <v>42618</v>
      </c>
      <c r="C926" s="92" t="s">
        <v>1647</v>
      </c>
      <c r="D926" s="92" t="s">
        <v>1640</v>
      </c>
      <c r="E926" s="92" t="s">
        <v>1198</v>
      </c>
      <c r="F926" s="92" t="s">
        <v>1235</v>
      </c>
      <c r="G926" s="92" t="s">
        <v>1202</v>
      </c>
      <c r="H926" s="92" t="s">
        <v>1263</v>
      </c>
      <c r="I926" s="92" t="s">
        <v>1237</v>
      </c>
      <c r="J926" s="92" t="s">
        <v>1334</v>
      </c>
      <c r="K926" s="92" t="s">
        <v>1243</v>
      </c>
      <c r="L926" s="92" t="s">
        <v>1244</v>
      </c>
      <c r="M926" s="92" t="s">
        <v>1241</v>
      </c>
      <c r="N926" s="91">
        <v>42620</v>
      </c>
      <c r="O926" s="93">
        <v>2.31</v>
      </c>
      <c r="P926" s="93">
        <v>3.78</v>
      </c>
      <c r="Q926" s="94">
        <v>38</v>
      </c>
      <c r="R926" s="93">
        <f t="shared" si="56"/>
        <v>143.63999999999999</v>
      </c>
      <c r="S926" s="95">
        <v>0.03</v>
      </c>
      <c r="T926" s="96">
        <f t="shared" si="57"/>
        <v>4.3091999999999997</v>
      </c>
      <c r="U926" s="96">
        <f t="shared" si="58"/>
        <v>143.60999999999999</v>
      </c>
      <c r="V926" s="93">
        <v>0.71</v>
      </c>
      <c r="W926" s="97">
        <f t="shared" si="59"/>
        <v>144.32</v>
      </c>
    </row>
    <row r="927" spans="1:23" x14ac:dyDescent="0.25">
      <c r="A927" s="61" t="s">
        <v>1020</v>
      </c>
      <c r="B927" s="91">
        <v>42619</v>
      </c>
      <c r="C927" s="92" t="s">
        <v>1693</v>
      </c>
      <c r="D927" s="92" t="s">
        <v>1395</v>
      </c>
      <c r="E927" s="92" t="s">
        <v>1198</v>
      </c>
      <c r="F927" s="92" t="s">
        <v>1235</v>
      </c>
      <c r="G927" s="92" t="s">
        <v>1203</v>
      </c>
      <c r="H927" s="92" t="s">
        <v>1236</v>
      </c>
      <c r="I927" s="92" t="s">
        <v>1237</v>
      </c>
      <c r="J927" s="92" t="s">
        <v>1279</v>
      </c>
      <c r="K927" s="92" t="s">
        <v>1239</v>
      </c>
      <c r="L927" s="92" t="s">
        <v>1260</v>
      </c>
      <c r="M927" s="92" t="s">
        <v>1250</v>
      </c>
      <c r="N927" s="91">
        <v>42621</v>
      </c>
      <c r="O927" s="93">
        <v>62.4</v>
      </c>
      <c r="P927" s="93">
        <v>155.99</v>
      </c>
      <c r="Q927" s="94">
        <v>22</v>
      </c>
      <c r="R927" s="93">
        <f t="shared" si="56"/>
        <v>3431.78</v>
      </c>
      <c r="S927" s="95">
        <v>0.02</v>
      </c>
      <c r="T927" s="96">
        <f t="shared" si="57"/>
        <v>68.635600000000011</v>
      </c>
      <c r="U927" s="96">
        <f t="shared" si="58"/>
        <v>3431.76</v>
      </c>
      <c r="V927" s="93">
        <v>8.08</v>
      </c>
      <c r="W927" s="97">
        <f t="shared" si="59"/>
        <v>3439.84</v>
      </c>
    </row>
    <row r="928" spans="1:23" x14ac:dyDescent="0.25">
      <c r="A928" s="61" t="s">
        <v>1021</v>
      </c>
      <c r="B928" s="91">
        <v>42619</v>
      </c>
      <c r="C928" s="92" t="s">
        <v>1521</v>
      </c>
      <c r="D928" s="92" t="s">
        <v>1347</v>
      </c>
      <c r="E928" s="92" t="s">
        <v>1198</v>
      </c>
      <c r="F928" s="92" t="s">
        <v>1235</v>
      </c>
      <c r="G928" s="92" t="s">
        <v>1201</v>
      </c>
      <c r="H928" s="92" t="s">
        <v>1236</v>
      </c>
      <c r="I928" s="92" t="s">
        <v>1317</v>
      </c>
      <c r="J928" s="92" t="s">
        <v>1675</v>
      </c>
      <c r="K928" s="92" t="s">
        <v>1243</v>
      </c>
      <c r="L928" s="92" t="s">
        <v>1244</v>
      </c>
      <c r="M928" s="92" t="s">
        <v>1241</v>
      </c>
      <c r="N928" s="91">
        <v>42621</v>
      </c>
      <c r="O928" s="93">
        <v>1.92</v>
      </c>
      <c r="P928" s="93">
        <v>3.26</v>
      </c>
      <c r="Q928" s="94">
        <v>38</v>
      </c>
      <c r="R928" s="93">
        <f t="shared" si="56"/>
        <v>123.88</v>
      </c>
      <c r="S928" s="95">
        <v>0.02</v>
      </c>
      <c r="T928" s="96">
        <f t="shared" si="57"/>
        <v>2.4775999999999998</v>
      </c>
      <c r="U928" s="96">
        <f t="shared" si="58"/>
        <v>123.86</v>
      </c>
      <c r="V928" s="93">
        <v>1.86</v>
      </c>
      <c r="W928" s="97">
        <f t="shared" si="59"/>
        <v>125.72</v>
      </c>
    </row>
    <row r="929" spans="1:23" x14ac:dyDescent="0.25">
      <c r="A929" s="61" t="s">
        <v>1022</v>
      </c>
      <c r="B929" s="91">
        <v>42626</v>
      </c>
      <c r="C929" s="92" t="s">
        <v>1445</v>
      </c>
      <c r="D929" s="92" t="s">
        <v>1347</v>
      </c>
      <c r="E929" s="92" t="s">
        <v>1198</v>
      </c>
      <c r="F929" s="92" t="s">
        <v>1235</v>
      </c>
      <c r="G929" s="92" t="s">
        <v>1201</v>
      </c>
      <c r="H929" s="92" t="s">
        <v>1236</v>
      </c>
      <c r="I929" s="92" t="s">
        <v>1248</v>
      </c>
      <c r="J929" s="92" t="s">
        <v>1801</v>
      </c>
      <c r="K929" s="92" t="s">
        <v>1243</v>
      </c>
      <c r="L929" s="92" t="s">
        <v>1260</v>
      </c>
      <c r="M929" s="92" t="s">
        <v>1250</v>
      </c>
      <c r="N929" s="91">
        <v>42633</v>
      </c>
      <c r="O929" s="93">
        <v>4.03</v>
      </c>
      <c r="P929" s="93">
        <v>9.3800000000000008</v>
      </c>
      <c r="Q929" s="94">
        <v>46</v>
      </c>
      <c r="R929" s="93">
        <f t="shared" si="56"/>
        <v>431.48</v>
      </c>
      <c r="S929" s="95">
        <v>0.09</v>
      </c>
      <c r="T929" s="96">
        <f t="shared" si="57"/>
        <v>38.833199999999998</v>
      </c>
      <c r="U929" s="96">
        <f t="shared" si="58"/>
        <v>431.39000000000004</v>
      </c>
      <c r="V929" s="93">
        <v>7.28</v>
      </c>
      <c r="W929" s="97">
        <f t="shared" si="59"/>
        <v>438.67</v>
      </c>
    </row>
    <row r="930" spans="1:23" x14ac:dyDescent="0.25">
      <c r="A930" s="61" t="s">
        <v>1023</v>
      </c>
      <c r="B930" s="91">
        <v>42627</v>
      </c>
      <c r="C930" s="92" t="s">
        <v>2035</v>
      </c>
      <c r="D930" s="92" t="s">
        <v>1281</v>
      </c>
      <c r="E930" s="92" t="s">
        <v>1199</v>
      </c>
      <c r="F930" s="92" t="s">
        <v>1254</v>
      </c>
      <c r="G930" s="92" t="s">
        <v>1203</v>
      </c>
      <c r="H930" s="92" t="s">
        <v>1274</v>
      </c>
      <c r="I930" s="92" t="s">
        <v>1317</v>
      </c>
      <c r="J930" s="92" t="s">
        <v>1378</v>
      </c>
      <c r="K930" s="92" t="s">
        <v>1243</v>
      </c>
      <c r="L930" s="92" t="s">
        <v>1244</v>
      </c>
      <c r="M930" s="92" t="s">
        <v>1241</v>
      </c>
      <c r="N930" s="91">
        <v>42629</v>
      </c>
      <c r="O930" s="93">
        <v>1.76</v>
      </c>
      <c r="P930" s="93">
        <v>2.94</v>
      </c>
      <c r="Q930" s="94">
        <v>26</v>
      </c>
      <c r="R930" s="93">
        <f t="shared" si="56"/>
        <v>76.44</v>
      </c>
      <c r="S930" s="95">
        <v>0.03</v>
      </c>
      <c r="T930" s="96">
        <f t="shared" si="57"/>
        <v>2.2931999999999997</v>
      </c>
      <c r="U930" s="96">
        <f t="shared" si="58"/>
        <v>76.41</v>
      </c>
      <c r="V930" s="93">
        <v>0.81</v>
      </c>
      <c r="W930" s="97">
        <f t="shared" si="59"/>
        <v>77.22</v>
      </c>
    </row>
    <row r="931" spans="1:23" x14ac:dyDescent="0.25">
      <c r="A931" s="61" t="s">
        <v>1024</v>
      </c>
      <c r="B931" s="91">
        <v>42628</v>
      </c>
      <c r="C931" s="92" t="s">
        <v>1699</v>
      </c>
      <c r="D931" s="92" t="s">
        <v>1585</v>
      </c>
      <c r="E931" s="92" t="s">
        <v>1198</v>
      </c>
      <c r="F931" s="92" t="s">
        <v>1235</v>
      </c>
      <c r="G931" s="92" t="s">
        <v>1201</v>
      </c>
      <c r="H931" s="92" t="s">
        <v>1291</v>
      </c>
      <c r="I931" s="92" t="s">
        <v>1317</v>
      </c>
      <c r="J931" s="92" t="s">
        <v>1689</v>
      </c>
      <c r="K931" s="92" t="s">
        <v>1239</v>
      </c>
      <c r="L931" s="92" t="s">
        <v>1319</v>
      </c>
      <c r="M931" s="92" t="s">
        <v>1320</v>
      </c>
      <c r="N931" s="91">
        <v>42629</v>
      </c>
      <c r="O931" s="93">
        <v>219.61</v>
      </c>
      <c r="P931" s="93">
        <v>535.64</v>
      </c>
      <c r="Q931" s="94">
        <v>44</v>
      </c>
      <c r="R931" s="93">
        <f t="shared" si="56"/>
        <v>23568.16</v>
      </c>
      <c r="S931" s="95">
        <v>0.03</v>
      </c>
      <c r="T931" s="96">
        <f t="shared" si="57"/>
        <v>707.04480000000001</v>
      </c>
      <c r="U931" s="96">
        <f t="shared" si="58"/>
        <v>23568.13</v>
      </c>
      <c r="V931" s="93">
        <v>14.7</v>
      </c>
      <c r="W931" s="97">
        <f t="shared" si="59"/>
        <v>23582.83</v>
      </c>
    </row>
    <row r="932" spans="1:23" x14ac:dyDescent="0.25">
      <c r="A932" s="61" t="s">
        <v>1025</v>
      </c>
      <c r="B932" s="91">
        <v>42630</v>
      </c>
      <c r="C932" s="92" t="s">
        <v>1812</v>
      </c>
      <c r="D932" s="92" t="s">
        <v>1299</v>
      </c>
      <c r="E932" s="92" t="s">
        <v>1198</v>
      </c>
      <c r="F932" s="92" t="s">
        <v>1235</v>
      </c>
      <c r="G932" s="92" t="s">
        <v>1203</v>
      </c>
      <c r="H932" s="92" t="s">
        <v>1236</v>
      </c>
      <c r="I932" s="92" t="s">
        <v>1248</v>
      </c>
      <c r="J932" s="92" t="s">
        <v>1271</v>
      </c>
      <c r="K932" s="92" t="s">
        <v>1239</v>
      </c>
      <c r="L932" s="92" t="s">
        <v>1260</v>
      </c>
      <c r="M932" s="92" t="s">
        <v>1241</v>
      </c>
      <c r="N932" s="91">
        <v>42632</v>
      </c>
      <c r="O932" s="93">
        <v>6.39</v>
      </c>
      <c r="P932" s="93">
        <v>19.98</v>
      </c>
      <c r="Q932" s="94">
        <v>44</v>
      </c>
      <c r="R932" s="93">
        <f t="shared" si="56"/>
        <v>879.12</v>
      </c>
      <c r="S932" s="95">
        <v>0.03</v>
      </c>
      <c r="T932" s="96">
        <f t="shared" si="57"/>
        <v>26.3736</v>
      </c>
      <c r="U932" s="96">
        <f t="shared" si="58"/>
        <v>879.09</v>
      </c>
      <c r="V932" s="93">
        <v>4</v>
      </c>
      <c r="W932" s="97">
        <f t="shared" si="59"/>
        <v>883.09</v>
      </c>
    </row>
    <row r="933" spans="1:23" x14ac:dyDescent="0.25">
      <c r="A933" s="61" t="s">
        <v>1026</v>
      </c>
      <c r="B933" s="91">
        <v>42631</v>
      </c>
      <c r="C933" s="92" t="s">
        <v>1601</v>
      </c>
      <c r="D933" s="92" t="s">
        <v>1602</v>
      </c>
      <c r="E933" s="92" t="s">
        <v>1198</v>
      </c>
      <c r="F933" s="92" t="s">
        <v>1235</v>
      </c>
      <c r="G933" s="92" t="s">
        <v>1202</v>
      </c>
      <c r="H933" s="92" t="s">
        <v>1313</v>
      </c>
      <c r="I933" s="92" t="s">
        <v>1248</v>
      </c>
      <c r="J933" s="92" t="s">
        <v>1680</v>
      </c>
      <c r="K933" s="92" t="s">
        <v>1243</v>
      </c>
      <c r="L933" s="92" t="s">
        <v>1260</v>
      </c>
      <c r="M933" s="92" t="s">
        <v>1241</v>
      </c>
      <c r="N933" s="91">
        <v>42631</v>
      </c>
      <c r="O933" s="93">
        <v>3.14</v>
      </c>
      <c r="P933" s="93">
        <v>4.91</v>
      </c>
      <c r="Q933" s="94">
        <v>13</v>
      </c>
      <c r="R933" s="93">
        <f t="shared" si="56"/>
        <v>63.83</v>
      </c>
      <c r="S933" s="95">
        <v>0.01</v>
      </c>
      <c r="T933" s="96">
        <f t="shared" si="57"/>
        <v>0.63829999999999998</v>
      </c>
      <c r="U933" s="96">
        <f t="shared" si="58"/>
        <v>63.82</v>
      </c>
      <c r="V933" s="93">
        <v>0.5</v>
      </c>
      <c r="W933" s="97">
        <f t="shared" si="59"/>
        <v>64.319999999999993</v>
      </c>
    </row>
    <row r="934" spans="1:23" x14ac:dyDescent="0.25">
      <c r="A934" s="61" t="s">
        <v>1027</v>
      </c>
      <c r="B934" s="91">
        <v>42633</v>
      </c>
      <c r="C934" s="92" t="s">
        <v>1685</v>
      </c>
      <c r="D934" s="92" t="s">
        <v>1253</v>
      </c>
      <c r="E934" s="92" t="s">
        <v>1199</v>
      </c>
      <c r="F934" s="92" t="s">
        <v>1254</v>
      </c>
      <c r="G934" s="92" t="s">
        <v>1201</v>
      </c>
      <c r="H934" s="92" t="s">
        <v>1255</v>
      </c>
      <c r="I934" s="92" t="s">
        <v>1248</v>
      </c>
      <c r="J934" s="92" t="s">
        <v>1477</v>
      </c>
      <c r="K934" s="92" t="s">
        <v>1243</v>
      </c>
      <c r="L934" s="92" t="s">
        <v>1240</v>
      </c>
      <c r="M934" s="92" t="s">
        <v>1241</v>
      </c>
      <c r="N934" s="91">
        <v>42633</v>
      </c>
      <c r="O934" s="93">
        <v>4.79</v>
      </c>
      <c r="P934" s="93">
        <v>11.97</v>
      </c>
      <c r="Q934" s="94">
        <v>38</v>
      </c>
      <c r="R934" s="93">
        <f t="shared" si="56"/>
        <v>454.86</v>
      </c>
      <c r="S934" s="95">
        <v>0.02</v>
      </c>
      <c r="T934" s="96">
        <f t="shared" si="57"/>
        <v>9.0972000000000008</v>
      </c>
      <c r="U934" s="96">
        <f t="shared" si="58"/>
        <v>454.84000000000003</v>
      </c>
      <c r="V934" s="93">
        <v>5.81</v>
      </c>
      <c r="W934" s="97">
        <f t="shared" si="59"/>
        <v>460.65000000000003</v>
      </c>
    </row>
    <row r="935" spans="1:23" x14ac:dyDescent="0.25">
      <c r="A935" s="61" t="s">
        <v>1028</v>
      </c>
      <c r="B935" s="91">
        <v>42633</v>
      </c>
      <c r="C935" s="92" t="s">
        <v>2025</v>
      </c>
      <c r="D935" s="92" t="s">
        <v>1458</v>
      </c>
      <c r="E935" s="92" t="s">
        <v>1198</v>
      </c>
      <c r="F935" s="92" t="s">
        <v>1235</v>
      </c>
      <c r="G935" s="92" t="s">
        <v>1202</v>
      </c>
      <c r="H935" s="92" t="s">
        <v>1404</v>
      </c>
      <c r="I935" s="92" t="s">
        <v>1248</v>
      </c>
      <c r="J935" s="92" t="s">
        <v>1366</v>
      </c>
      <c r="K935" s="92" t="s">
        <v>1243</v>
      </c>
      <c r="L935" s="92" t="s">
        <v>1244</v>
      </c>
      <c r="M935" s="92" t="s">
        <v>1241</v>
      </c>
      <c r="N935" s="91">
        <v>42633</v>
      </c>
      <c r="O935" s="93">
        <v>3.48</v>
      </c>
      <c r="P935" s="93">
        <v>5.43</v>
      </c>
      <c r="Q935" s="94">
        <v>12</v>
      </c>
      <c r="R935" s="93">
        <f t="shared" si="56"/>
        <v>65.16</v>
      </c>
      <c r="S935" s="95">
        <v>0.01</v>
      </c>
      <c r="T935" s="96">
        <f t="shared" si="57"/>
        <v>0.65159999999999996</v>
      </c>
      <c r="U935" s="96">
        <f t="shared" si="58"/>
        <v>65.149999999999991</v>
      </c>
      <c r="V935" s="93">
        <v>0.95</v>
      </c>
      <c r="W935" s="97">
        <f t="shared" si="59"/>
        <v>66.099999999999994</v>
      </c>
    </row>
    <row r="936" spans="1:23" x14ac:dyDescent="0.25">
      <c r="A936" s="61" t="s">
        <v>1029</v>
      </c>
      <c r="B936" s="91">
        <v>42634</v>
      </c>
      <c r="C936" s="92" t="s">
        <v>1641</v>
      </c>
      <c r="D936" s="92" t="s">
        <v>1636</v>
      </c>
      <c r="E936" s="92" t="s">
        <v>1198</v>
      </c>
      <c r="F936" s="92" t="s">
        <v>1235</v>
      </c>
      <c r="G936" s="92" t="s">
        <v>1200</v>
      </c>
      <c r="H936" s="92" t="s">
        <v>1409</v>
      </c>
      <c r="I936" s="92" t="s">
        <v>1237</v>
      </c>
      <c r="J936" s="92" t="s">
        <v>1275</v>
      </c>
      <c r="K936" s="92" t="s">
        <v>1243</v>
      </c>
      <c r="L936" s="92" t="s">
        <v>1260</v>
      </c>
      <c r="M936" s="92" t="s">
        <v>1241</v>
      </c>
      <c r="N936" s="91">
        <v>42634</v>
      </c>
      <c r="O936" s="93">
        <v>2.4500000000000002</v>
      </c>
      <c r="P936" s="93">
        <v>3.89</v>
      </c>
      <c r="Q936" s="94">
        <v>50</v>
      </c>
      <c r="R936" s="93">
        <f t="shared" si="56"/>
        <v>194.5</v>
      </c>
      <c r="S936" s="95">
        <v>0.08</v>
      </c>
      <c r="T936" s="96">
        <f t="shared" si="57"/>
        <v>15.56</v>
      </c>
      <c r="U936" s="96">
        <f t="shared" si="58"/>
        <v>194.42</v>
      </c>
      <c r="V936" s="93">
        <v>7.01</v>
      </c>
      <c r="W936" s="97">
        <f t="shared" si="59"/>
        <v>201.42999999999998</v>
      </c>
    </row>
    <row r="937" spans="1:23" x14ac:dyDescent="0.25">
      <c r="A937" s="61" t="s">
        <v>1030</v>
      </c>
      <c r="B937" s="91">
        <v>42635</v>
      </c>
      <c r="C937" s="92" t="s">
        <v>1926</v>
      </c>
      <c r="D937" s="92" t="s">
        <v>1253</v>
      </c>
      <c r="E937" s="92" t="s">
        <v>1199</v>
      </c>
      <c r="F937" s="92" t="s">
        <v>1254</v>
      </c>
      <c r="G937" s="92" t="s">
        <v>1201</v>
      </c>
      <c r="H937" s="92" t="s">
        <v>1255</v>
      </c>
      <c r="I937" s="92" t="s">
        <v>1237</v>
      </c>
      <c r="J937" s="92" t="s">
        <v>1321</v>
      </c>
      <c r="K937" s="92" t="s">
        <v>1243</v>
      </c>
      <c r="L937" s="92" t="s">
        <v>1244</v>
      </c>
      <c r="M937" s="92" t="s">
        <v>1241</v>
      </c>
      <c r="N937" s="91">
        <v>42636</v>
      </c>
      <c r="O937" s="93">
        <v>2.52</v>
      </c>
      <c r="P937" s="93">
        <v>4</v>
      </c>
      <c r="Q937" s="94">
        <v>22</v>
      </c>
      <c r="R937" s="93">
        <f t="shared" si="56"/>
        <v>88</v>
      </c>
      <c r="S937" s="95">
        <v>0.09</v>
      </c>
      <c r="T937" s="96">
        <f t="shared" si="57"/>
        <v>7.92</v>
      </c>
      <c r="U937" s="96">
        <f t="shared" si="58"/>
        <v>87.91</v>
      </c>
      <c r="V937" s="93">
        <v>1.3</v>
      </c>
      <c r="W937" s="97">
        <f t="shared" si="59"/>
        <v>89.21</v>
      </c>
    </row>
    <row r="938" spans="1:23" x14ac:dyDescent="0.25">
      <c r="A938" s="61" t="s">
        <v>1031</v>
      </c>
      <c r="B938" s="91">
        <v>42636</v>
      </c>
      <c r="C938" s="92" t="s">
        <v>2036</v>
      </c>
      <c r="D938" s="92" t="s">
        <v>1486</v>
      </c>
      <c r="E938" s="92" t="s">
        <v>1198</v>
      </c>
      <c r="F938" s="92" t="s">
        <v>1235</v>
      </c>
      <c r="G938" s="92" t="s">
        <v>1201</v>
      </c>
      <c r="H938" s="92" t="s">
        <v>1291</v>
      </c>
      <c r="I938" s="92" t="s">
        <v>1237</v>
      </c>
      <c r="J938" s="92" t="s">
        <v>1259</v>
      </c>
      <c r="K938" s="92" t="s">
        <v>1243</v>
      </c>
      <c r="L938" s="92" t="s">
        <v>1260</v>
      </c>
      <c r="M938" s="92" t="s">
        <v>1241</v>
      </c>
      <c r="N938" s="91">
        <v>42639</v>
      </c>
      <c r="O938" s="93">
        <v>3.4</v>
      </c>
      <c r="P938" s="93">
        <v>5.4</v>
      </c>
      <c r="Q938" s="94">
        <v>38</v>
      </c>
      <c r="R938" s="93">
        <f t="shared" si="56"/>
        <v>205.20000000000002</v>
      </c>
      <c r="S938" s="95">
        <v>0.03</v>
      </c>
      <c r="T938" s="96">
        <f t="shared" si="57"/>
        <v>6.1560000000000006</v>
      </c>
      <c r="U938" s="96">
        <f t="shared" si="58"/>
        <v>205.17000000000002</v>
      </c>
      <c r="V938" s="93">
        <v>7.78</v>
      </c>
      <c r="W938" s="97">
        <f t="shared" si="59"/>
        <v>212.95000000000002</v>
      </c>
    </row>
    <row r="939" spans="1:23" x14ac:dyDescent="0.25">
      <c r="A939" s="61" t="s">
        <v>1032</v>
      </c>
      <c r="B939" s="91">
        <v>42638</v>
      </c>
      <c r="C939" s="92" t="s">
        <v>1594</v>
      </c>
      <c r="D939" s="92" t="s">
        <v>1278</v>
      </c>
      <c r="E939" s="92" t="s">
        <v>1198</v>
      </c>
      <c r="F939" s="92" t="s">
        <v>1235</v>
      </c>
      <c r="G939" s="92" t="s">
        <v>1200</v>
      </c>
      <c r="H939" s="92" t="s">
        <v>1236</v>
      </c>
      <c r="I939" s="92" t="s">
        <v>1264</v>
      </c>
      <c r="J939" s="92" t="s">
        <v>1384</v>
      </c>
      <c r="K939" s="92" t="s">
        <v>1243</v>
      </c>
      <c r="L939" s="92" t="s">
        <v>1260</v>
      </c>
      <c r="M939" s="92" t="s">
        <v>1241</v>
      </c>
      <c r="N939" s="91">
        <v>42639</v>
      </c>
      <c r="O939" s="93">
        <v>4.46</v>
      </c>
      <c r="P939" s="93">
        <v>10.89</v>
      </c>
      <c r="Q939" s="94">
        <v>19</v>
      </c>
      <c r="R939" s="93">
        <f t="shared" si="56"/>
        <v>206.91000000000003</v>
      </c>
      <c r="S939" s="95">
        <v>7.0000000000000007E-2</v>
      </c>
      <c r="T939" s="96">
        <f t="shared" si="57"/>
        <v>14.483700000000002</v>
      </c>
      <c r="U939" s="96">
        <f t="shared" si="58"/>
        <v>206.84000000000003</v>
      </c>
      <c r="V939" s="93">
        <v>4.5</v>
      </c>
      <c r="W939" s="97">
        <f t="shared" si="59"/>
        <v>211.34000000000003</v>
      </c>
    </row>
    <row r="940" spans="1:23" x14ac:dyDescent="0.25">
      <c r="A940" s="61" t="s">
        <v>1033</v>
      </c>
      <c r="B940" s="91">
        <v>42639</v>
      </c>
      <c r="C940" s="92" t="s">
        <v>1735</v>
      </c>
      <c r="D940" s="92" t="s">
        <v>1388</v>
      </c>
      <c r="E940" s="92" t="s">
        <v>1199</v>
      </c>
      <c r="F940" s="92" t="s">
        <v>1254</v>
      </c>
      <c r="G940" s="92" t="s">
        <v>1200</v>
      </c>
      <c r="H940" s="92" t="s">
        <v>1255</v>
      </c>
      <c r="I940" s="92" t="s">
        <v>1248</v>
      </c>
      <c r="J940" s="92" t="s">
        <v>1724</v>
      </c>
      <c r="K940" s="92" t="s">
        <v>1243</v>
      </c>
      <c r="L940" s="92" t="s">
        <v>1260</v>
      </c>
      <c r="M940" s="92" t="s">
        <v>1241</v>
      </c>
      <c r="N940" s="91">
        <v>42648</v>
      </c>
      <c r="O940" s="93">
        <v>21.97</v>
      </c>
      <c r="P940" s="93">
        <v>35.44</v>
      </c>
      <c r="Q940" s="94">
        <v>44</v>
      </c>
      <c r="R940" s="93">
        <f t="shared" si="56"/>
        <v>1559.36</v>
      </c>
      <c r="S940" s="95">
        <v>0.01</v>
      </c>
      <c r="T940" s="96">
        <f t="shared" si="57"/>
        <v>15.593599999999999</v>
      </c>
      <c r="U940" s="96">
        <f t="shared" si="58"/>
        <v>1559.35</v>
      </c>
      <c r="V940" s="93">
        <v>4.92</v>
      </c>
      <c r="W940" s="97">
        <f t="shared" si="59"/>
        <v>1564.27</v>
      </c>
    </row>
    <row r="941" spans="1:23" x14ac:dyDescent="0.25">
      <c r="A941" s="61" t="s">
        <v>1034</v>
      </c>
      <c r="B941" s="91">
        <v>42641</v>
      </c>
      <c r="C941" s="92" t="s">
        <v>1480</v>
      </c>
      <c r="D941" s="92" t="s">
        <v>1290</v>
      </c>
      <c r="E941" s="92" t="s">
        <v>1198</v>
      </c>
      <c r="F941" s="92" t="s">
        <v>1235</v>
      </c>
      <c r="G941" s="92" t="s">
        <v>1201</v>
      </c>
      <c r="H941" s="92" t="s">
        <v>1291</v>
      </c>
      <c r="I941" s="92" t="s">
        <v>1317</v>
      </c>
      <c r="J941" s="92" t="s">
        <v>1536</v>
      </c>
      <c r="K941" s="92" t="s">
        <v>1243</v>
      </c>
      <c r="L941" s="92" t="s">
        <v>1260</v>
      </c>
      <c r="M941" s="92" t="s">
        <v>1241</v>
      </c>
      <c r="N941" s="91">
        <v>42643</v>
      </c>
      <c r="O941" s="93">
        <v>19.829999999999998</v>
      </c>
      <c r="P941" s="93">
        <v>30.98</v>
      </c>
      <c r="Q941" s="94">
        <v>30</v>
      </c>
      <c r="R941" s="93">
        <f t="shared" si="56"/>
        <v>929.4</v>
      </c>
      <c r="S941" s="95">
        <v>0.03</v>
      </c>
      <c r="T941" s="96">
        <f t="shared" si="57"/>
        <v>27.881999999999998</v>
      </c>
      <c r="U941" s="96">
        <f t="shared" si="58"/>
        <v>929.37</v>
      </c>
      <c r="V941" s="93">
        <v>19.510000000000002</v>
      </c>
      <c r="W941" s="97">
        <f t="shared" si="59"/>
        <v>948.88</v>
      </c>
    </row>
    <row r="942" spans="1:23" x14ac:dyDescent="0.25">
      <c r="A942" s="61" t="s">
        <v>1035</v>
      </c>
      <c r="B942" s="91">
        <v>42643</v>
      </c>
      <c r="C942" s="92" t="s">
        <v>1460</v>
      </c>
      <c r="D942" s="92" t="s">
        <v>1461</v>
      </c>
      <c r="E942" s="92" t="s">
        <v>1199</v>
      </c>
      <c r="F942" s="92" t="s">
        <v>1254</v>
      </c>
      <c r="G942" s="92" t="s">
        <v>1201</v>
      </c>
      <c r="H942" s="92" t="s">
        <v>1255</v>
      </c>
      <c r="I942" s="92" t="s">
        <v>1317</v>
      </c>
      <c r="J942" s="92" t="s">
        <v>1405</v>
      </c>
      <c r="K942" s="92" t="s">
        <v>1243</v>
      </c>
      <c r="L942" s="92" t="s">
        <v>1260</v>
      </c>
      <c r="M942" s="92" t="s">
        <v>1241</v>
      </c>
      <c r="N942" s="91">
        <v>42645</v>
      </c>
      <c r="O942" s="93">
        <v>4.59</v>
      </c>
      <c r="P942" s="93">
        <v>7.28</v>
      </c>
      <c r="Q942" s="94">
        <v>50</v>
      </c>
      <c r="R942" s="93">
        <f t="shared" si="56"/>
        <v>364</v>
      </c>
      <c r="S942" s="95">
        <v>0.01</v>
      </c>
      <c r="T942" s="96">
        <f t="shared" si="57"/>
        <v>3.64</v>
      </c>
      <c r="U942" s="96">
        <f t="shared" si="58"/>
        <v>363.99</v>
      </c>
      <c r="V942" s="93">
        <v>11.15</v>
      </c>
      <c r="W942" s="97">
        <f t="shared" si="59"/>
        <v>375.14</v>
      </c>
    </row>
    <row r="943" spans="1:23" x14ac:dyDescent="0.25">
      <c r="A943" s="61" t="s">
        <v>1036</v>
      </c>
      <c r="B943" s="91">
        <v>42644</v>
      </c>
      <c r="C943" s="92" t="s">
        <v>1661</v>
      </c>
      <c r="D943" s="92" t="s">
        <v>1458</v>
      </c>
      <c r="E943" s="92" t="s">
        <v>1198</v>
      </c>
      <c r="F943" s="92" t="s">
        <v>1235</v>
      </c>
      <c r="G943" s="92" t="s">
        <v>1201</v>
      </c>
      <c r="H943" s="92" t="s">
        <v>1404</v>
      </c>
      <c r="I943" s="92" t="s">
        <v>1237</v>
      </c>
      <c r="J943" s="92" t="s">
        <v>1536</v>
      </c>
      <c r="K943" s="92" t="s">
        <v>1243</v>
      </c>
      <c r="L943" s="92" t="s">
        <v>1260</v>
      </c>
      <c r="M943" s="92" t="s">
        <v>1241</v>
      </c>
      <c r="N943" s="91">
        <v>42645</v>
      </c>
      <c r="O943" s="93">
        <v>19.829999999999998</v>
      </c>
      <c r="P943" s="93">
        <v>30.98</v>
      </c>
      <c r="Q943" s="94">
        <v>37</v>
      </c>
      <c r="R943" s="93">
        <f t="shared" si="56"/>
        <v>1146.26</v>
      </c>
      <c r="S943" s="95">
        <v>0.01</v>
      </c>
      <c r="T943" s="96">
        <f t="shared" si="57"/>
        <v>11.4626</v>
      </c>
      <c r="U943" s="96">
        <f t="shared" si="58"/>
        <v>1146.25</v>
      </c>
      <c r="V943" s="93">
        <v>19.510000000000002</v>
      </c>
      <c r="W943" s="97">
        <f t="shared" si="59"/>
        <v>1165.76</v>
      </c>
    </row>
    <row r="944" spans="1:23" x14ac:dyDescent="0.25">
      <c r="A944" s="61" t="s">
        <v>1037</v>
      </c>
      <c r="B944" s="91">
        <v>42644</v>
      </c>
      <c r="C944" s="92" t="s">
        <v>2037</v>
      </c>
      <c r="D944" s="92" t="s">
        <v>1615</v>
      </c>
      <c r="E944" s="92" t="s">
        <v>1198</v>
      </c>
      <c r="F944" s="92" t="s">
        <v>1235</v>
      </c>
      <c r="G944" s="92" t="s">
        <v>1203</v>
      </c>
      <c r="H944" s="92" t="s">
        <v>1404</v>
      </c>
      <c r="I944" s="92" t="s">
        <v>1237</v>
      </c>
      <c r="J944" s="92" t="s">
        <v>1368</v>
      </c>
      <c r="K944" s="92" t="s">
        <v>1243</v>
      </c>
      <c r="L944" s="92" t="s">
        <v>1244</v>
      </c>
      <c r="M944" s="92" t="s">
        <v>1241</v>
      </c>
      <c r="N944" s="91">
        <v>42645</v>
      </c>
      <c r="O944" s="93">
        <v>1.3</v>
      </c>
      <c r="P944" s="93">
        <v>2.88</v>
      </c>
      <c r="Q944" s="94">
        <v>46</v>
      </c>
      <c r="R944" s="93">
        <f t="shared" si="56"/>
        <v>132.47999999999999</v>
      </c>
      <c r="S944" s="95">
        <v>0.05</v>
      </c>
      <c r="T944" s="96">
        <f t="shared" si="57"/>
        <v>6.6239999999999997</v>
      </c>
      <c r="U944" s="96">
        <f t="shared" si="58"/>
        <v>132.42999999999998</v>
      </c>
      <c r="V944" s="93">
        <v>1.01</v>
      </c>
      <c r="W944" s="97">
        <f t="shared" si="59"/>
        <v>133.43999999999997</v>
      </c>
    </row>
    <row r="945" spans="1:23" x14ac:dyDescent="0.25">
      <c r="A945" s="61" t="s">
        <v>1038</v>
      </c>
      <c r="B945" s="91">
        <v>42649</v>
      </c>
      <c r="C945" s="92" t="s">
        <v>1432</v>
      </c>
      <c r="D945" s="92" t="s">
        <v>1433</v>
      </c>
      <c r="E945" s="92" t="s">
        <v>1198</v>
      </c>
      <c r="F945" s="92" t="s">
        <v>1235</v>
      </c>
      <c r="G945" s="92" t="s">
        <v>1200</v>
      </c>
      <c r="H945" s="92" t="s">
        <v>1304</v>
      </c>
      <c r="I945" s="92" t="s">
        <v>1317</v>
      </c>
      <c r="J945" s="92" t="s">
        <v>1456</v>
      </c>
      <c r="K945" s="92" t="s">
        <v>1243</v>
      </c>
      <c r="L945" s="92" t="s">
        <v>1260</v>
      </c>
      <c r="M945" s="92" t="s">
        <v>1241</v>
      </c>
      <c r="N945" s="91">
        <v>42651</v>
      </c>
      <c r="O945" s="93">
        <v>3.52</v>
      </c>
      <c r="P945" s="93">
        <v>5.68</v>
      </c>
      <c r="Q945" s="94">
        <v>23</v>
      </c>
      <c r="R945" s="93">
        <f t="shared" si="56"/>
        <v>130.63999999999999</v>
      </c>
      <c r="S945" s="95">
        <v>0.02</v>
      </c>
      <c r="T945" s="96">
        <f t="shared" si="57"/>
        <v>2.6127999999999996</v>
      </c>
      <c r="U945" s="96">
        <f t="shared" si="58"/>
        <v>130.61999999999998</v>
      </c>
      <c r="V945" s="93">
        <v>1.39</v>
      </c>
      <c r="W945" s="97">
        <f t="shared" si="59"/>
        <v>132.00999999999996</v>
      </c>
    </row>
    <row r="946" spans="1:23" x14ac:dyDescent="0.25">
      <c r="A946" s="61" t="s">
        <v>1039</v>
      </c>
      <c r="B946" s="91">
        <v>42651</v>
      </c>
      <c r="C946" s="92" t="s">
        <v>1277</v>
      </c>
      <c r="D946" s="92" t="s">
        <v>1278</v>
      </c>
      <c r="E946" s="92" t="s">
        <v>1198</v>
      </c>
      <c r="F946" s="92" t="s">
        <v>1235</v>
      </c>
      <c r="G946" s="92" t="s">
        <v>1200</v>
      </c>
      <c r="H946" s="92" t="s">
        <v>1236</v>
      </c>
      <c r="I946" s="92" t="s">
        <v>1317</v>
      </c>
      <c r="J946" s="92" t="s">
        <v>1642</v>
      </c>
      <c r="K946" s="92" t="s">
        <v>1243</v>
      </c>
      <c r="L946" s="92" t="s">
        <v>1260</v>
      </c>
      <c r="M946" s="92" t="s">
        <v>1241</v>
      </c>
      <c r="N946" s="91">
        <v>42651</v>
      </c>
      <c r="O946" s="93">
        <v>11.04</v>
      </c>
      <c r="P946" s="93">
        <v>16.98</v>
      </c>
      <c r="Q946" s="94">
        <v>43</v>
      </c>
      <c r="R946" s="93">
        <f t="shared" si="56"/>
        <v>730.14</v>
      </c>
      <c r="S946" s="95">
        <v>0.09</v>
      </c>
      <c r="T946" s="96">
        <f t="shared" si="57"/>
        <v>65.712599999999995</v>
      </c>
      <c r="U946" s="96">
        <f t="shared" si="58"/>
        <v>730.05</v>
      </c>
      <c r="V946" s="93">
        <v>12.39</v>
      </c>
      <c r="W946" s="97">
        <f t="shared" si="59"/>
        <v>742.43999999999994</v>
      </c>
    </row>
    <row r="947" spans="1:23" x14ac:dyDescent="0.25">
      <c r="A947" s="61" t="s">
        <v>1040</v>
      </c>
      <c r="B947" s="91">
        <v>42654</v>
      </c>
      <c r="C947" s="92" t="s">
        <v>1587</v>
      </c>
      <c r="D947" s="92" t="s">
        <v>1355</v>
      </c>
      <c r="E947" s="92" t="s">
        <v>1199</v>
      </c>
      <c r="F947" s="92" t="s">
        <v>1254</v>
      </c>
      <c r="G947" s="92" t="s">
        <v>1201</v>
      </c>
      <c r="H947" s="92" t="s">
        <v>1274</v>
      </c>
      <c r="I947" s="92" t="s">
        <v>1248</v>
      </c>
      <c r="J947" s="92" t="s">
        <v>1334</v>
      </c>
      <c r="K947" s="92" t="s">
        <v>1243</v>
      </c>
      <c r="L947" s="92" t="s">
        <v>1244</v>
      </c>
      <c r="M947" s="92" t="s">
        <v>1241</v>
      </c>
      <c r="N947" s="91">
        <v>42658</v>
      </c>
      <c r="O947" s="93">
        <v>2.31</v>
      </c>
      <c r="P947" s="93">
        <v>3.78</v>
      </c>
      <c r="Q947" s="94">
        <v>22</v>
      </c>
      <c r="R947" s="93">
        <f t="shared" si="56"/>
        <v>83.16</v>
      </c>
      <c r="S947" s="95">
        <v>0.1</v>
      </c>
      <c r="T947" s="96">
        <f t="shared" si="57"/>
        <v>8.3160000000000007</v>
      </c>
      <c r="U947" s="96">
        <f t="shared" si="58"/>
        <v>83.06</v>
      </c>
      <c r="V947" s="93">
        <v>0.71</v>
      </c>
      <c r="W947" s="97">
        <f t="shared" si="59"/>
        <v>83.77</v>
      </c>
    </row>
    <row r="948" spans="1:23" x14ac:dyDescent="0.25">
      <c r="A948" s="61" t="s">
        <v>1041</v>
      </c>
      <c r="B948" s="91">
        <v>42655</v>
      </c>
      <c r="C948" s="92" t="s">
        <v>2026</v>
      </c>
      <c r="D948" s="92" t="s">
        <v>1376</v>
      </c>
      <c r="E948" s="92" t="s">
        <v>1199</v>
      </c>
      <c r="F948" s="92" t="s">
        <v>1254</v>
      </c>
      <c r="G948" s="92" t="s">
        <v>1203</v>
      </c>
      <c r="H948" s="92" t="s">
        <v>1255</v>
      </c>
      <c r="I948" s="92" t="s">
        <v>1256</v>
      </c>
      <c r="J948" s="92" t="s">
        <v>1426</v>
      </c>
      <c r="K948" s="92" t="s">
        <v>1243</v>
      </c>
      <c r="L948" s="92" t="s">
        <v>1260</v>
      </c>
      <c r="M948" s="92" t="s">
        <v>1241</v>
      </c>
      <c r="N948" s="91">
        <v>42657</v>
      </c>
      <c r="O948" s="93">
        <v>54.29</v>
      </c>
      <c r="P948" s="93">
        <v>90.48</v>
      </c>
      <c r="Q948" s="94">
        <v>25</v>
      </c>
      <c r="R948" s="93">
        <f t="shared" si="56"/>
        <v>2262</v>
      </c>
      <c r="S948" s="95">
        <v>0.02</v>
      </c>
      <c r="T948" s="96">
        <f t="shared" si="57"/>
        <v>45.24</v>
      </c>
      <c r="U948" s="96">
        <f t="shared" si="58"/>
        <v>2261.98</v>
      </c>
      <c r="V948" s="93">
        <v>19.989999999999998</v>
      </c>
      <c r="W948" s="97">
        <f t="shared" si="59"/>
        <v>2281.9699999999998</v>
      </c>
    </row>
    <row r="949" spans="1:23" x14ac:dyDescent="0.25">
      <c r="A949" s="61" t="s">
        <v>1042</v>
      </c>
      <c r="B949" s="91">
        <v>42656</v>
      </c>
      <c r="C949" s="92" t="s">
        <v>1957</v>
      </c>
      <c r="D949" s="92" t="s">
        <v>1549</v>
      </c>
      <c r="E949" s="92" t="s">
        <v>1198</v>
      </c>
      <c r="F949" s="92" t="s">
        <v>1235</v>
      </c>
      <c r="G949" s="92" t="s">
        <v>1200</v>
      </c>
      <c r="H949" s="92" t="s">
        <v>1409</v>
      </c>
      <c r="I949" s="92" t="s">
        <v>1248</v>
      </c>
      <c r="J949" s="92" t="s">
        <v>1556</v>
      </c>
      <c r="K949" s="92" t="s">
        <v>1243</v>
      </c>
      <c r="L949" s="92" t="s">
        <v>1260</v>
      </c>
      <c r="M949" s="92" t="s">
        <v>1241</v>
      </c>
      <c r="N949" s="91">
        <v>42661</v>
      </c>
      <c r="O949" s="93">
        <v>16.850000000000001</v>
      </c>
      <c r="P949" s="93">
        <v>27.18</v>
      </c>
      <c r="Q949" s="94">
        <v>38</v>
      </c>
      <c r="R949" s="93">
        <f t="shared" si="56"/>
        <v>1032.8399999999999</v>
      </c>
      <c r="S949" s="95">
        <v>0.01</v>
      </c>
      <c r="T949" s="96">
        <f t="shared" si="57"/>
        <v>10.3284</v>
      </c>
      <c r="U949" s="96">
        <f t="shared" si="58"/>
        <v>1032.83</v>
      </c>
      <c r="V949" s="93">
        <v>8.23</v>
      </c>
      <c r="W949" s="97">
        <f t="shared" si="59"/>
        <v>1041.06</v>
      </c>
    </row>
    <row r="950" spans="1:23" x14ac:dyDescent="0.25">
      <c r="A950" s="61" t="s">
        <v>1043</v>
      </c>
      <c r="B950" s="91">
        <v>42657</v>
      </c>
      <c r="C950" s="92" t="s">
        <v>1596</v>
      </c>
      <c r="D950" s="92" t="s">
        <v>1299</v>
      </c>
      <c r="E950" s="92" t="s">
        <v>1198</v>
      </c>
      <c r="F950" s="92" t="s">
        <v>1235</v>
      </c>
      <c r="G950" s="92" t="s">
        <v>1201</v>
      </c>
      <c r="H950" s="92" t="s">
        <v>1236</v>
      </c>
      <c r="I950" s="92" t="s">
        <v>1237</v>
      </c>
      <c r="J950" s="92" t="s">
        <v>1271</v>
      </c>
      <c r="K950" s="92" t="s">
        <v>1239</v>
      </c>
      <c r="L950" s="92" t="s">
        <v>1260</v>
      </c>
      <c r="M950" s="92" t="s">
        <v>1241</v>
      </c>
      <c r="N950" s="91">
        <v>42660</v>
      </c>
      <c r="O950" s="93">
        <v>6.39</v>
      </c>
      <c r="P950" s="93">
        <v>19.98</v>
      </c>
      <c r="Q950" s="94">
        <v>9</v>
      </c>
      <c r="R950" s="93">
        <f t="shared" si="56"/>
        <v>179.82</v>
      </c>
      <c r="S950" s="95">
        <v>0.06</v>
      </c>
      <c r="T950" s="96">
        <f t="shared" si="57"/>
        <v>10.789199999999999</v>
      </c>
      <c r="U950" s="96">
        <f t="shared" si="58"/>
        <v>179.76</v>
      </c>
      <c r="V950" s="93">
        <v>4</v>
      </c>
      <c r="W950" s="97">
        <f t="shared" si="59"/>
        <v>183.76</v>
      </c>
    </row>
    <row r="951" spans="1:23" x14ac:dyDescent="0.25">
      <c r="A951" s="61" t="s">
        <v>1044</v>
      </c>
      <c r="B951" s="91">
        <v>42658</v>
      </c>
      <c r="C951" s="92" t="s">
        <v>1819</v>
      </c>
      <c r="D951" s="92" t="s">
        <v>1355</v>
      </c>
      <c r="E951" s="92" t="s">
        <v>1199</v>
      </c>
      <c r="F951" s="92" t="s">
        <v>1254</v>
      </c>
      <c r="G951" s="92" t="s">
        <v>1200</v>
      </c>
      <c r="H951" s="92" t="s">
        <v>1274</v>
      </c>
      <c r="I951" s="92" t="s">
        <v>1256</v>
      </c>
      <c r="J951" s="92" t="s">
        <v>1381</v>
      </c>
      <c r="K951" s="92" t="s">
        <v>1382</v>
      </c>
      <c r="L951" s="92" t="s">
        <v>1296</v>
      </c>
      <c r="M951" s="92" t="s">
        <v>1241</v>
      </c>
      <c r="N951" s="91">
        <v>42658</v>
      </c>
      <c r="O951" s="93">
        <v>56.16</v>
      </c>
      <c r="P951" s="93">
        <v>136.97999999999999</v>
      </c>
      <c r="Q951" s="94">
        <v>27</v>
      </c>
      <c r="R951" s="93">
        <f t="shared" si="56"/>
        <v>3698.4599999999996</v>
      </c>
      <c r="S951" s="95">
        <v>0.09</v>
      </c>
      <c r="T951" s="96">
        <f t="shared" si="57"/>
        <v>332.86139999999995</v>
      </c>
      <c r="U951" s="96">
        <f t="shared" si="58"/>
        <v>3698.3699999999994</v>
      </c>
      <c r="V951" s="93">
        <v>24.49</v>
      </c>
      <c r="W951" s="97">
        <f t="shared" si="59"/>
        <v>3722.8599999999992</v>
      </c>
    </row>
    <row r="952" spans="1:23" x14ac:dyDescent="0.25">
      <c r="A952" s="61" t="s">
        <v>1045</v>
      </c>
      <c r="B952" s="91">
        <v>42659</v>
      </c>
      <c r="C952" s="92" t="s">
        <v>1804</v>
      </c>
      <c r="D952" s="92" t="s">
        <v>1451</v>
      </c>
      <c r="E952" s="92" t="s">
        <v>1198</v>
      </c>
      <c r="F952" s="92" t="s">
        <v>1235</v>
      </c>
      <c r="G952" s="92" t="s">
        <v>1201</v>
      </c>
      <c r="H952" s="92" t="s">
        <v>1291</v>
      </c>
      <c r="I952" s="92" t="s">
        <v>1237</v>
      </c>
      <c r="J952" s="92" t="s">
        <v>1352</v>
      </c>
      <c r="K952" s="92" t="s">
        <v>1243</v>
      </c>
      <c r="L952" s="92" t="s">
        <v>1244</v>
      </c>
      <c r="M952" s="92" t="s">
        <v>1241</v>
      </c>
      <c r="N952" s="91">
        <v>42661</v>
      </c>
      <c r="O952" s="93">
        <v>1.0900000000000001</v>
      </c>
      <c r="P952" s="93">
        <v>2.6</v>
      </c>
      <c r="Q952" s="94">
        <v>12</v>
      </c>
      <c r="R952" s="93">
        <f t="shared" si="56"/>
        <v>31.200000000000003</v>
      </c>
      <c r="S952" s="95">
        <v>0.05</v>
      </c>
      <c r="T952" s="96">
        <f t="shared" si="57"/>
        <v>1.5600000000000003</v>
      </c>
      <c r="U952" s="96">
        <f t="shared" si="58"/>
        <v>31.150000000000002</v>
      </c>
      <c r="V952" s="93">
        <v>2.4</v>
      </c>
      <c r="W952" s="97">
        <f t="shared" si="59"/>
        <v>33.550000000000004</v>
      </c>
    </row>
    <row r="953" spans="1:23" x14ac:dyDescent="0.25">
      <c r="A953" s="61" t="s">
        <v>1046</v>
      </c>
      <c r="B953" s="91">
        <v>42661</v>
      </c>
      <c r="C953" s="92" t="s">
        <v>1862</v>
      </c>
      <c r="D953" s="92" t="s">
        <v>1312</v>
      </c>
      <c r="E953" s="92" t="s">
        <v>1198</v>
      </c>
      <c r="F953" s="92" t="s">
        <v>1235</v>
      </c>
      <c r="G953" s="92" t="s">
        <v>1203</v>
      </c>
      <c r="H953" s="92" t="s">
        <v>1313</v>
      </c>
      <c r="I953" s="92" t="s">
        <v>1237</v>
      </c>
      <c r="J953" s="92" t="s">
        <v>1381</v>
      </c>
      <c r="K953" s="92" t="s">
        <v>1382</v>
      </c>
      <c r="L953" s="92" t="s">
        <v>1296</v>
      </c>
      <c r="M953" s="92" t="s">
        <v>1241</v>
      </c>
      <c r="N953" s="91">
        <v>42664</v>
      </c>
      <c r="O953" s="93">
        <v>56.16</v>
      </c>
      <c r="P953" s="93">
        <v>136.97999999999999</v>
      </c>
      <c r="Q953" s="94">
        <v>21</v>
      </c>
      <c r="R953" s="93">
        <f t="shared" si="56"/>
        <v>2876.58</v>
      </c>
      <c r="S953" s="95">
        <v>0.05</v>
      </c>
      <c r="T953" s="96">
        <f t="shared" si="57"/>
        <v>143.82900000000001</v>
      </c>
      <c r="U953" s="96">
        <f t="shared" si="58"/>
        <v>2876.5299999999997</v>
      </c>
      <c r="V953" s="93">
        <v>24.49</v>
      </c>
      <c r="W953" s="97">
        <f t="shared" si="59"/>
        <v>2901.0199999999995</v>
      </c>
    </row>
    <row r="954" spans="1:23" x14ac:dyDescent="0.25">
      <c r="A954" s="61" t="s">
        <v>1047</v>
      </c>
      <c r="B954" s="91">
        <v>42662</v>
      </c>
      <c r="C954" s="92" t="s">
        <v>1907</v>
      </c>
      <c r="D954" s="92" t="s">
        <v>1395</v>
      </c>
      <c r="E954" s="92" t="s">
        <v>1198</v>
      </c>
      <c r="F954" s="92" t="s">
        <v>1235</v>
      </c>
      <c r="G954" s="92" t="s">
        <v>1200</v>
      </c>
      <c r="H954" s="92" t="s">
        <v>1236</v>
      </c>
      <c r="I954" s="92" t="s">
        <v>1264</v>
      </c>
      <c r="J954" s="92" t="s">
        <v>1331</v>
      </c>
      <c r="K954" s="92" t="s">
        <v>1243</v>
      </c>
      <c r="L954" s="92" t="s">
        <v>1240</v>
      </c>
      <c r="M954" s="92" t="s">
        <v>1241</v>
      </c>
      <c r="N954" s="91">
        <v>42664</v>
      </c>
      <c r="O954" s="93">
        <v>5.19</v>
      </c>
      <c r="P954" s="93">
        <v>12.98</v>
      </c>
      <c r="Q954" s="94">
        <v>49</v>
      </c>
      <c r="R954" s="93">
        <f t="shared" si="56"/>
        <v>636.02</v>
      </c>
      <c r="S954" s="95">
        <v>0.09</v>
      </c>
      <c r="T954" s="96">
        <f t="shared" si="57"/>
        <v>57.241799999999998</v>
      </c>
      <c r="U954" s="96">
        <f t="shared" si="58"/>
        <v>635.92999999999995</v>
      </c>
      <c r="V954" s="93">
        <v>3.14</v>
      </c>
      <c r="W954" s="97">
        <f t="shared" si="59"/>
        <v>639.06999999999994</v>
      </c>
    </row>
    <row r="955" spans="1:23" x14ac:dyDescent="0.25">
      <c r="A955" s="61" t="s">
        <v>1048</v>
      </c>
      <c r="B955" s="91">
        <v>42663</v>
      </c>
      <c r="C955" s="92" t="s">
        <v>1389</v>
      </c>
      <c r="D955" s="92" t="s">
        <v>1390</v>
      </c>
      <c r="E955" s="92" t="s">
        <v>1198</v>
      </c>
      <c r="F955" s="92" t="s">
        <v>1235</v>
      </c>
      <c r="G955" s="92" t="s">
        <v>1203</v>
      </c>
      <c r="H955" s="92" t="s">
        <v>1247</v>
      </c>
      <c r="I955" s="92" t="s">
        <v>1256</v>
      </c>
      <c r="J955" s="92" t="s">
        <v>1300</v>
      </c>
      <c r="K955" s="92" t="s">
        <v>1243</v>
      </c>
      <c r="L955" s="92" t="s">
        <v>1260</v>
      </c>
      <c r="M955" s="92" t="s">
        <v>1241</v>
      </c>
      <c r="N955" s="91">
        <v>42663</v>
      </c>
      <c r="O955" s="93">
        <v>2.2599999999999998</v>
      </c>
      <c r="P955" s="93">
        <v>3.58</v>
      </c>
      <c r="Q955" s="94">
        <v>34</v>
      </c>
      <c r="R955" s="93">
        <f t="shared" si="56"/>
        <v>121.72</v>
      </c>
      <c r="S955" s="95">
        <v>7.0000000000000007E-2</v>
      </c>
      <c r="T955" s="96">
        <f t="shared" si="57"/>
        <v>8.5204000000000004</v>
      </c>
      <c r="U955" s="96">
        <f t="shared" si="58"/>
        <v>121.65</v>
      </c>
      <c r="V955" s="93">
        <v>5.47</v>
      </c>
      <c r="W955" s="97">
        <f t="shared" si="59"/>
        <v>127.12</v>
      </c>
    </row>
    <row r="956" spans="1:23" x14ac:dyDescent="0.25">
      <c r="A956" s="61" t="s">
        <v>1049</v>
      </c>
      <c r="B956" s="91">
        <v>42665</v>
      </c>
      <c r="C956" s="92" t="s">
        <v>1332</v>
      </c>
      <c r="D956" s="92" t="s">
        <v>1285</v>
      </c>
      <c r="E956" s="92" t="s">
        <v>1198</v>
      </c>
      <c r="F956" s="92" t="s">
        <v>1235</v>
      </c>
      <c r="G956" s="92" t="s">
        <v>1201</v>
      </c>
      <c r="H956" s="92" t="s">
        <v>1286</v>
      </c>
      <c r="I956" s="92" t="s">
        <v>1256</v>
      </c>
      <c r="J956" s="92" t="s">
        <v>1468</v>
      </c>
      <c r="K956" s="92" t="s">
        <v>1243</v>
      </c>
      <c r="L956" s="92" t="s">
        <v>1260</v>
      </c>
      <c r="M956" s="92" t="s">
        <v>1241</v>
      </c>
      <c r="N956" s="91">
        <v>42667</v>
      </c>
      <c r="O956" s="93">
        <v>1.59</v>
      </c>
      <c r="P956" s="93">
        <v>2.61</v>
      </c>
      <c r="Q956" s="94">
        <v>44</v>
      </c>
      <c r="R956" s="93">
        <f t="shared" si="56"/>
        <v>114.83999999999999</v>
      </c>
      <c r="S956" s="95">
        <v>7.0000000000000007E-2</v>
      </c>
      <c r="T956" s="96">
        <f t="shared" si="57"/>
        <v>8.0388000000000002</v>
      </c>
      <c r="U956" s="96">
        <f t="shared" si="58"/>
        <v>114.77</v>
      </c>
      <c r="V956" s="93">
        <v>0.5</v>
      </c>
      <c r="W956" s="97">
        <f t="shared" si="59"/>
        <v>115.27</v>
      </c>
    </row>
    <row r="957" spans="1:23" x14ac:dyDescent="0.25">
      <c r="A957" s="61" t="s">
        <v>1050</v>
      </c>
      <c r="B957" s="91">
        <v>42666</v>
      </c>
      <c r="C957" s="92" t="s">
        <v>1882</v>
      </c>
      <c r="D957" s="92" t="s">
        <v>1514</v>
      </c>
      <c r="E957" s="92" t="s">
        <v>1198</v>
      </c>
      <c r="F957" s="92" t="s">
        <v>1235</v>
      </c>
      <c r="G957" s="92" t="s">
        <v>1202</v>
      </c>
      <c r="H957" s="92" t="s">
        <v>1291</v>
      </c>
      <c r="I957" s="92" t="s">
        <v>1264</v>
      </c>
      <c r="J957" s="92" t="s">
        <v>1257</v>
      </c>
      <c r="K957" s="92" t="s">
        <v>1239</v>
      </c>
      <c r="L957" s="92" t="s">
        <v>1258</v>
      </c>
      <c r="M957" s="92" t="s">
        <v>1241</v>
      </c>
      <c r="N957" s="91">
        <v>42668</v>
      </c>
      <c r="O957" s="93">
        <v>8.82</v>
      </c>
      <c r="P957" s="93">
        <v>20.99</v>
      </c>
      <c r="Q957" s="94">
        <v>17</v>
      </c>
      <c r="R957" s="93">
        <f t="shared" si="56"/>
        <v>356.83</v>
      </c>
      <c r="S957" s="95">
        <v>0</v>
      </c>
      <c r="T957" s="96">
        <f t="shared" si="57"/>
        <v>0</v>
      </c>
      <c r="U957" s="96">
        <f t="shared" si="58"/>
        <v>356.83</v>
      </c>
      <c r="V957" s="93">
        <v>4.8099999999999996</v>
      </c>
      <c r="W957" s="97">
        <f t="shared" si="59"/>
        <v>361.64</v>
      </c>
    </row>
    <row r="958" spans="1:23" x14ac:dyDescent="0.25">
      <c r="A958" s="61" t="s">
        <v>1051</v>
      </c>
      <c r="B958" s="91">
        <v>42666</v>
      </c>
      <c r="C958" s="92" t="s">
        <v>1437</v>
      </c>
      <c r="D958" s="92" t="s">
        <v>1273</v>
      </c>
      <c r="E958" s="92" t="s">
        <v>1199</v>
      </c>
      <c r="F958" s="92" t="s">
        <v>1254</v>
      </c>
      <c r="G958" s="92" t="s">
        <v>1200</v>
      </c>
      <c r="H958" s="92" t="s">
        <v>1274</v>
      </c>
      <c r="I958" s="92" t="s">
        <v>1248</v>
      </c>
      <c r="J958" s="92" t="s">
        <v>1381</v>
      </c>
      <c r="K958" s="92" t="s">
        <v>1382</v>
      </c>
      <c r="L958" s="92" t="s">
        <v>1296</v>
      </c>
      <c r="M958" s="92" t="s">
        <v>1241</v>
      </c>
      <c r="N958" s="91">
        <v>42673</v>
      </c>
      <c r="O958" s="93">
        <v>56.16</v>
      </c>
      <c r="P958" s="93">
        <v>136.97999999999999</v>
      </c>
      <c r="Q958" s="94">
        <v>3</v>
      </c>
      <c r="R958" s="93">
        <f t="shared" si="56"/>
        <v>410.93999999999994</v>
      </c>
      <c r="S958" s="95">
        <v>0.1</v>
      </c>
      <c r="T958" s="96">
        <f t="shared" si="57"/>
        <v>41.093999999999994</v>
      </c>
      <c r="U958" s="96">
        <f t="shared" si="58"/>
        <v>410.83999999999992</v>
      </c>
      <c r="V958" s="93">
        <v>24.49</v>
      </c>
      <c r="W958" s="97">
        <f t="shared" si="59"/>
        <v>435.32999999999993</v>
      </c>
    </row>
    <row r="959" spans="1:23" x14ac:dyDescent="0.25">
      <c r="A959" s="61" t="s">
        <v>1052</v>
      </c>
      <c r="B959" s="91">
        <v>42666</v>
      </c>
      <c r="C959" s="92" t="s">
        <v>1730</v>
      </c>
      <c r="D959" s="92" t="s">
        <v>1731</v>
      </c>
      <c r="E959" s="92" t="s">
        <v>1198</v>
      </c>
      <c r="F959" s="92" t="s">
        <v>1235</v>
      </c>
      <c r="G959" s="92" t="s">
        <v>1202</v>
      </c>
      <c r="H959" s="92" t="s">
        <v>1286</v>
      </c>
      <c r="I959" s="92" t="s">
        <v>1237</v>
      </c>
      <c r="J959" s="92" t="s">
        <v>1270</v>
      </c>
      <c r="K959" s="92" t="s">
        <v>1243</v>
      </c>
      <c r="L959" s="92" t="s">
        <v>1260</v>
      </c>
      <c r="M959" s="92" t="s">
        <v>1241</v>
      </c>
      <c r="N959" s="91">
        <v>42668</v>
      </c>
      <c r="O959" s="93">
        <v>1.84</v>
      </c>
      <c r="P959" s="93">
        <v>2.88</v>
      </c>
      <c r="Q959" s="94">
        <v>32</v>
      </c>
      <c r="R959" s="93">
        <f t="shared" si="56"/>
        <v>92.16</v>
      </c>
      <c r="S959" s="95">
        <v>0.01</v>
      </c>
      <c r="T959" s="96">
        <f t="shared" si="57"/>
        <v>0.92159999999999997</v>
      </c>
      <c r="U959" s="96">
        <f t="shared" si="58"/>
        <v>92.149999999999991</v>
      </c>
      <c r="V959" s="93">
        <v>1.49</v>
      </c>
      <c r="W959" s="97">
        <f t="shared" si="59"/>
        <v>93.639999999999986</v>
      </c>
    </row>
    <row r="960" spans="1:23" x14ac:dyDescent="0.25">
      <c r="A960" s="61" t="s">
        <v>1053</v>
      </c>
      <c r="B960" s="91">
        <v>42668</v>
      </c>
      <c r="C960" s="92" t="s">
        <v>1665</v>
      </c>
      <c r="D960" s="92" t="s">
        <v>1581</v>
      </c>
      <c r="E960" s="92" t="s">
        <v>1199</v>
      </c>
      <c r="F960" s="92" t="s">
        <v>1254</v>
      </c>
      <c r="G960" s="92" t="s">
        <v>1200</v>
      </c>
      <c r="H960" s="92" t="s">
        <v>1274</v>
      </c>
      <c r="I960" s="92" t="s">
        <v>1264</v>
      </c>
      <c r="J960" s="92" t="s">
        <v>1468</v>
      </c>
      <c r="K960" s="92" t="s">
        <v>1243</v>
      </c>
      <c r="L960" s="92" t="s">
        <v>1260</v>
      </c>
      <c r="M960" s="92" t="s">
        <v>1250</v>
      </c>
      <c r="N960" s="91">
        <v>42670</v>
      </c>
      <c r="O960" s="93">
        <v>1.59</v>
      </c>
      <c r="P960" s="93">
        <v>2.61</v>
      </c>
      <c r="Q960" s="94">
        <v>25</v>
      </c>
      <c r="R960" s="93">
        <f t="shared" si="56"/>
        <v>65.25</v>
      </c>
      <c r="S960" s="95">
        <v>0.04</v>
      </c>
      <c r="T960" s="96">
        <f t="shared" si="57"/>
        <v>2.61</v>
      </c>
      <c r="U960" s="96">
        <f t="shared" si="58"/>
        <v>65.209999999999994</v>
      </c>
      <c r="V960" s="93">
        <v>0.5</v>
      </c>
      <c r="W960" s="97">
        <f t="shared" si="59"/>
        <v>65.709999999999994</v>
      </c>
    </row>
    <row r="961" spans="1:23" x14ac:dyDescent="0.25">
      <c r="A961" s="61" t="s">
        <v>1054</v>
      </c>
      <c r="B961" s="91">
        <v>42668</v>
      </c>
      <c r="C961" s="92" t="s">
        <v>1822</v>
      </c>
      <c r="D961" s="92" t="s">
        <v>1420</v>
      </c>
      <c r="E961" s="92" t="s">
        <v>1198</v>
      </c>
      <c r="F961" s="92" t="s">
        <v>1235</v>
      </c>
      <c r="G961" s="92" t="s">
        <v>1200</v>
      </c>
      <c r="H961" s="92" t="s">
        <v>1247</v>
      </c>
      <c r="I961" s="92" t="s">
        <v>1317</v>
      </c>
      <c r="J961" s="92" t="s">
        <v>1416</v>
      </c>
      <c r="K961" s="92" t="s">
        <v>1243</v>
      </c>
      <c r="L961" s="92" t="s">
        <v>1244</v>
      </c>
      <c r="M961" s="92" t="s">
        <v>1241</v>
      </c>
      <c r="N961" s="91">
        <v>42670</v>
      </c>
      <c r="O961" s="93">
        <v>0.9</v>
      </c>
      <c r="P961" s="93">
        <v>2.1</v>
      </c>
      <c r="Q961" s="94">
        <v>33</v>
      </c>
      <c r="R961" s="93">
        <f t="shared" si="56"/>
        <v>69.3</v>
      </c>
      <c r="S961" s="95">
        <v>0.05</v>
      </c>
      <c r="T961" s="96">
        <f t="shared" si="57"/>
        <v>3.4649999999999999</v>
      </c>
      <c r="U961" s="96">
        <f t="shared" si="58"/>
        <v>69.25</v>
      </c>
      <c r="V961" s="93">
        <v>0.7</v>
      </c>
      <c r="W961" s="97">
        <f t="shared" si="59"/>
        <v>69.95</v>
      </c>
    </row>
    <row r="962" spans="1:23" x14ac:dyDescent="0.25">
      <c r="A962" s="61" t="s">
        <v>1055</v>
      </c>
      <c r="B962" s="91">
        <v>42671</v>
      </c>
      <c r="C962" s="92" t="s">
        <v>2038</v>
      </c>
      <c r="D962" s="92" t="s">
        <v>1330</v>
      </c>
      <c r="E962" s="92" t="s">
        <v>1199</v>
      </c>
      <c r="F962" s="92" t="s">
        <v>1254</v>
      </c>
      <c r="G962" s="92" t="s">
        <v>1203</v>
      </c>
      <c r="H962" s="92" t="s">
        <v>1255</v>
      </c>
      <c r="I962" s="92" t="s">
        <v>1248</v>
      </c>
      <c r="J962" s="92" t="s">
        <v>1384</v>
      </c>
      <c r="K962" s="92" t="s">
        <v>1243</v>
      </c>
      <c r="L962" s="92" t="s">
        <v>1260</v>
      </c>
      <c r="M962" s="92" t="s">
        <v>1250</v>
      </c>
      <c r="N962" s="91">
        <v>42680</v>
      </c>
      <c r="O962" s="93">
        <v>4.46</v>
      </c>
      <c r="P962" s="93">
        <v>10.89</v>
      </c>
      <c r="Q962" s="94">
        <v>30</v>
      </c>
      <c r="R962" s="93">
        <f t="shared" si="56"/>
        <v>326.70000000000005</v>
      </c>
      <c r="S962" s="95">
        <v>0.08</v>
      </c>
      <c r="T962" s="96">
        <f t="shared" si="57"/>
        <v>26.136000000000003</v>
      </c>
      <c r="U962" s="96">
        <f t="shared" si="58"/>
        <v>326.62000000000006</v>
      </c>
      <c r="V962" s="93">
        <v>4.5</v>
      </c>
      <c r="W962" s="97">
        <f t="shared" si="59"/>
        <v>331.12000000000006</v>
      </c>
    </row>
    <row r="963" spans="1:23" x14ac:dyDescent="0.25">
      <c r="A963" s="61" t="s">
        <v>1056</v>
      </c>
      <c r="B963" s="91">
        <v>42671</v>
      </c>
      <c r="C963" s="92" t="s">
        <v>1293</v>
      </c>
      <c r="D963" s="92" t="s">
        <v>1294</v>
      </c>
      <c r="E963" s="92" t="s">
        <v>1199</v>
      </c>
      <c r="F963" s="92" t="s">
        <v>1254</v>
      </c>
      <c r="G963" s="92" t="s">
        <v>1200</v>
      </c>
      <c r="H963" s="92" t="s">
        <v>1274</v>
      </c>
      <c r="I963" s="92" t="s">
        <v>1264</v>
      </c>
      <c r="J963" s="92" t="s">
        <v>1554</v>
      </c>
      <c r="K963" s="92" t="s">
        <v>1243</v>
      </c>
      <c r="L963" s="92" t="s">
        <v>1260</v>
      </c>
      <c r="M963" s="92" t="s">
        <v>1241</v>
      </c>
      <c r="N963" s="91">
        <v>42673</v>
      </c>
      <c r="O963" s="93">
        <v>1.98</v>
      </c>
      <c r="P963" s="93">
        <v>3.15</v>
      </c>
      <c r="Q963" s="94">
        <v>24</v>
      </c>
      <c r="R963" s="93">
        <f t="shared" si="56"/>
        <v>75.599999999999994</v>
      </c>
      <c r="S963" s="95">
        <v>0.02</v>
      </c>
      <c r="T963" s="96">
        <f t="shared" si="57"/>
        <v>1.512</v>
      </c>
      <c r="U963" s="96">
        <f t="shared" si="58"/>
        <v>75.58</v>
      </c>
      <c r="V963" s="93">
        <v>0.49</v>
      </c>
      <c r="W963" s="97">
        <f t="shared" si="59"/>
        <v>76.069999999999993</v>
      </c>
    </row>
    <row r="964" spans="1:23" x14ac:dyDescent="0.25">
      <c r="A964" s="61" t="s">
        <v>1057</v>
      </c>
      <c r="B964" s="91">
        <v>42672</v>
      </c>
      <c r="C964" s="92" t="s">
        <v>2039</v>
      </c>
      <c r="D964" s="92" t="s">
        <v>1788</v>
      </c>
      <c r="E964" s="92" t="s">
        <v>1198</v>
      </c>
      <c r="F964" s="92" t="s">
        <v>1235</v>
      </c>
      <c r="G964" s="92" t="s">
        <v>1203</v>
      </c>
      <c r="H964" s="92" t="s">
        <v>1263</v>
      </c>
      <c r="I964" s="92" t="s">
        <v>1264</v>
      </c>
      <c r="J964" s="92" t="s">
        <v>1271</v>
      </c>
      <c r="K964" s="92" t="s">
        <v>1239</v>
      </c>
      <c r="L964" s="92" t="s">
        <v>1260</v>
      </c>
      <c r="M964" s="92" t="s">
        <v>1241</v>
      </c>
      <c r="N964" s="91">
        <v>42673</v>
      </c>
      <c r="O964" s="93">
        <v>6.39</v>
      </c>
      <c r="P964" s="93">
        <v>19.98</v>
      </c>
      <c r="Q964" s="94">
        <v>9</v>
      </c>
      <c r="R964" s="93">
        <f t="shared" si="56"/>
        <v>179.82</v>
      </c>
      <c r="S964" s="95">
        <v>0.09</v>
      </c>
      <c r="T964" s="96">
        <f t="shared" si="57"/>
        <v>16.183799999999998</v>
      </c>
      <c r="U964" s="96">
        <f t="shared" si="58"/>
        <v>179.73</v>
      </c>
      <c r="V964" s="93">
        <v>4</v>
      </c>
      <c r="W964" s="97">
        <f t="shared" si="59"/>
        <v>183.73</v>
      </c>
    </row>
    <row r="965" spans="1:23" x14ac:dyDescent="0.25">
      <c r="A965" s="61" t="s">
        <v>1058</v>
      </c>
      <c r="B965" s="91">
        <v>42674</v>
      </c>
      <c r="C965" s="92" t="s">
        <v>2040</v>
      </c>
      <c r="D965" s="92" t="s">
        <v>1562</v>
      </c>
      <c r="E965" s="92" t="s">
        <v>1198</v>
      </c>
      <c r="F965" s="92" t="s">
        <v>1235</v>
      </c>
      <c r="G965" s="92" t="s">
        <v>1200</v>
      </c>
      <c r="H965" s="92" t="s">
        <v>1304</v>
      </c>
      <c r="I965" s="92" t="s">
        <v>1237</v>
      </c>
      <c r="J965" s="92" t="s">
        <v>1498</v>
      </c>
      <c r="K965" s="92" t="s">
        <v>1239</v>
      </c>
      <c r="L965" s="92" t="s">
        <v>1258</v>
      </c>
      <c r="M965" s="92" t="s">
        <v>1241</v>
      </c>
      <c r="N965" s="91">
        <v>42674</v>
      </c>
      <c r="O965" s="93">
        <v>9.91</v>
      </c>
      <c r="P965" s="93">
        <v>15.99</v>
      </c>
      <c r="Q965" s="94">
        <v>33</v>
      </c>
      <c r="R965" s="93">
        <f t="shared" ref="R965:R1028" si="60">P965*Q965</f>
        <v>527.66999999999996</v>
      </c>
      <c r="S965" s="95">
        <v>0.01</v>
      </c>
      <c r="T965" s="96">
        <f t="shared" ref="T965:T1028" si="61">R965*S965</f>
        <v>5.2766999999999999</v>
      </c>
      <c r="U965" s="96">
        <f t="shared" ref="U965:U1028" si="62">R965-S965</f>
        <v>527.66</v>
      </c>
      <c r="V965" s="93">
        <v>11.28</v>
      </c>
      <c r="W965" s="97">
        <f t="shared" ref="W965:W1028" si="63">U965+V965</f>
        <v>538.93999999999994</v>
      </c>
    </row>
    <row r="966" spans="1:23" x14ac:dyDescent="0.25">
      <c r="A966" s="61" t="s">
        <v>1059</v>
      </c>
      <c r="B966" s="91">
        <v>42674</v>
      </c>
      <c r="C966" s="92" t="s">
        <v>1960</v>
      </c>
      <c r="D966" s="92" t="s">
        <v>1326</v>
      </c>
      <c r="E966" s="92" t="s">
        <v>1199</v>
      </c>
      <c r="F966" s="92" t="s">
        <v>1254</v>
      </c>
      <c r="G966" s="92" t="s">
        <v>1200</v>
      </c>
      <c r="H966" s="92" t="s">
        <v>1255</v>
      </c>
      <c r="I966" s="92" t="s">
        <v>1237</v>
      </c>
      <c r="J966" s="92" t="s">
        <v>1349</v>
      </c>
      <c r="K966" s="92" t="s">
        <v>1243</v>
      </c>
      <c r="L966" s="92" t="s">
        <v>1260</v>
      </c>
      <c r="M966" s="92" t="s">
        <v>1241</v>
      </c>
      <c r="N966" s="91">
        <v>42675</v>
      </c>
      <c r="O966" s="93">
        <v>3.65</v>
      </c>
      <c r="P966" s="93">
        <v>5.98</v>
      </c>
      <c r="Q966" s="94">
        <v>23</v>
      </c>
      <c r="R966" s="93">
        <f t="shared" si="60"/>
        <v>137.54000000000002</v>
      </c>
      <c r="S966" s="95">
        <v>0.01</v>
      </c>
      <c r="T966" s="96">
        <f t="shared" si="61"/>
        <v>1.3754000000000002</v>
      </c>
      <c r="U966" s="96">
        <f t="shared" si="62"/>
        <v>137.53000000000003</v>
      </c>
      <c r="V966" s="93">
        <v>1.49</v>
      </c>
      <c r="W966" s="97">
        <f t="shared" si="63"/>
        <v>139.02000000000004</v>
      </c>
    </row>
    <row r="967" spans="1:23" x14ac:dyDescent="0.25">
      <c r="A967" s="61" t="s">
        <v>1060</v>
      </c>
      <c r="B967" s="91">
        <v>42674</v>
      </c>
      <c r="C967" s="92" t="s">
        <v>1561</v>
      </c>
      <c r="D967" s="92" t="s">
        <v>1562</v>
      </c>
      <c r="E967" s="92" t="s">
        <v>1198</v>
      </c>
      <c r="F967" s="92" t="s">
        <v>1235</v>
      </c>
      <c r="G967" s="92" t="s">
        <v>1203</v>
      </c>
      <c r="H967" s="92" t="s">
        <v>1304</v>
      </c>
      <c r="I967" s="92" t="s">
        <v>1256</v>
      </c>
      <c r="J967" s="92" t="s">
        <v>1590</v>
      </c>
      <c r="K967" s="92" t="s">
        <v>1243</v>
      </c>
      <c r="L967" s="92" t="s">
        <v>1260</v>
      </c>
      <c r="M967" s="92" t="s">
        <v>1241</v>
      </c>
      <c r="N967" s="91">
        <v>42677</v>
      </c>
      <c r="O967" s="93">
        <v>3.5</v>
      </c>
      <c r="P967" s="93">
        <v>5.74</v>
      </c>
      <c r="Q967" s="94">
        <v>48</v>
      </c>
      <c r="R967" s="93">
        <f t="shared" si="60"/>
        <v>275.52</v>
      </c>
      <c r="S967" s="95">
        <v>0.05</v>
      </c>
      <c r="T967" s="96">
        <f t="shared" si="61"/>
        <v>13.776</v>
      </c>
      <c r="U967" s="96">
        <f t="shared" si="62"/>
        <v>275.46999999999997</v>
      </c>
      <c r="V967" s="93">
        <v>5.01</v>
      </c>
      <c r="W967" s="97">
        <f t="shared" si="63"/>
        <v>280.47999999999996</v>
      </c>
    </row>
    <row r="968" spans="1:23" x14ac:dyDescent="0.25">
      <c r="A968" s="61" t="s">
        <v>1061</v>
      </c>
      <c r="B968" s="91">
        <v>42676</v>
      </c>
      <c r="C968" s="92" t="s">
        <v>1651</v>
      </c>
      <c r="D968" s="92" t="s">
        <v>1607</v>
      </c>
      <c r="E968" s="92" t="s">
        <v>1198</v>
      </c>
      <c r="F968" s="92" t="s">
        <v>1235</v>
      </c>
      <c r="G968" s="92" t="s">
        <v>1200</v>
      </c>
      <c r="H968" s="92" t="s">
        <v>1247</v>
      </c>
      <c r="I968" s="92" t="s">
        <v>1264</v>
      </c>
      <c r="J968" s="92" t="s">
        <v>1391</v>
      </c>
      <c r="K968" s="92" t="s">
        <v>1239</v>
      </c>
      <c r="L968" s="92" t="s">
        <v>1260</v>
      </c>
      <c r="M968" s="92" t="s">
        <v>1241</v>
      </c>
      <c r="N968" s="91">
        <v>42677</v>
      </c>
      <c r="O968" s="93">
        <v>39.64</v>
      </c>
      <c r="P968" s="93">
        <v>152.47999999999999</v>
      </c>
      <c r="Q968" s="94">
        <v>44</v>
      </c>
      <c r="R968" s="93">
        <f t="shared" si="60"/>
        <v>6709.12</v>
      </c>
      <c r="S968" s="95">
        <v>0.03</v>
      </c>
      <c r="T968" s="96">
        <f t="shared" si="61"/>
        <v>201.27359999999999</v>
      </c>
      <c r="U968" s="96">
        <f t="shared" si="62"/>
        <v>6709.09</v>
      </c>
      <c r="V968" s="93">
        <v>6.5</v>
      </c>
      <c r="W968" s="97">
        <f t="shared" si="63"/>
        <v>6715.59</v>
      </c>
    </row>
    <row r="969" spans="1:23" x14ac:dyDescent="0.25">
      <c r="A969" s="61" t="s">
        <v>1062</v>
      </c>
      <c r="B969" s="91">
        <v>42676</v>
      </c>
      <c r="C969" s="92" t="s">
        <v>2041</v>
      </c>
      <c r="D969" s="92" t="s">
        <v>1549</v>
      </c>
      <c r="E969" s="92" t="s">
        <v>1198</v>
      </c>
      <c r="F969" s="92" t="s">
        <v>1235</v>
      </c>
      <c r="G969" s="92" t="s">
        <v>1203</v>
      </c>
      <c r="H969" s="92" t="s">
        <v>1409</v>
      </c>
      <c r="I969" s="92" t="s">
        <v>1256</v>
      </c>
      <c r="J969" s="92" t="s">
        <v>1618</v>
      </c>
      <c r="K969" s="92" t="s">
        <v>1243</v>
      </c>
      <c r="L969" s="92" t="s">
        <v>1240</v>
      </c>
      <c r="M969" s="92" t="s">
        <v>1241</v>
      </c>
      <c r="N969" s="91">
        <v>42677</v>
      </c>
      <c r="O969" s="93">
        <v>2.5</v>
      </c>
      <c r="P969" s="93">
        <v>5.68</v>
      </c>
      <c r="Q969" s="94">
        <v>34</v>
      </c>
      <c r="R969" s="93">
        <f t="shared" si="60"/>
        <v>193.12</v>
      </c>
      <c r="S969" s="95">
        <v>0</v>
      </c>
      <c r="T969" s="96">
        <f t="shared" si="61"/>
        <v>0</v>
      </c>
      <c r="U969" s="96">
        <f t="shared" si="62"/>
        <v>193.12</v>
      </c>
      <c r="V969" s="93">
        <v>3.6</v>
      </c>
      <c r="W969" s="97">
        <f t="shared" si="63"/>
        <v>196.72</v>
      </c>
    </row>
    <row r="970" spans="1:23" x14ac:dyDescent="0.25">
      <c r="A970" s="61" t="s">
        <v>1063</v>
      </c>
      <c r="B970" s="91">
        <v>42676</v>
      </c>
      <c r="C970" s="92" t="s">
        <v>1894</v>
      </c>
      <c r="D970" s="92" t="s">
        <v>1496</v>
      </c>
      <c r="E970" s="92" t="s">
        <v>1198</v>
      </c>
      <c r="F970" s="92" t="s">
        <v>1235</v>
      </c>
      <c r="G970" s="92" t="s">
        <v>1203</v>
      </c>
      <c r="H970" s="92" t="s">
        <v>1313</v>
      </c>
      <c r="I970" s="92" t="s">
        <v>1256</v>
      </c>
      <c r="J970" s="92" t="s">
        <v>1645</v>
      </c>
      <c r="K970" s="92" t="s">
        <v>1243</v>
      </c>
      <c r="L970" s="92" t="s">
        <v>1240</v>
      </c>
      <c r="M970" s="92" t="s">
        <v>1241</v>
      </c>
      <c r="N970" s="91">
        <v>42678</v>
      </c>
      <c r="O970" s="93">
        <v>16.8</v>
      </c>
      <c r="P970" s="93">
        <v>40.97</v>
      </c>
      <c r="Q970" s="94">
        <v>26</v>
      </c>
      <c r="R970" s="93">
        <f t="shared" si="60"/>
        <v>1065.22</v>
      </c>
      <c r="S970" s="95">
        <v>0.06</v>
      </c>
      <c r="T970" s="96">
        <f t="shared" si="61"/>
        <v>63.913199999999996</v>
      </c>
      <c r="U970" s="96">
        <f t="shared" si="62"/>
        <v>1065.1600000000001</v>
      </c>
      <c r="V970" s="93">
        <v>8.99</v>
      </c>
      <c r="W970" s="97">
        <f t="shared" si="63"/>
        <v>1074.1500000000001</v>
      </c>
    </row>
    <row r="971" spans="1:23" x14ac:dyDescent="0.25">
      <c r="A971" s="61" t="s">
        <v>1064</v>
      </c>
      <c r="B971" s="91">
        <v>42676</v>
      </c>
      <c r="C971" s="92" t="s">
        <v>1728</v>
      </c>
      <c r="D971" s="92" t="s">
        <v>1615</v>
      </c>
      <c r="E971" s="92" t="s">
        <v>1198</v>
      </c>
      <c r="F971" s="92" t="s">
        <v>1235</v>
      </c>
      <c r="G971" s="92" t="s">
        <v>1203</v>
      </c>
      <c r="H971" s="92" t="s">
        <v>1404</v>
      </c>
      <c r="I971" s="92" t="s">
        <v>1248</v>
      </c>
      <c r="J971" s="92" t="s">
        <v>1368</v>
      </c>
      <c r="K971" s="92" t="s">
        <v>1243</v>
      </c>
      <c r="L971" s="92" t="s">
        <v>1244</v>
      </c>
      <c r="M971" s="92" t="s">
        <v>1241</v>
      </c>
      <c r="N971" s="91">
        <v>42680</v>
      </c>
      <c r="O971" s="93">
        <v>1.3</v>
      </c>
      <c r="P971" s="93">
        <v>2.88</v>
      </c>
      <c r="Q971" s="94">
        <v>41</v>
      </c>
      <c r="R971" s="93">
        <f t="shared" si="60"/>
        <v>118.08</v>
      </c>
      <c r="S971" s="95">
        <v>0.1</v>
      </c>
      <c r="T971" s="96">
        <f t="shared" si="61"/>
        <v>11.808</v>
      </c>
      <c r="U971" s="96">
        <f t="shared" si="62"/>
        <v>117.98</v>
      </c>
      <c r="V971" s="93">
        <v>1.01</v>
      </c>
      <c r="W971" s="97">
        <f t="shared" si="63"/>
        <v>118.99000000000001</v>
      </c>
    </row>
    <row r="972" spans="1:23" x14ac:dyDescent="0.25">
      <c r="A972" s="61" t="s">
        <v>1065</v>
      </c>
      <c r="B972" s="91">
        <v>42677</v>
      </c>
      <c r="C972" s="92" t="s">
        <v>2042</v>
      </c>
      <c r="D972" s="92" t="s">
        <v>1278</v>
      </c>
      <c r="E972" s="92" t="s">
        <v>1198</v>
      </c>
      <c r="F972" s="92" t="s">
        <v>1235</v>
      </c>
      <c r="G972" s="92" t="s">
        <v>1200</v>
      </c>
      <c r="H972" s="92" t="s">
        <v>1236</v>
      </c>
      <c r="I972" s="92" t="s">
        <v>1256</v>
      </c>
      <c r="J972" s="92" t="s">
        <v>1509</v>
      </c>
      <c r="K972" s="92" t="s">
        <v>1243</v>
      </c>
      <c r="L972" s="92" t="s">
        <v>1260</v>
      </c>
      <c r="M972" s="92" t="s">
        <v>1241</v>
      </c>
      <c r="N972" s="91">
        <v>42678</v>
      </c>
      <c r="O972" s="93">
        <v>3.84</v>
      </c>
      <c r="P972" s="93">
        <v>6.3</v>
      </c>
      <c r="Q972" s="94">
        <v>35</v>
      </c>
      <c r="R972" s="93">
        <f t="shared" si="60"/>
        <v>220.5</v>
      </c>
      <c r="S972" s="95">
        <v>0.03</v>
      </c>
      <c r="T972" s="96">
        <f t="shared" si="61"/>
        <v>6.6149999999999993</v>
      </c>
      <c r="U972" s="96">
        <f t="shared" si="62"/>
        <v>220.47</v>
      </c>
      <c r="V972" s="93">
        <v>0.5</v>
      </c>
      <c r="W972" s="97">
        <f t="shared" si="63"/>
        <v>220.97</v>
      </c>
    </row>
    <row r="973" spans="1:23" x14ac:dyDescent="0.25">
      <c r="A973" s="61" t="s">
        <v>1066</v>
      </c>
      <c r="B973" s="91">
        <v>42679</v>
      </c>
      <c r="C973" s="92" t="s">
        <v>2043</v>
      </c>
      <c r="D973" s="92" t="s">
        <v>1714</v>
      </c>
      <c r="E973" s="92" t="s">
        <v>1198</v>
      </c>
      <c r="F973" s="92" t="s">
        <v>1235</v>
      </c>
      <c r="G973" s="92" t="s">
        <v>1201</v>
      </c>
      <c r="H973" s="92" t="s">
        <v>1313</v>
      </c>
      <c r="I973" s="92" t="s">
        <v>1248</v>
      </c>
      <c r="J973" s="92" t="s">
        <v>1590</v>
      </c>
      <c r="K973" s="92" t="s">
        <v>1243</v>
      </c>
      <c r="L973" s="92" t="s">
        <v>1260</v>
      </c>
      <c r="M973" s="92" t="s">
        <v>1241</v>
      </c>
      <c r="N973" s="91">
        <v>42686</v>
      </c>
      <c r="O973" s="93">
        <v>3.5</v>
      </c>
      <c r="P973" s="93">
        <v>5.74</v>
      </c>
      <c r="Q973" s="94">
        <v>5</v>
      </c>
      <c r="R973" s="93">
        <f t="shared" si="60"/>
        <v>28.700000000000003</v>
      </c>
      <c r="S973" s="95">
        <v>7.0000000000000007E-2</v>
      </c>
      <c r="T973" s="96">
        <f t="shared" si="61"/>
        <v>2.0090000000000003</v>
      </c>
      <c r="U973" s="96">
        <f t="shared" si="62"/>
        <v>28.630000000000003</v>
      </c>
      <c r="V973" s="93">
        <v>5.01</v>
      </c>
      <c r="W973" s="97">
        <f t="shared" si="63"/>
        <v>33.64</v>
      </c>
    </row>
    <row r="974" spans="1:23" x14ac:dyDescent="0.25">
      <c r="A974" s="61" t="s">
        <v>1067</v>
      </c>
      <c r="B974" s="91">
        <v>42682</v>
      </c>
      <c r="C974" s="92" t="s">
        <v>2044</v>
      </c>
      <c r="D974" s="92" t="s">
        <v>1496</v>
      </c>
      <c r="E974" s="92" t="s">
        <v>1198</v>
      </c>
      <c r="F974" s="92" t="s">
        <v>1235</v>
      </c>
      <c r="G974" s="92" t="s">
        <v>1202</v>
      </c>
      <c r="H974" s="92" t="s">
        <v>1313</v>
      </c>
      <c r="I974" s="92" t="s">
        <v>1248</v>
      </c>
      <c r="J974" s="92" t="s">
        <v>1520</v>
      </c>
      <c r="K974" s="92" t="s">
        <v>1243</v>
      </c>
      <c r="L974" s="92" t="s">
        <v>1260</v>
      </c>
      <c r="M974" s="92" t="s">
        <v>1241</v>
      </c>
      <c r="N974" s="91">
        <v>42687</v>
      </c>
      <c r="O974" s="93">
        <v>8.92</v>
      </c>
      <c r="P974" s="93">
        <v>29.74</v>
      </c>
      <c r="Q974" s="94">
        <v>31</v>
      </c>
      <c r="R974" s="93">
        <f t="shared" si="60"/>
        <v>921.93999999999994</v>
      </c>
      <c r="S974" s="95">
        <v>0</v>
      </c>
      <c r="T974" s="96">
        <f t="shared" si="61"/>
        <v>0</v>
      </c>
      <c r="U974" s="96">
        <f t="shared" si="62"/>
        <v>921.93999999999994</v>
      </c>
      <c r="V974" s="93">
        <v>6.64</v>
      </c>
      <c r="W974" s="97">
        <f t="shared" si="63"/>
        <v>928.57999999999993</v>
      </c>
    </row>
    <row r="975" spans="1:23" x14ac:dyDescent="0.25">
      <c r="A975" s="61" t="s">
        <v>1068</v>
      </c>
      <c r="B975" s="91">
        <v>42682</v>
      </c>
      <c r="C975" s="92" t="s">
        <v>1605</v>
      </c>
      <c r="D975" s="92" t="s">
        <v>1268</v>
      </c>
      <c r="E975" s="92" t="s">
        <v>1198</v>
      </c>
      <c r="F975" s="92" t="s">
        <v>1235</v>
      </c>
      <c r="G975" s="92" t="s">
        <v>1203</v>
      </c>
      <c r="H975" s="92" t="s">
        <v>1269</v>
      </c>
      <c r="I975" s="92" t="s">
        <v>1248</v>
      </c>
      <c r="J975" s="92" t="s">
        <v>1759</v>
      </c>
      <c r="K975" s="92" t="s">
        <v>1243</v>
      </c>
      <c r="L975" s="92" t="s">
        <v>1244</v>
      </c>
      <c r="M975" s="92" t="s">
        <v>1241</v>
      </c>
      <c r="N975" s="91">
        <v>42684</v>
      </c>
      <c r="O975" s="93">
        <v>1.0900000000000001</v>
      </c>
      <c r="P975" s="93">
        <v>1.82</v>
      </c>
      <c r="Q975" s="94">
        <v>40</v>
      </c>
      <c r="R975" s="93">
        <f t="shared" si="60"/>
        <v>72.8</v>
      </c>
      <c r="S975" s="95">
        <v>0.05</v>
      </c>
      <c r="T975" s="96">
        <f t="shared" si="61"/>
        <v>3.64</v>
      </c>
      <c r="U975" s="96">
        <f t="shared" si="62"/>
        <v>72.75</v>
      </c>
      <c r="V975" s="93">
        <v>1</v>
      </c>
      <c r="W975" s="97">
        <f t="shared" si="63"/>
        <v>73.75</v>
      </c>
    </row>
    <row r="976" spans="1:23" x14ac:dyDescent="0.25">
      <c r="A976" s="61" t="s">
        <v>1069</v>
      </c>
      <c r="B976" s="91">
        <v>42682</v>
      </c>
      <c r="C976" s="92" t="s">
        <v>1272</v>
      </c>
      <c r="D976" s="92" t="s">
        <v>1273</v>
      </c>
      <c r="E976" s="92" t="s">
        <v>1199</v>
      </c>
      <c r="F976" s="92" t="s">
        <v>1254</v>
      </c>
      <c r="G976" s="92" t="s">
        <v>1202</v>
      </c>
      <c r="H976" s="92" t="s">
        <v>1274</v>
      </c>
      <c r="I976" s="92" t="s">
        <v>1256</v>
      </c>
      <c r="J976" s="92" t="s">
        <v>1416</v>
      </c>
      <c r="K976" s="92" t="s">
        <v>1243</v>
      </c>
      <c r="L976" s="92" t="s">
        <v>1244</v>
      </c>
      <c r="M976" s="92" t="s">
        <v>1241</v>
      </c>
      <c r="N976" s="91">
        <v>42682</v>
      </c>
      <c r="O976" s="93">
        <v>0.9</v>
      </c>
      <c r="P976" s="93">
        <v>2.1</v>
      </c>
      <c r="Q976" s="94">
        <v>27</v>
      </c>
      <c r="R976" s="93">
        <f t="shared" si="60"/>
        <v>56.7</v>
      </c>
      <c r="S976" s="95">
        <v>0.04</v>
      </c>
      <c r="T976" s="96">
        <f t="shared" si="61"/>
        <v>2.2680000000000002</v>
      </c>
      <c r="U976" s="96">
        <f t="shared" si="62"/>
        <v>56.660000000000004</v>
      </c>
      <c r="V976" s="93">
        <v>0.7</v>
      </c>
      <c r="W976" s="97">
        <f t="shared" si="63"/>
        <v>57.360000000000007</v>
      </c>
    </row>
    <row r="977" spans="1:23" x14ac:dyDescent="0.25">
      <c r="A977" s="61" t="s">
        <v>1070</v>
      </c>
      <c r="B977" s="91">
        <v>42683</v>
      </c>
      <c r="C977" s="92" t="s">
        <v>2045</v>
      </c>
      <c r="D977" s="92" t="s">
        <v>1988</v>
      </c>
      <c r="E977" s="92" t="s">
        <v>1198</v>
      </c>
      <c r="F977" s="92" t="s">
        <v>1235</v>
      </c>
      <c r="G977" s="92" t="s">
        <v>1200</v>
      </c>
      <c r="H977" s="92" t="s">
        <v>1404</v>
      </c>
      <c r="I977" s="92" t="s">
        <v>1317</v>
      </c>
      <c r="J977" s="92" t="s">
        <v>1292</v>
      </c>
      <c r="K977" s="92" t="s">
        <v>1243</v>
      </c>
      <c r="L977" s="92" t="s">
        <v>1240</v>
      </c>
      <c r="M977" s="92" t="s">
        <v>1241</v>
      </c>
      <c r="N977" s="91">
        <v>42685</v>
      </c>
      <c r="O977" s="93">
        <v>0.94</v>
      </c>
      <c r="P977" s="93">
        <v>2.08</v>
      </c>
      <c r="Q977" s="94">
        <v>39</v>
      </c>
      <c r="R977" s="93">
        <f t="shared" si="60"/>
        <v>81.12</v>
      </c>
      <c r="S977" s="95">
        <v>0.04</v>
      </c>
      <c r="T977" s="96">
        <f t="shared" si="61"/>
        <v>3.2448000000000001</v>
      </c>
      <c r="U977" s="96">
        <f t="shared" si="62"/>
        <v>81.08</v>
      </c>
      <c r="V977" s="93">
        <v>2.56</v>
      </c>
      <c r="W977" s="97">
        <f t="shared" si="63"/>
        <v>83.64</v>
      </c>
    </row>
    <row r="978" spans="1:23" x14ac:dyDescent="0.25">
      <c r="A978" s="61" t="s">
        <v>1071</v>
      </c>
      <c r="B978" s="91">
        <v>42684</v>
      </c>
      <c r="C978" s="92" t="s">
        <v>1958</v>
      </c>
      <c r="D978" s="92" t="s">
        <v>1615</v>
      </c>
      <c r="E978" s="92" t="s">
        <v>1198</v>
      </c>
      <c r="F978" s="92" t="s">
        <v>1235</v>
      </c>
      <c r="G978" s="92" t="s">
        <v>1202</v>
      </c>
      <c r="H978" s="92" t="s">
        <v>1404</v>
      </c>
      <c r="I978" s="92" t="s">
        <v>1256</v>
      </c>
      <c r="J978" s="92" t="s">
        <v>1392</v>
      </c>
      <c r="K978" s="92" t="s">
        <v>1239</v>
      </c>
      <c r="L978" s="92" t="s">
        <v>1240</v>
      </c>
      <c r="M978" s="92" t="s">
        <v>1241</v>
      </c>
      <c r="N978" s="91">
        <v>42686</v>
      </c>
      <c r="O978" s="93">
        <v>20.18</v>
      </c>
      <c r="P978" s="93">
        <v>35.409999999999997</v>
      </c>
      <c r="Q978" s="94">
        <v>21</v>
      </c>
      <c r="R978" s="93">
        <f t="shared" si="60"/>
        <v>743.6099999999999</v>
      </c>
      <c r="S978" s="95">
        <v>0.09</v>
      </c>
      <c r="T978" s="96">
        <f t="shared" si="61"/>
        <v>66.924899999999994</v>
      </c>
      <c r="U978" s="96">
        <f t="shared" si="62"/>
        <v>743.51999999999987</v>
      </c>
      <c r="V978" s="93">
        <v>1.99</v>
      </c>
      <c r="W978" s="97">
        <f t="shared" si="63"/>
        <v>745.50999999999988</v>
      </c>
    </row>
    <row r="979" spans="1:23" x14ac:dyDescent="0.25">
      <c r="A979" s="61" t="s">
        <v>1072</v>
      </c>
      <c r="B979" s="91">
        <v>42686</v>
      </c>
      <c r="C979" s="92" t="s">
        <v>1641</v>
      </c>
      <c r="D979" s="92" t="s">
        <v>1636</v>
      </c>
      <c r="E979" s="92" t="s">
        <v>1198</v>
      </c>
      <c r="F979" s="92" t="s">
        <v>1235</v>
      </c>
      <c r="G979" s="92" t="s">
        <v>1201</v>
      </c>
      <c r="H979" s="92" t="s">
        <v>1409</v>
      </c>
      <c r="I979" s="92" t="s">
        <v>1256</v>
      </c>
      <c r="J979" s="92" t="s">
        <v>1536</v>
      </c>
      <c r="K979" s="92" t="s">
        <v>1243</v>
      </c>
      <c r="L979" s="92" t="s">
        <v>1260</v>
      </c>
      <c r="M979" s="92" t="s">
        <v>1241</v>
      </c>
      <c r="N979" s="91">
        <v>42686</v>
      </c>
      <c r="O979" s="93">
        <v>19.829999999999998</v>
      </c>
      <c r="P979" s="93">
        <v>30.98</v>
      </c>
      <c r="Q979" s="94">
        <v>15</v>
      </c>
      <c r="R979" s="93">
        <f t="shared" si="60"/>
        <v>464.7</v>
      </c>
      <c r="S979" s="95">
        <v>0</v>
      </c>
      <c r="T979" s="96">
        <f t="shared" si="61"/>
        <v>0</v>
      </c>
      <c r="U979" s="96">
        <f t="shared" si="62"/>
        <v>464.7</v>
      </c>
      <c r="V979" s="93">
        <v>19.510000000000002</v>
      </c>
      <c r="W979" s="97">
        <f t="shared" si="63"/>
        <v>484.21</v>
      </c>
    </row>
    <row r="980" spans="1:23" x14ac:dyDescent="0.25">
      <c r="A980" s="61" t="s">
        <v>1073</v>
      </c>
      <c r="B980" s="91">
        <v>42687</v>
      </c>
      <c r="C980" s="92" t="s">
        <v>2046</v>
      </c>
      <c r="D980" s="92" t="s">
        <v>1365</v>
      </c>
      <c r="E980" s="92" t="s">
        <v>1198</v>
      </c>
      <c r="F980" s="92" t="s">
        <v>1235</v>
      </c>
      <c r="G980" s="92" t="s">
        <v>1201</v>
      </c>
      <c r="H980" s="92" t="s">
        <v>1263</v>
      </c>
      <c r="I980" s="92" t="s">
        <v>1248</v>
      </c>
      <c r="J980" s="92" t="s">
        <v>1554</v>
      </c>
      <c r="K980" s="92" t="s">
        <v>1243</v>
      </c>
      <c r="L980" s="92" t="s">
        <v>1260</v>
      </c>
      <c r="M980" s="92" t="s">
        <v>1241</v>
      </c>
      <c r="N980" s="91">
        <v>42689</v>
      </c>
      <c r="O980" s="93">
        <v>1.98</v>
      </c>
      <c r="P980" s="93">
        <v>3.15</v>
      </c>
      <c r="Q980" s="94">
        <v>41</v>
      </c>
      <c r="R980" s="93">
        <f t="shared" si="60"/>
        <v>129.15</v>
      </c>
      <c r="S980" s="95">
        <v>0.06</v>
      </c>
      <c r="T980" s="96">
        <f t="shared" si="61"/>
        <v>7.7489999999999997</v>
      </c>
      <c r="U980" s="96">
        <f t="shared" si="62"/>
        <v>129.09</v>
      </c>
      <c r="V980" s="93">
        <v>0.49</v>
      </c>
      <c r="W980" s="97">
        <f t="shared" si="63"/>
        <v>129.58000000000001</v>
      </c>
    </row>
    <row r="981" spans="1:23" x14ac:dyDescent="0.25">
      <c r="A981" s="61" t="s">
        <v>1074</v>
      </c>
      <c r="B981" s="91">
        <v>42688</v>
      </c>
      <c r="C981" s="92" t="s">
        <v>2047</v>
      </c>
      <c r="D981" s="92" t="s">
        <v>1372</v>
      </c>
      <c r="E981" s="92" t="s">
        <v>1198</v>
      </c>
      <c r="F981" s="92" t="s">
        <v>1235</v>
      </c>
      <c r="G981" s="92" t="s">
        <v>1200</v>
      </c>
      <c r="H981" s="92" t="s">
        <v>1313</v>
      </c>
      <c r="I981" s="92" t="s">
        <v>1237</v>
      </c>
      <c r="J981" s="92" t="s">
        <v>1352</v>
      </c>
      <c r="K981" s="92" t="s">
        <v>1243</v>
      </c>
      <c r="L981" s="92" t="s">
        <v>1244</v>
      </c>
      <c r="M981" s="92" t="s">
        <v>1241</v>
      </c>
      <c r="N981" s="91">
        <v>42689</v>
      </c>
      <c r="O981" s="93">
        <v>1.0900000000000001</v>
      </c>
      <c r="P981" s="93">
        <v>2.6</v>
      </c>
      <c r="Q981" s="94">
        <v>11</v>
      </c>
      <c r="R981" s="93">
        <f t="shared" si="60"/>
        <v>28.6</v>
      </c>
      <c r="S981" s="95">
        <v>0.09</v>
      </c>
      <c r="T981" s="96">
        <f t="shared" si="61"/>
        <v>2.5739999999999998</v>
      </c>
      <c r="U981" s="96">
        <f t="shared" si="62"/>
        <v>28.51</v>
      </c>
      <c r="V981" s="93">
        <v>2.4</v>
      </c>
      <c r="W981" s="97">
        <f t="shared" si="63"/>
        <v>30.91</v>
      </c>
    </row>
    <row r="982" spans="1:23" x14ac:dyDescent="0.25">
      <c r="A982" s="61" t="s">
        <v>1075</v>
      </c>
      <c r="B982" s="91">
        <v>42690</v>
      </c>
      <c r="C982" s="92" t="s">
        <v>2048</v>
      </c>
      <c r="D982" s="92" t="s">
        <v>1395</v>
      </c>
      <c r="E982" s="92" t="s">
        <v>1198</v>
      </c>
      <c r="F982" s="92" t="s">
        <v>1235</v>
      </c>
      <c r="G982" s="92" t="s">
        <v>1200</v>
      </c>
      <c r="H982" s="92" t="s">
        <v>1236</v>
      </c>
      <c r="I982" s="92" t="s">
        <v>1317</v>
      </c>
      <c r="J982" s="92" t="s">
        <v>1283</v>
      </c>
      <c r="K982" s="92" t="s">
        <v>1243</v>
      </c>
      <c r="L982" s="92" t="s">
        <v>1244</v>
      </c>
      <c r="M982" s="92" t="s">
        <v>1241</v>
      </c>
      <c r="N982" s="91">
        <v>42690</v>
      </c>
      <c r="O982" s="93">
        <v>2.29</v>
      </c>
      <c r="P982" s="93">
        <v>3.58</v>
      </c>
      <c r="Q982" s="94">
        <v>32</v>
      </c>
      <c r="R982" s="93">
        <f t="shared" si="60"/>
        <v>114.56</v>
      </c>
      <c r="S982" s="95">
        <v>0.09</v>
      </c>
      <c r="T982" s="96">
        <f t="shared" si="61"/>
        <v>10.3104</v>
      </c>
      <c r="U982" s="96">
        <f t="shared" si="62"/>
        <v>114.47</v>
      </c>
      <c r="V982" s="93">
        <v>1.63</v>
      </c>
      <c r="W982" s="97">
        <f t="shared" si="63"/>
        <v>116.1</v>
      </c>
    </row>
    <row r="983" spans="1:23" x14ac:dyDescent="0.25">
      <c r="A983" s="61" t="s">
        <v>1076</v>
      </c>
      <c r="B983" s="91">
        <v>42691</v>
      </c>
      <c r="C983" s="92" t="s">
        <v>1725</v>
      </c>
      <c r="D983" s="92" t="s">
        <v>1326</v>
      </c>
      <c r="E983" s="92" t="s">
        <v>1199</v>
      </c>
      <c r="F983" s="92" t="s">
        <v>1254</v>
      </c>
      <c r="G983" s="92" t="s">
        <v>1201</v>
      </c>
      <c r="H983" s="92" t="s">
        <v>1255</v>
      </c>
      <c r="I983" s="92" t="s">
        <v>1317</v>
      </c>
      <c r="J983" s="92" t="s">
        <v>1502</v>
      </c>
      <c r="K983" s="92" t="s">
        <v>1243</v>
      </c>
      <c r="L983" s="92" t="s">
        <v>1260</v>
      </c>
      <c r="M983" s="92" t="s">
        <v>1241</v>
      </c>
      <c r="N983" s="91">
        <v>42693</v>
      </c>
      <c r="O983" s="93">
        <v>13.64</v>
      </c>
      <c r="P983" s="93">
        <v>20.98</v>
      </c>
      <c r="Q983" s="94">
        <v>42</v>
      </c>
      <c r="R983" s="93">
        <f t="shared" si="60"/>
        <v>881.16</v>
      </c>
      <c r="S983" s="95">
        <v>0.1</v>
      </c>
      <c r="T983" s="96">
        <f t="shared" si="61"/>
        <v>88.116</v>
      </c>
      <c r="U983" s="96">
        <f t="shared" si="62"/>
        <v>881.06</v>
      </c>
      <c r="V983" s="93">
        <v>1.49</v>
      </c>
      <c r="W983" s="97">
        <f t="shared" si="63"/>
        <v>882.55</v>
      </c>
    </row>
    <row r="984" spans="1:23" x14ac:dyDescent="0.25">
      <c r="A984" s="61" t="s">
        <v>1077</v>
      </c>
      <c r="B984" s="91">
        <v>42691</v>
      </c>
      <c r="C984" s="92" t="s">
        <v>1284</v>
      </c>
      <c r="D984" s="92" t="s">
        <v>1285</v>
      </c>
      <c r="E984" s="92" t="s">
        <v>1198</v>
      </c>
      <c r="F984" s="92" t="s">
        <v>1235</v>
      </c>
      <c r="G984" s="92" t="s">
        <v>1200</v>
      </c>
      <c r="H984" s="92" t="s">
        <v>1286</v>
      </c>
      <c r="I984" s="92" t="s">
        <v>1237</v>
      </c>
      <c r="J984" s="92" t="s">
        <v>1642</v>
      </c>
      <c r="K984" s="92" t="s">
        <v>1243</v>
      </c>
      <c r="L984" s="92" t="s">
        <v>1260</v>
      </c>
      <c r="M984" s="92" t="s">
        <v>1241</v>
      </c>
      <c r="N984" s="91">
        <v>42693</v>
      </c>
      <c r="O984" s="93">
        <v>11.04</v>
      </c>
      <c r="P984" s="93">
        <v>16.98</v>
      </c>
      <c r="Q984" s="94">
        <v>46</v>
      </c>
      <c r="R984" s="93">
        <f t="shared" si="60"/>
        <v>781.08</v>
      </c>
      <c r="S984" s="95">
        <v>0.09</v>
      </c>
      <c r="T984" s="96">
        <f t="shared" si="61"/>
        <v>70.297200000000004</v>
      </c>
      <c r="U984" s="96">
        <f t="shared" si="62"/>
        <v>780.99</v>
      </c>
      <c r="V984" s="93">
        <v>12.39</v>
      </c>
      <c r="W984" s="97">
        <f t="shared" si="63"/>
        <v>793.38</v>
      </c>
    </row>
    <row r="985" spans="1:23" x14ac:dyDescent="0.25">
      <c r="A985" s="61" t="s">
        <v>1078</v>
      </c>
      <c r="B985" s="91">
        <v>42694</v>
      </c>
      <c r="C985" s="92" t="s">
        <v>1587</v>
      </c>
      <c r="D985" s="92" t="s">
        <v>1355</v>
      </c>
      <c r="E985" s="92" t="s">
        <v>1199</v>
      </c>
      <c r="F985" s="92" t="s">
        <v>1254</v>
      </c>
      <c r="G985" s="92" t="s">
        <v>1203</v>
      </c>
      <c r="H985" s="92" t="s">
        <v>1274</v>
      </c>
      <c r="I985" s="92" t="s">
        <v>1264</v>
      </c>
      <c r="J985" s="92" t="s">
        <v>1734</v>
      </c>
      <c r="K985" s="92" t="s">
        <v>1243</v>
      </c>
      <c r="L985" s="92" t="s">
        <v>1244</v>
      </c>
      <c r="M985" s="92" t="s">
        <v>1241</v>
      </c>
      <c r="N985" s="91">
        <v>42695</v>
      </c>
      <c r="O985" s="93">
        <v>1.05</v>
      </c>
      <c r="P985" s="93">
        <v>1.95</v>
      </c>
      <c r="Q985" s="94">
        <v>20</v>
      </c>
      <c r="R985" s="93">
        <f t="shared" si="60"/>
        <v>39</v>
      </c>
      <c r="S985" s="95">
        <v>0.06</v>
      </c>
      <c r="T985" s="96">
        <f t="shared" si="61"/>
        <v>2.34</v>
      </c>
      <c r="U985" s="96">
        <f t="shared" si="62"/>
        <v>38.94</v>
      </c>
      <c r="V985" s="93">
        <v>1.63</v>
      </c>
      <c r="W985" s="97">
        <f t="shared" si="63"/>
        <v>40.57</v>
      </c>
    </row>
    <row r="986" spans="1:23" x14ac:dyDescent="0.25">
      <c r="A986" s="61" t="s">
        <v>1079</v>
      </c>
      <c r="B986" s="91">
        <v>42696</v>
      </c>
      <c r="C986" s="92" t="s">
        <v>2049</v>
      </c>
      <c r="D986" s="92" t="s">
        <v>1380</v>
      </c>
      <c r="E986" s="92" t="s">
        <v>1198</v>
      </c>
      <c r="F986" s="92" t="s">
        <v>1235</v>
      </c>
      <c r="G986" s="92" t="s">
        <v>1200</v>
      </c>
      <c r="H986" s="92" t="s">
        <v>1291</v>
      </c>
      <c r="I986" s="92" t="s">
        <v>1248</v>
      </c>
      <c r="J986" s="92" t="s">
        <v>1456</v>
      </c>
      <c r="K986" s="92" t="s">
        <v>1243</v>
      </c>
      <c r="L986" s="92" t="s">
        <v>1260</v>
      </c>
      <c r="M986" s="92" t="s">
        <v>1241</v>
      </c>
      <c r="N986" s="91">
        <v>42701</v>
      </c>
      <c r="O986" s="93">
        <v>3.52</v>
      </c>
      <c r="P986" s="93">
        <v>5.68</v>
      </c>
      <c r="Q986" s="94">
        <v>10</v>
      </c>
      <c r="R986" s="93">
        <f t="shared" si="60"/>
        <v>56.8</v>
      </c>
      <c r="S986" s="95">
        <v>0.09</v>
      </c>
      <c r="T986" s="96">
        <f t="shared" si="61"/>
        <v>5.1119999999999992</v>
      </c>
      <c r="U986" s="96">
        <f t="shared" si="62"/>
        <v>56.709999999999994</v>
      </c>
      <c r="V986" s="93">
        <v>1.39</v>
      </c>
      <c r="W986" s="97">
        <f t="shared" si="63"/>
        <v>58.099999999999994</v>
      </c>
    </row>
    <row r="987" spans="1:23" x14ac:dyDescent="0.25">
      <c r="A987" s="61" t="s">
        <v>1080</v>
      </c>
      <c r="B987" s="91">
        <v>42697</v>
      </c>
      <c r="C987" s="92" t="s">
        <v>2050</v>
      </c>
      <c r="D987" s="92" t="s">
        <v>1494</v>
      </c>
      <c r="E987" s="92" t="s">
        <v>1198</v>
      </c>
      <c r="F987" s="92" t="s">
        <v>1235</v>
      </c>
      <c r="G987" s="92" t="s">
        <v>1200</v>
      </c>
      <c r="H987" s="92" t="s">
        <v>1236</v>
      </c>
      <c r="I987" s="92" t="s">
        <v>1264</v>
      </c>
      <c r="J987" s="92" t="s">
        <v>1499</v>
      </c>
      <c r="K987" s="92" t="s">
        <v>1243</v>
      </c>
      <c r="L987" s="92" t="s">
        <v>1244</v>
      </c>
      <c r="M987" s="92" t="s">
        <v>1241</v>
      </c>
      <c r="N987" s="91">
        <v>42699</v>
      </c>
      <c r="O987" s="93">
        <v>3.75</v>
      </c>
      <c r="P987" s="93">
        <v>7.08</v>
      </c>
      <c r="Q987" s="94">
        <v>29</v>
      </c>
      <c r="R987" s="93">
        <f t="shared" si="60"/>
        <v>205.32</v>
      </c>
      <c r="S987" s="95">
        <v>7.0000000000000007E-2</v>
      </c>
      <c r="T987" s="96">
        <f t="shared" si="61"/>
        <v>14.372400000000001</v>
      </c>
      <c r="U987" s="96">
        <f t="shared" si="62"/>
        <v>205.25</v>
      </c>
      <c r="V987" s="93">
        <v>2.35</v>
      </c>
      <c r="W987" s="97">
        <f t="shared" si="63"/>
        <v>207.6</v>
      </c>
    </row>
    <row r="988" spans="1:23" x14ac:dyDescent="0.25">
      <c r="A988" s="61" t="s">
        <v>1081</v>
      </c>
      <c r="B988" s="91">
        <v>42700</v>
      </c>
      <c r="C988" s="92" t="s">
        <v>1473</v>
      </c>
      <c r="D988" s="92" t="s">
        <v>1323</v>
      </c>
      <c r="E988" s="92" t="s">
        <v>1198</v>
      </c>
      <c r="F988" s="92" t="s">
        <v>1235</v>
      </c>
      <c r="G988" s="92" t="s">
        <v>1201</v>
      </c>
      <c r="H988" s="92" t="s">
        <v>1263</v>
      </c>
      <c r="I988" s="92" t="s">
        <v>1237</v>
      </c>
      <c r="J988" s="92" t="s">
        <v>1259</v>
      </c>
      <c r="K988" s="92" t="s">
        <v>1243</v>
      </c>
      <c r="L988" s="92" t="s">
        <v>1260</v>
      </c>
      <c r="M988" s="92" t="s">
        <v>1241</v>
      </c>
      <c r="N988" s="91">
        <v>42702</v>
      </c>
      <c r="O988" s="93">
        <v>3.4</v>
      </c>
      <c r="P988" s="93">
        <v>5.4</v>
      </c>
      <c r="Q988" s="94">
        <v>1</v>
      </c>
      <c r="R988" s="93">
        <f t="shared" si="60"/>
        <v>5.4</v>
      </c>
      <c r="S988" s="95">
        <v>0</v>
      </c>
      <c r="T988" s="96">
        <f t="shared" si="61"/>
        <v>0</v>
      </c>
      <c r="U988" s="96">
        <f t="shared" si="62"/>
        <v>5.4</v>
      </c>
      <c r="V988" s="93">
        <v>7.78</v>
      </c>
      <c r="W988" s="97">
        <f t="shared" si="63"/>
        <v>13.18</v>
      </c>
    </row>
    <row r="989" spans="1:23" x14ac:dyDescent="0.25">
      <c r="A989" s="61" t="s">
        <v>1082</v>
      </c>
      <c r="B989" s="91">
        <v>42700</v>
      </c>
      <c r="C989" s="92" t="s">
        <v>2051</v>
      </c>
      <c r="D989" s="92" t="s">
        <v>1598</v>
      </c>
      <c r="E989" s="92" t="s">
        <v>1198</v>
      </c>
      <c r="F989" s="92" t="s">
        <v>1235</v>
      </c>
      <c r="G989" s="92" t="s">
        <v>1203</v>
      </c>
      <c r="H989" s="92" t="s">
        <v>1471</v>
      </c>
      <c r="I989" s="92" t="s">
        <v>1237</v>
      </c>
      <c r="J989" s="92" t="s">
        <v>1773</v>
      </c>
      <c r="K989" s="92" t="s">
        <v>1243</v>
      </c>
      <c r="L989" s="92" t="s">
        <v>1260</v>
      </c>
      <c r="M989" s="92" t="s">
        <v>1241</v>
      </c>
      <c r="N989" s="91">
        <v>42702</v>
      </c>
      <c r="O989" s="93">
        <v>1.84</v>
      </c>
      <c r="P989" s="93">
        <v>2.88</v>
      </c>
      <c r="Q989" s="94">
        <v>6</v>
      </c>
      <c r="R989" s="93">
        <f t="shared" si="60"/>
        <v>17.28</v>
      </c>
      <c r="S989" s="95">
        <v>0.06</v>
      </c>
      <c r="T989" s="96">
        <f t="shared" si="61"/>
        <v>1.0367999999999999</v>
      </c>
      <c r="U989" s="96">
        <f t="shared" si="62"/>
        <v>17.220000000000002</v>
      </c>
      <c r="V989" s="93">
        <v>0.99</v>
      </c>
      <c r="W989" s="97">
        <f t="shared" si="63"/>
        <v>18.21</v>
      </c>
    </row>
    <row r="990" spans="1:23" x14ac:dyDescent="0.25">
      <c r="A990" s="61" t="s">
        <v>1083</v>
      </c>
      <c r="B990" s="91">
        <v>42700</v>
      </c>
      <c r="C990" s="92" t="s">
        <v>1657</v>
      </c>
      <c r="D990" s="92" t="s">
        <v>1408</v>
      </c>
      <c r="E990" s="92" t="s">
        <v>1198</v>
      </c>
      <c r="F990" s="92" t="s">
        <v>1235</v>
      </c>
      <c r="G990" s="92" t="s">
        <v>1202</v>
      </c>
      <c r="H990" s="92" t="s">
        <v>1409</v>
      </c>
      <c r="I990" s="92" t="s">
        <v>1248</v>
      </c>
      <c r="J990" s="92" t="s">
        <v>1301</v>
      </c>
      <c r="K990" s="92" t="s">
        <v>1243</v>
      </c>
      <c r="L990" s="92" t="s">
        <v>1244</v>
      </c>
      <c r="M990" s="92" t="s">
        <v>1241</v>
      </c>
      <c r="N990" s="91">
        <v>42704</v>
      </c>
      <c r="O990" s="93">
        <v>0.87</v>
      </c>
      <c r="P990" s="93">
        <v>1.81</v>
      </c>
      <c r="Q990" s="94">
        <v>18</v>
      </c>
      <c r="R990" s="93">
        <f t="shared" si="60"/>
        <v>32.58</v>
      </c>
      <c r="S990" s="95">
        <v>0.06</v>
      </c>
      <c r="T990" s="96">
        <f t="shared" si="61"/>
        <v>1.9547999999999999</v>
      </c>
      <c r="U990" s="96">
        <f t="shared" si="62"/>
        <v>32.519999999999996</v>
      </c>
      <c r="V990" s="93">
        <v>0.75</v>
      </c>
      <c r="W990" s="97">
        <f t="shared" si="63"/>
        <v>33.269999999999996</v>
      </c>
    </row>
    <row r="991" spans="1:23" x14ac:dyDescent="0.25">
      <c r="A991" s="61" t="s">
        <v>1084</v>
      </c>
      <c r="B991" s="91">
        <v>42701</v>
      </c>
      <c r="C991" s="92" t="s">
        <v>1715</v>
      </c>
      <c r="D991" s="92" t="s">
        <v>1454</v>
      </c>
      <c r="E991" s="92" t="s">
        <v>1198</v>
      </c>
      <c r="F991" s="92" t="s">
        <v>1235</v>
      </c>
      <c r="G991" s="92" t="s">
        <v>1200</v>
      </c>
      <c r="H991" s="92" t="s">
        <v>1304</v>
      </c>
      <c r="I991" s="92" t="s">
        <v>1256</v>
      </c>
      <c r="J991" s="92" t="s">
        <v>1279</v>
      </c>
      <c r="K991" s="92" t="s">
        <v>1239</v>
      </c>
      <c r="L991" s="92" t="s">
        <v>1260</v>
      </c>
      <c r="M991" s="92" t="s">
        <v>1241</v>
      </c>
      <c r="N991" s="91">
        <v>42703</v>
      </c>
      <c r="O991" s="93">
        <v>62.4</v>
      </c>
      <c r="P991" s="93">
        <v>155.99</v>
      </c>
      <c r="Q991" s="94">
        <v>24</v>
      </c>
      <c r="R991" s="93">
        <f t="shared" si="60"/>
        <v>3743.76</v>
      </c>
      <c r="S991" s="95">
        <v>0.04</v>
      </c>
      <c r="T991" s="96">
        <f t="shared" si="61"/>
        <v>149.75040000000001</v>
      </c>
      <c r="U991" s="96">
        <f t="shared" si="62"/>
        <v>3743.7200000000003</v>
      </c>
      <c r="V991" s="93">
        <v>8.08</v>
      </c>
      <c r="W991" s="97">
        <f t="shared" si="63"/>
        <v>3751.8</v>
      </c>
    </row>
    <row r="992" spans="1:23" x14ac:dyDescent="0.25">
      <c r="A992" s="61" t="s">
        <v>1085</v>
      </c>
      <c r="B992" s="91">
        <v>42701</v>
      </c>
      <c r="C992" s="92" t="s">
        <v>1826</v>
      </c>
      <c r="D992" s="92" t="s">
        <v>1246</v>
      </c>
      <c r="E992" s="92" t="s">
        <v>1198</v>
      </c>
      <c r="F992" s="92" t="s">
        <v>1235</v>
      </c>
      <c r="G992" s="92" t="s">
        <v>1201</v>
      </c>
      <c r="H992" s="92" t="s">
        <v>1247</v>
      </c>
      <c r="I992" s="92" t="s">
        <v>1248</v>
      </c>
      <c r="J992" s="92" t="s">
        <v>1318</v>
      </c>
      <c r="K992" s="92" t="s">
        <v>1239</v>
      </c>
      <c r="L992" s="92" t="s">
        <v>1319</v>
      </c>
      <c r="M992" s="92" t="s">
        <v>1320</v>
      </c>
      <c r="N992" s="91">
        <v>42701</v>
      </c>
      <c r="O992" s="93">
        <v>278.99</v>
      </c>
      <c r="P992" s="93">
        <v>449.99</v>
      </c>
      <c r="Q992" s="94">
        <v>18</v>
      </c>
      <c r="R992" s="93">
        <f t="shared" si="60"/>
        <v>8099.82</v>
      </c>
      <c r="S992" s="95">
        <v>0.09</v>
      </c>
      <c r="T992" s="96">
        <f t="shared" si="61"/>
        <v>728.98379999999997</v>
      </c>
      <c r="U992" s="96">
        <f t="shared" si="62"/>
        <v>8099.73</v>
      </c>
      <c r="V992" s="93">
        <v>49</v>
      </c>
      <c r="W992" s="97">
        <f t="shared" si="63"/>
        <v>8148.73</v>
      </c>
    </row>
    <row r="993" spans="1:23" x14ac:dyDescent="0.25">
      <c r="A993" s="61" t="s">
        <v>1086</v>
      </c>
      <c r="B993" s="91">
        <v>42702</v>
      </c>
      <c r="C993" s="92" t="s">
        <v>1849</v>
      </c>
      <c r="D993" s="92" t="s">
        <v>1470</v>
      </c>
      <c r="E993" s="92" t="s">
        <v>1198</v>
      </c>
      <c r="F993" s="92" t="s">
        <v>1235</v>
      </c>
      <c r="G993" s="92" t="s">
        <v>1201</v>
      </c>
      <c r="H993" s="92" t="s">
        <v>1471</v>
      </c>
      <c r="I993" s="92" t="s">
        <v>1264</v>
      </c>
      <c r="J993" s="92" t="s">
        <v>1575</v>
      </c>
      <c r="K993" s="92" t="s">
        <v>1243</v>
      </c>
      <c r="L993" s="92" t="s">
        <v>1260</v>
      </c>
      <c r="M993" s="92" t="s">
        <v>1241</v>
      </c>
      <c r="N993" s="91">
        <v>42703</v>
      </c>
      <c r="O993" s="93">
        <v>1.94</v>
      </c>
      <c r="P993" s="93">
        <v>3.08</v>
      </c>
      <c r="Q993" s="94">
        <v>18</v>
      </c>
      <c r="R993" s="93">
        <f t="shared" si="60"/>
        <v>55.44</v>
      </c>
      <c r="S993" s="95">
        <v>0.02</v>
      </c>
      <c r="T993" s="96">
        <f t="shared" si="61"/>
        <v>1.1088</v>
      </c>
      <c r="U993" s="96">
        <f t="shared" si="62"/>
        <v>55.419999999999995</v>
      </c>
      <c r="V993" s="93">
        <v>0.99</v>
      </c>
      <c r="W993" s="97">
        <f t="shared" si="63"/>
        <v>56.41</v>
      </c>
    </row>
    <row r="994" spans="1:23" x14ac:dyDescent="0.25">
      <c r="A994" s="61" t="s">
        <v>1087</v>
      </c>
      <c r="B994" s="91">
        <v>42703</v>
      </c>
      <c r="C994" s="92" t="s">
        <v>1485</v>
      </c>
      <c r="D994" s="92" t="s">
        <v>1486</v>
      </c>
      <c r="E994" s="92" t="s">
        <v>1198</v>
      </c>
      <c r="F994" s="92" t="s">
        <v>1235</v>
      </c>
      <c r="G994" s="92" t="s">
        <v>1201</v>
      </c>
      <c r="H994" s="92" t="s">
        <v>1291</v>
      </c>
      <c r="I994" s="92" t="s">
        <v>1256</v>
      </c>
      <c r="J994" s="92" t="s">
        <v>1856</v>
      </c>
      <c r="K994" s="92" t="s">
        <v>1243</v>
      </c>
      <c r="L994" s="92" t="s">
        <v>1244</v>
      </c>
      <c r="M994" s="92" t="s">
        <v>1241</v>
      </c>
      <c r="N994" s="91">
        <v>42704</v>
      </c>
      <c r="O994" s="93">
        <v>2.68</v>
      </c>
      <c r="P994" s="93">
        <v>6.08</v>
      </c>
      <c r="Q994" s="94">
        <v>49</v>
      </c>
      <c r="R994" s="93">
        <f t="shared" si="60"/>
        <v>297.92</v>
      </c>
      <c r="S994" s="95">
        <v>0.08</v>
      </c>
      <c r="T994" s="96">
        <f t="shared" si="61"/>
        <v>23.833600000000001</v>
      </c>
      <c r="U994" s="96">
        <f t="shared" si="62"/>
        <v>297.84000000000003</v>
      </c>
      <c r="V994" s="93">
        <v>1.17</v>
      </c>
      <c r="W994" s="97">
        <f t="shared" si="63"/>
        <v>299.01000000000005</v>
      </c>
    </row>
    <row r="995" spans="1:23" x14ac:dyDescent="0.25">
      <c r="A995" s="61" t="s">
        <v>1088</v>
      </c>
      <c r="B995" s="91">
        <v>42705</v>
      </c>
      <c r="C995" s="92" t="s">
        <v>1537</v>
      </c>
      <c r="D995" s="92" t="s">
        <v>1408</v>
      </c>
      <c r="E995" s="92" t="s">
        <v>1198</v>
      </c>
      <c r="F995" s="92" t="s">
        <v>1235</v>
      </c>
      <c r="G995" s="92" t="s">
        <v>1202</v>
      </c>
      <c r="H995" s="92" t="s">
        <v>1409</v>
      </c>
      <c r="I995" s="92" t="s">
        <v>1317</v>
      </c>
      <c r="J995" s="92" t="s">
        <v>1401</v>
      </c>
      <c r="K995" s="92" t="s">
        <v>1239</v>
      </c>
      <c r="L995" s="92" t="s">
        <v>1260</v>
      </c>
      <c r="M995" s="92" t="s">
        <v>1241</v>
      </c>
      <c r="N995" s="91">
        <v>42706</v>
      </c>
      <c r="O995" s="93">
        <v>54.52</v>
      </c>
      <c r="P995" s="93">
        <v>100.97</v>
      </c>
      <c r="Q995" s="94">
        <v>42</v>
      </c>
      <c r="R995" s="93">
        <f t="shared" si="60"/>
        <v>4240.74</v>
      </c>
      <c r="S995" s="95">
        <v>0.1</v>
      </c>
      <c r="T995" s="96">
        <f t="shared" si="61"/>
        <v>424.07400000000001</v>
      </c>
      <c r="U995" s="96">
        <f t="shared" si="62"/>
        <v>4240.6399999999994</v>
      </c>
      <c r="V995" s="93">
        <v>7.18</v>
      </c>
      <c r="W995" s="97">
        <f t="shared" si="63"/>
        <v>4247.82</v>
      </c>
    </row>
    <row r="996" spans="1:23" x14ac:dyDescent="0.25">
      <c r="A996" s="61" t="s">
        <v>1089</v>
      </c>
      <c r="B996" s="91">
        <v>42707</v>
      </c>
      <c r="C996" s="92" t="s">
        <v>1516</v>
      </c>
      <c r="D996" s="92" t="s">
        <v>1262</v>
      </c>
      <c r="E996" s="92" t="s">
        <v>1198</v>
      </c>
      <c r="F996" s="92" t="s">
        <v>1235</v>
      </c>
      <c r="G996" s="92" t="s">
        <v>1201</v>
      </c>
      <c r="H996" s="92" t="s">
        <v>1263</v>
      </c>
      <c r="I996" s="92" t="s">
        <v>1237</v>
      </c>
      <c r="J996" s="92" t="s">
        <v>1270</v>
      </c>
      <c r="K996" s="92" t="s">
        <v>1243</v>
      </c>
      <c r="L996" s="92" t="s">
        <v>1260</v>
      </c>
      <c r="M996" s="92" t="s">
        <v>1241</v>
      </c>
      <c r="N996" s="91">
        <v>42709</v>
      </c>
      <c r="O996" s="93">
        <v>1.84</v>
      </c>
      <c r="P996" s="93">
        <v>2.88</v>
      </c>
      <c r="Q996" s="94">
        <v>40</v>
      </c>
      <c r="R996" s="93">
        <f t="shared" si="60"/>
        <v>115.19999999999999</v>
      </c>
      <c r="S996" s="95">
        <v>0</v>
      </c>
      <c r="T996" s="96">
        <f t="shared" si="61"/>
        <v>0</v>
      </c>
      <c r="U996" s="96">
        <f t="shared" si="62"/>
        <v>115.19999999999999</v>
      </c>
      <c r="V996" s="93">
        <v>1.49</v>
      </c>
      <c r="W996" s="97">
        <f t="shared" si="63"/>
        <v>116.68999999999998</v>
      </c>
    </row>
    <row r="997" spans="1:23" x14ac:dyDescent="0.25">
      <c r="A997" s="61" t="s">
        <v>1090</v>
      </c>
      <c r="B997" s="91">
        <v>42708</v>
      </c>
      <c r="C997" s="92" t="s">
        <v>2052</v>
      </c>
      <c r="D997" s="92" t="s">
        <v>1316</v>
      </c>
      <c r="E997" s="92" t="s">
        <v>1199</v>
      </c>
      <c r="F997" s="92" t="s">
        <v>1254</v>
      </c>
      <c r="G997" s="92" t="s">
        <v>1203</v>
      </c>
      <c r="H997" s="92" t="s">
        <v>1255</v>
      </c>
      <c r="I997" s="92" t="s">
        <v>1317</v>
      </c>
      <c r="J997" s="92" t="s">
        <v>1271</v>
      </c>
      <c r="K997" s="92" t="s">
        <v>1239</v>
      </c>
      <c r="L997" s="92" t="s">
        <v>1260</v>
      </c>
      <c r="M997" s="92" t="s">
        <v>1241</v>
      </c>
      <c r="N997" s="91">
        <v>42709</v>
      </c>
      <c r="O997" s="93">
        <v>6.39</v>
      </c>
      <c r="P997" s="93">
        <v>19.98</v>
      </c>
      <c r="Q997" s="94">
        <v>29</v>
      </c>
      <c r="R997" s="93">
        <f t="shared" si="60"/>
        <v>579.41999999999996</v>
      </c>
      <c r="S997" s="95">
        <v>0.06</v>
      </c>
      <c r="T997" s="96">
        <f t="shared" si="61"/>
        <v>34.765199999999993</v>
      </c>
      <c r="U997" s="96">
        <f t="shared" si="62"/>
        <v>579.36</v>
      </c>
      <c r="V997" s="93">
        <v>4</v>
      </c>
      <c r="W997" s="97">
        <f t="shared" si="63"/>
        <v>583.36</v>
      </c>
    </row>
    <row r="998" spans="1:23" x14ac:dyDescent="0.25">
      <c r="A998" s="61" t="s">
        <v>1091</v>
      </c>
      <c r="B998" s="91">
        <v>42709</v>
      </c>
      <c r="C998" s="92" t="s">
        <v>1940</v>
      </c>
      <c r="D998" s="92" t="s">
        <v>1347</v>
      </c>
      <c r="E998" s="92" t="s">
        <v>1198</v>
      </c>
      <c r="F998" s="92" t="s">
        <v>1235</v>
      </c>
      <c r="G998" s="92" t="s">
        <v>1200</v>
      </c>
      <c r="H998" s="92" t="s">
        <v>1236</v>
      </c>
      <c r="I998" s="92" t="s">
        <v>1317</v>
      </c>
      <c r="J998" s="92" t="s">
        <v>1357</v>
      </c>
      <c r="K998" s="92" t="s">
        <v>1243</v>
      </c>
      <c r="L998" s="92" t="s">
        <v>1240</v>
      </c>
      <c r="M998" s="92" t="s">
        <v>1250</v>
      </c>
      <c r="N998" s="91">
        <v>42711</v>
      </c>
      <c r="O998" s="93">
        <v>1.46</v>
      </c>
      <c r="P998" s="93">
        <v>3.57</v>
      </c>
      <c r="Q998" s="94">
        <v>10</v>
      </c>
      <c r="R998" s="93">
        <f t="shared" si="60"/>
        <v>35.699999999999996</v>
      </c>
      <c r="S998" s="95">
        <v>0.01</v>
      </c>
      <c r="T998" s="96">
        <f t="shared" si="61"/>
        <v>0.35699999999999998</v>
      </c>
      <c r="U998" s="96">
        <f t="shared" si="62"/>
        <v>35.69</v>
      </c>
      <c r="V998" s="93">
        <v>4.17</v>
      </c>
      <c r="W998" s="97">
        <f t="shared" si="63"/>
        <v>39.86</v>
      </c>
    </row>
    <row r="999" spans="1:23" x14ac:dyDescent="0.25">
      <c r="A999" s="61" t="s">
        <v>1092</v>
      </c>
      <c r="B999" s="91">
        <v>42710</v>
      </c>
      <c r="C999" s="92" t="s">
        <v>1673</v>
      </c>
      <c r="D999" s="92" t="s">
        <v>1674</v>
      </c>
      <c r="E999" s="92" t="s">
        <v>1198</v>
      </c>
      <c r="F999" s="92" t="s">
        <v>1235</v>
      </c>
      <c r="G999" s="92" t="s">
        <v>1200</v>
      </c>
      <c r="H999" s="92" t="s">
        <v>1409</v>
      </c>
      <c r="I999" s="92" t="s">
        <v>1248</v>
      </c>
      <c r="J999" s="92" t="s">
        <v>1391</v>
      </c>
      <c r="K999" s="92" t="s">
        <v>1239</v>
      </c>
      <c r="L999" s="92" t="s">
        <v>1260</v>
      </c>
      <c r="M999" s="92" t="s">
        <v>1241</v>
      </c>
      <c r="N999" s="91">
        <v>42712</v>
      </c>
      <c r="O999" s="93">
        <v>32.020000000000003</v>
      </c>
      <c r="P999" s="93">
        <v>152.47999999999999</v>
      </c>
      <c r="Q999" s="94">
        <v>46</v>
      </c>
      <c r="R999" s="93">
        <f t="shared" si="60"/>
        <v>7014.08</v>
      </c>
      <c r="S999" s="95">
        <v>0.01</v>
      </c>
      <c r="T999" s="96">
        <f t="shared" si="61"/>
        <v>70.140799999999999</v>
      </c>
      <c r="U999" s="96">
        <f t="shared" si="62"/>
        <v>7014.07</v>
      </c>
      <c r="V999" s="93">
        <v>4</v>
      </c>
      <c r="W999" s="97">
        <f t="shared" si="63"/>
        <v>7018.07</v>
      </c>
    </row>
    <row r="1000" spans="1:23" x14ac:dyDescent="0.25">
      <c r="A1000" s="61" t="s">
        <v>1093</v>
      </c>
      <c r="B1000" s="91">
        <v>42712</v>
      </c>
      <c r="C1000" s="92" t="s">
        <v>2053</v>
      </c>
      <c r="D1000" s="92" t="s">
        <v>1572</v>
      </c>
      <c r="E1000" s="92" t="s">
        <v>1199</v>
      </c>
      <c r="F1000" s="92" t="s">
        <v>1254</v>
      </c>
      <c r="G1000" s="92" t="s">
        <v>1201</v>
      </c>
      <c r="H1000" s="92" t="s">
        <v>1274</v>
      </c>
      <c r="I1000" s="92" t="s">
        <v>1317</v>
      </c>
      <c r="J1000" s="92" t="s">
        <v>1333</v>
      </c>
      <c r="K1000" s="92" t="s">
        <v>1243</v>
      </c>
      <c r="L1000" s="92" t="s">
        <v>1260</v>
      </c>
      <c r="M1000" s="92" t="s">
        <v>1241</v>
      </c>
      <c r="N1000" s="91">
        <v>42714</v>
      </c>
      <c r="O1000" s="93">
        <v>14.95</v>
      </c>
      <c r="P1000" s="93">
        <v>34.76</v>
      </c>
      <c r="Q1000" s="94">
        <v>10</v>
      </c>
      <c r="R1000" s="93">
        <f t="shared" si="60"/>
        <v>347.59999999999997</v>
      </c>
      <c r="S1000" s="95">
        <v>0.06</v>
      </c>
      <c r="T1000" s="96">
        <f t="shared" si="61"/>
        <v>20.855999999999998</v>
      </c>
      <c r="U1000" s="96">
        <f t="shared" si="62"/>
        <v>347.53999999999996</v>
      </c>
      <c r="V1000" s="93">
        <v>8.2200000000000006</v>
      </c>
      <c r="W1000" s="97">
        <f t="shared" si="63"/>
        <v>355.76</v>
      </c>
    </row>
    <row r="1001" spans="1:23" x14ac:dyDescent="0.25">
      <c r="A1001" s="61" t="s">
        <v>1094</v>
      </c>
      <c r="B1001" s="91">
        <v>42713</v>
      </c>
      <c r="C1001" s="92" t="s">
        <v>1909</v>
      </c>
      <c r="D1001" s="92" t="s">
        <v>1815</v>
      </c>
      <c r="E1001" s="92" t="s">
        <v>1198</v>
      </c>
      <c r="F1001" s="92" t="s">
        <v>1235</v>
      </c>
      <c r="G1001" s="92" t="s">
        <v>1200</v>
      </c>
      <c r="H1001" s="92" t="s">
        <v>1304</v>
      </c>
      <c r="I1001" s="92" t="s">
        <v>1317</v>
      </c>
      <c r="J1001" s="92" t="s">
        <v>1352</v>
      </c>
      <c r="K1001" s="92" t="s">
        <v>1243</v>
      </c>
      <c r="L1001" s="92" t="s">
        <v>1244</v>
      </c>
      <c r="M1001" s="92" t="s">
        <v>1241</v>
      </c>
      <c r="N1001" s="91">
        <v>42714</v>
      </c>
      <c r="O1001" s="93">
        <v>1.0900000000000001</v>
      </c>
      <c r="P1001" s="93">
        <v>2.6</v>
      </c>
      <c r="Q1001" s="94">
        <v>8</v>
      </c>
      <c r="R1001" s="93">
        <f t="shared" si="60"/>
        <v>20.8</v>
      </c>
      <c r="S1001" s="95">
        <v>0.02</v>
      </c>
      <c r="T1001" s="96">
        <f t="shared" si="61"/>
        <v>0.41600000000000004</v>
      </c>
      <c r="U1001" s="96">
        <f t="shared" si="62"/>
        <v>20.78</v>
      </c>
      <c r="V1001" s="93">
        <v>2.4</v>
      </c>
      <c r="W1001" s="97">
        <f t="shared" si="63"/>
        <v>23.18</v>
      </c>
    </row>
    <row r="1002" spans="1:23" x14ac:dyDescent="0.25">
      <c r="A1002" s="61" t="s">
        <v>1095</v>
      </c>
      <c r="B1002" s="91">
        <v>42714</v>
      </c>
      <c r="C1002" s="92" t="s">
        <v>1810</v>
      </c>
      <c r="D1002" s="92" t="s">
        <v>1395</v>
      </c>
      <c r="E1002" s="92" t="s">
        <v>1198</v>
      </c>
      <c r="F1002" s="92" t="s">
        <v>1235</v>
      </c>
      <c r="G1002" s="92" t="s">
        <v>1200</v>
      </c>
      <c r="H1002" s="92" t="s">
        <v>1236</v>
      </c>
      <c r="I1002" s="92" t="s">
        <v>1264</v>
      </c>
      <c r="J1002" s="92" t="s">
        <v>1344</v>
      </c>
      <c r="K1002" s="92" t="s">
        <v>1243</v>
      </c>
      <c r="L1002" s="92" t="s">
        <v>1244</v>
      </c>
      <c r="M1002" s="92" t="s">
        <v>1241</v>
      </c>
      <c r="N1002" s="91">
        <v>42716</v>
      </c>
      <c r="O1002" s="93">
        <v>0.24</v>
      </c>
      <c r="P1002" s="93">
        <v>1.26</v>
      </c>
      <c r="Q1002" s="94">
        <v>37</v>
      </c>
      <c r="R1002" s="93">
        <f t="shared" si="60"/>
        <v>46.62</v>
      </c>
      <c r="S1002" s="95">
        <v>0.03</v>
      </c>
      <c r="T1002" s="96">
        <f t="shared" si="61"/>
        <v>1.3985999999999998</v>
      </c>
      <c r="U1002" s="96">
        <f t="shared" si="62"/>
        <v>46.589999999999996</v>
      </c>
      <c r="V1002" s="93">
        <v>0.7</v>
      </c>
      <c r="W1002" s="97">
        <f t="shared" si="63"/>
        <v>47.29</v>
      </c>
    </row>
    <row r="1003" spans="1:23" x14ac:dyDescent="0.25">
      <c r="A1003" s="61" t="s">
        <v>1096</v>
      </c>
      <c r="B1003" s="91">
        <v>42714</v>
      </c>
      <c r="C1003" s="92" t="s">
        <v>1696</v>
      </c>
      <c r="D1003" s="92" t="s">
        <v>1388</v>
      </c>
      <c r="E1003" s="92" t="s">
        <v>1199</v>
      </c>
      <c r="F1003" s="92" t="s">
        <v>1254</v>
      </c>
      <c r="G1003" s="92" t="s">
        <v>1202</v>
      </c>
      <c r="H1003" s="92" t="s">
        <v>1255</v>
      </c>
      <c r="I1003" s="92" t="s">
        <v>1248</v>
      </c>
      <c r="J1003" s="92" t="s">
        <v>1345</v>
      </c>
      <c r="K1003" s="92" t="s">
        <v>1243</v>
      </c>
      <c r="L1003" s="92" t="s">
        <v>1244</v>
      </c>
      <c r="M1003" s="92" t="s">
        <v>1241</v>
      </c>
      <c r="N1003" s="91">
        <v>42718</v>
      </c>
      <c r="O1003" s="93">
        <v>2.39</v>
      </c>
      <c r="P1003" s="93">
        <v>4.26</v>
      </c>
      <c r="Q1003" s="94">
        <v>44</v>
      </c>
      <c r="R1003" s="93">
        <f t="shared" si="60"/>
        <v>187.44</v>
      </c>
      <c r="S1003" s="95">
        <v>0.01</v>
      </c>
      <c r="T1003" s="96">
        <f t="shared" si="61"/>
        <v>1.8744000000000001</v>
      </c>
      <c r="U1003" s="96">
        <f t="shared" si="62"/>
        <v>187.43</v>
      </c>
      <c r="V1003" s="93">
        <v>1.2</v>
      </c>
      <c r="W1003" s="97">
        <f t="shared" si="63"/>
        <v>188.63</v>
      </c>
    </row>
    <row r="1004" spans="1:23" x14ac:dyDescent="0.25">
      <c r="A1004" s="61" t="s">
        <v>1097</v>
      </c>
      <c r="B1004" s="91">
        <v>42714</v>
      </c>
      <c r="C1004" s="92" t="s">
        <v>1668</v>
      </c>
      <c r="D1004" s="92" t="s">
        <v>1482</v>
      </c>
      <c r="E1004" s="92" t="s">
        <v>1198</v>
      </c>
      <c r="F1004" s="92" t="s">
        <v>1235</v>
      </c>
      <c r="G1004" s="92" t="s">
        <v>1203</v>
      </c>
      <c r="H1004" s="92" t="s">
        <v>1471</v>
      </c>
      <c r="I1004" s="92" t="s">
        <v>1256</v>
      </c>
      <c r="J1004" s="92" t="s">
        <v>1292</v>
      </c>
      <c r="K1004" s="92" t="s">
        <v>1243</v>
      </c>
      <c r="L1004" s="92" t="s">
        <v>1240</v>
      </c>
      <c r="M1004" s="92" t="s">
        <v>1241</v>
      </c>
      <c r="N1004" s="91">
        <v>42716</v>
      </c>
      <c r="O1004" s="93">
        <v>0.94</v>
      </c>
      <c r="P1004" s="93">
        <v>2.08</v>
      </c>
      <c r="Q1004" s="94">
        <v>36</v>
      </c>
      <c r="R1004" s="93">
        <f t="shared" si="60"/>
        <v>74.88</v>
      </c>
      <c r="S1004" s="95">
        <v>0.1</v>
      </c>
      <c r="T1004" s="96">
        <f t="shared" si="61"/>
        <v>7.4879999999999995</v>
      </c>
      <c r="U1004" s="96">
        <f t="shared" si="62"/>
        <v>74.78</v>
      </c>
      <c r="V1004" s="93">
        <v>2.56</v>
      </c>
      <c r="W1004" s="97">
        <f t="shared" si="63"/>
        <v>77.34</v>
      </c>
    </row>
    <row r="1005" spans="1:23" x14ac:dyDescent="0.25">
      <c r="A1005" s="61" t="s">
        <v>1098</v>
      </c>
      <c r="B1005" s="91">
        <v>42714</v>
      </c>
      <c r="C1005" s="92" t="s">
        <v>1497</v>
      </c>
      <c r="D1005" s="92" t="s">
        <v>1278</v>
      </c>
      <c r="E1005" s="92" t="s">
        <v>1198</v>
      </c>
      <c r="F1005" s="92" t="s">
        <v>1235</v>
      </c>
      <c r="G1005" s="92" t="s">
        <v>1200</v>
      </c>
      <c r="H1005" s="92" t="s">
        <v>1236</v>
      </c>
      <c r="I1005" s="92" t="s">
        <v>1248</v>
      </c>
      <c r="J1005" s="92" t="s">
        <v>1449</v>
      </c>
      <c r="K1005" s="92" t="s">
        <v>1243</v>
      </c>
      <c r="L1005" s="92" t="s">
        <v>1244</v>
      </c>
      <c r="M1005" s="92" t="s">
        <v>1241</v>
      </c>
      <c r="N1005" s="91">
        <v>42719</v>
      </c>
      <c r="O1005" s="93">
        <v>1.82</v>
      </c>
      <c r="P1005" s="93">
        <v>2.98</v>
      </c>
      <c r="Q1005" s="94">
        <v>45</v>
      </c>
      <c r="R1005" s="93">
        <f t="shared" si="60"/>
        <v>134.1</v>
      </c>
      <c r="S1005" s="95">
        <v>0.05</v>
      </c>
      <c r="T1005" s="96">
        <f t="shared" si="61"/>
        <v>6.7050000000000001</v>
      </c>
      <c r="U1005" s="96">
        <f t="shared" si="62"/>
        <v>134.04999999999998</v>
      </c>
      <c r="V1005" s="93">
        <v>1.58</v>
      </c>
      <c r="W1005" s="97">
        <f t="shared" si="63"/>
        <v>135.63</v>
      </c>
    </row>
    <row r="1006" spans="1:23" x14ac:dyDescent="0.25">
      <c r="A1006" s="61" t="s">
        <v>1099</v>
      </c>
      <c r="B1006" s="91">
        <v>42718</v>
      </c>
      <c r="C1006" s="92" t="s">
        <v>1800</v>
      </c>
      <c r="D1006" s="92" t="s">
        <v>1337</v>
      </c>
      <c r="E1006" s="92" t="s">
        <v>1198</v>
      </c>
      <c r="F1006" s="92" t="s">
        <v>1235</v>
      </c>
      <c r="G1006" s="92" t="s">
        <v>1203</v>
      </c>
      <c r="H1006" s="92" t="s">
        <v>1247</v>
      </c>
      <c r="I1006" s="92" t="s">
        <v>1317</v>
      </c>
      <c r="J1006" s="92" t="s">
        <v>1520</v>
      </c>
      <c r="K1006" s="92" t="s">
        <v>1243</v>
      </c>
      <c r="L1006" s="92" t="s">
        <v>1260</v>
      </c>
      <c r="M1006" s="92" t="s">
        <v>1241</v>
      </c>
      <c r="N1006" s="91">
        <v>42719</v>
      </c>
      <c r="O1006" s="93">
        <v>8.92</v>
      </c>
      <c r="P1006" s="93">
        <v>29.74</v>
      </c>
      <c r="Q1006" s="94">
        <v>22</v>
      </c>
      <c r="R1006" s="93">
        <f t="shared" si="60"/>
        <v>654.28</v>
      </c>
      <c r="S1006" s="95">
        <v>7.0000000000000007E-2</v>
      </c>
      <c r="T1006" s="96">
        <f t="shared" si="61"/>
        <v>45.799600000000005</v>
      </c>
      <c r="U1006" s="96">
        <f t="shared" si="62"/>
        <v>654.20999999999992</v>
      </c>
      <c r="V1006" s="93">
        <v>6.64</v>
      </c>
      <c r="W1006" s="97">
        <f t="shared" si="63"/>
        <v>660.84999999999991</v>
      </c>
    </row>
    <row r="1007" spans="1:23" x14ac:dyDescent="0.25">
      <c r="A1007" s="61" t="s">
        <v>1100</v>
      </c>
      <c r="B1007" s="91">
        <v>42719</v>
      </c>
      <c r="C1007" s="92" t="s">
        <v>1775</v>
      </c>
      <c r="D1007" s="92" t="s">
        <v>1776</v>
      </c>
      <c r="E1007" s="92" t="s">
        <v>1198</v>
      </c>
      <c r="F1007" s="92" t="s">
        <v>1235</v>
      </c>
      <c r="G1007" s="92" t="s">
        <v>1200</v>
      </c>
      <c r="H1007" s="92" t="s">
        <v>1471</v>
      </c>
      <c r="I1007" s="92" t="s">
        <v>1248</v>
      </c>
      <c r="J1007" s="92" t="s">
        <v>1386</v>
      </c>
      <c r="K1007" s="92" t="s">
        <v>1382</v>
      </c>
      <c r="L1007" s="92" t="s">
        <v>1240</v>
      </c>
      <c r="M1007" s="92" t="s">
        <v>1250</v>
      </c>
      <c r="N1007" s="91">
        <v>42728</v>
      </c>
      <c r="O1007" s="93">
        <v>5.5</v>
      </c>
      <c r="P1007" s="93">
        <v>12.22</v>
      </c>
      <c r="Q1007" s="94">
        <v>17</v>
      </c>
      <c r="R1007" s="93">
        <f t="shared" si="60"/>
        <v>207.74</v>
      </c>
      <c r="S1007" s="95">
        <v>0.01</v>
      </c>
      <c r="T1007" s="96">
        <f t="shared" si="61"/>
        <v>2.0773999999999999</v>
      </c>
      <c r="U1007" s="96">
        <f t="shared" si="62"/>
        <v>207.73000000000002</v>
      </c>
      <c r="V1007" s="93">
        <v>2.85</v>
      </c>
      <c r="W1007" s="97">
        <f t="shared" si="63"/>
        <v>210.58</v>
      </c>
    </row>
    <row r="1008" spans="1:23" x14ac:dyDescent="0.25">
      <c r="A1008" s="61" t="s">
        <v>1101</v>
      </c>
      <c r="B1008" s="91">
        <v>42721</v>
      </c>
      <c r="C1008" s="92" t="s">
        <v>2054</v>
      </c>
      <c r="D1008" s="92" t="s">
        <v>1299</v>
      </c>
      <c r="E1008" s="92" t="s">
        <v>1198</v>
      </c>
      <c r="F1008" s="92" t="s">
        <v>1235</v>
      </c>
      <c r="G1008" s="92" t="s">
        <v>1203</v>
      </c>
      <c r="H1008" s="92" t="s">
        <v>1236</v>
      </c>
      <c r="I1008" s="92" t="s">
        <v>1317</v>
      </c>
      <c r="J1008" s="92" t="s">
        <v>1321</v>
      </c>
      <c r="K1008" s="92" t="s">
        <v>1243</v>
      </c>
      <c r="L1008" s="92" t="s">
        <v>1244</v>
      </c>
      <c r="M1008" s="92" t="s">
        <v>1241</v>
      </c>
      <c r="N1008" s="91">
        <v>42723</v>
      </c>
      <c r="O1008" s="93">
        <v>2.52</v>
      </c>
      <c r="P1008" s="93">
        <v>4</v>
      </c>
      <c r="Q1008" s="94">
        <v>28</v>
      </c>
      <c r="R1008" s="93">
        <f t="shared" si="60"/>
        <v>112</v>
      </c>
      <c r="S1008" s="95">
        <v>0.04</v>
      </c>
      <c r="T1008" s="96">
        <f t="shared" si="61"/>
        <v>4.4800000000000004</v>
      </c>
      <c r="U1008" s="96">
        <f t="shared" si="62"/>
        <v>111.96</v>
      </c>
      <c r="V1008" s="93">
        <v>1.3</v>
      </c>
      <c r="W1008" s="97">
        <f t="shared" si="63"/>
        <v>113.25999999999999</v>
      </c>
    </row>
    <row r="1009" spans="1:23" x14ac:dyDescent="0.25">
      <c r="A1009" s="61" t="s">
        <v>1102</v>
      </c>
      <c r="B1009" s="91">
        <v>42722</v>
      </c>
      <c r="C1009" s="92" t="s">
        <v>1399</v>
      </c>
      <c r="D1009" s="92" t="s">
        <v>1347</v>
      </c>
      <c r="E1009" s="92" t="s">
        <v>1198</v>
      </c>
      <c r="F1009" s="92" t="s">
        <v>1235</v>
      </c>
      <c r="G1009" s="92" t="s">
        <v>1203</v>
      </c>
      <c r="H1009" s="92" t="s">
        <v>1236</v>
      </c>
      <c r="I1009" s="92" t="s">
        <v>1264</v>
      </c>
      <c r="J1009" s="92" t="s">
        <v>1348</v>
      </c>
      <c r="K1009" s="92" t="s">
        <v>1243</v>
      </c>
      <c r="L1009" s="92" t="s">
        <v>1240</v>
      </c>
      <c r="M1009" s="92" t="s">
        <v>1241</v>
      </c>
      <c r="N1009" s="91">
        <v>42723</v>
      </c>
      <c r="O1009" s="93">
        <v>4.1900000000000004</v>
      </c>
      <c r="P1009" s="93">
        <v>10.23</v>
      </c>
      <c r="Q1009" s="94">
        <v>19</v>
      </c>
      <c r="R1009" s="93">
        <f t="shared" si="60"/>
        <v>194.37</v>
      </c>
      <c r="S1009" s="95">
        <v>0.05</v>
      </c>
      <c r="T1009" s="96">
        <f t="shared" si="61"/>
        <v>9.7185000000000006</v>
      </c>
      <c r="U1009" s="96">
        <f t="shared" si="62"/>
        <v>194.32</v>
      </c>
      <c r="V1009" s="93">
        <v>4.68</v>
      </c>
      <c r="W1009" s="97">
        <f t="shared" si="63"/>
        <v>199</v>
      </c>
    </row>
    <row r="1010" spans="1:23" x14ac:dyDescent="0.25">
      <c r="A1010" s="61" t="s">
        <v>1103</v>
      </c>
      <c r="B1010" s="91">
        <v>42723</v>
      </c>
      <c r="C1010" s="92" t="s">
        <v>1360</v>
      </c>
      <c r="D1010" s="92" t="s">
        <v>1361</v>
      </c>
      <c r="E1010" s="92" t="s">
        <v>1198</v>
      </c>
      <c r="F1010" s="92" t="s">
        <v>1235</v>
      </c>
      <c r="G1010" s="92" t="s">
        <v>1203</v>
      </c>
      <c r="H1010" s="92" t="s">
        <v>1286</v>
      </c>
      <c r="I1010" s="92" t="s">
        <v>1264</v>
      </c>
      <c r="J1010" s="92" t="s">
        <v>1391</v>
      </c>
      <c r="K1010" s="92" t="s">
        <v>1239</v>
      </c>
      <c r="L1010" s="92" t="s">
        <v>1260</v>
      </c>
      <c r="M1010" s="92" t="s">
        <v>1241</v>
      </c>
      <c r="N1010" s="91">
        <v>42725</v>
      </c>
      <c r="O1010" s="93">
        <v>32.020000000000003</v>
      </c>
      <c r="P1010" s="93">
        <v>152.47999999999999</v>
      </c>
      <c r="Q1010" s="94">
        <v>12</v>
      </c>
      <c r="R1010" s="93">
        <f t="shared" si="60"/>
        <v>1829.7599999999998</v>
      </c>
      <c r="S1010" s="95">
        <v>7.0000000000000007E-2</v>
      </c>
      <c r="T1010" s="96">
        <f t="shared" si="61"/>
        <v>128.08320000000001</v>
      </c>
      <c r="U1010" s="96">
        <f t="shared" si="62"/>
        <v>1829.6899999999998</v>
      </c>
      <c r="V1010" s="93">
        <v>4</v>
      </c>
      <c r="W1010" s="97">
        <f t="shared" si="63"/>
        <v>1833.6899999999998</v>
      </c>
    </row>
    <row r="1011" spans="1:23" x14ac:dyDescent="0.25">
      <c r="A1011" s="61" t="s">
        <v>1104</v>
      </c>
      <c r="B1011" s="91">
        <v>42725</v>
      </c>
      <c r="C1011" s="92" t="s">
        <v>2055</v>
      </c>
      <c r="D1011" s="92" t="s">
        <v>1347</v>
      </c>
      <c r="E1011" s="92" t="s">
        <v>1198</v>
      </c>
      <c r="F1011" s="92" t="s">
        <v>1235</v>
      </c>
      <c r="G1011" s="92" t="s">
        <v>1203</v>
      </c>
      <c r="H1011" s="92" t="s">
        <v>1236</v>
      </c>
      <c r="I1011" s="92" t="s">
        <v>1264</v>
      </c>
      <c r="J1011" s="92" t="s">
        <v>1292</v>
      </c>
      <c r="K1011" s="92" t="s">
        <v>1243</v>
      </c>
      <c r="L1011" s="92" t="s">
        <v>1240</v>
      </c>
      <c r="M1011" s="92" t="s">
        <v>1241</v>
      </c>
      <c r="N1011" s="91">
        <v>42726</v>
      </c>
      <c r="O1011" s="93">
        <v>0.94</v>
      </c>
      <c r="P1011" s="93">
        <v>2.08</v>
      </c>
      <c r="Q1011" s="94">
        <v>49</v>
      </c>
      <c r="R1011" s="93">
        <f t="shared" si="60"/>
        <v>101.92</v>
      </c>
      <c r="S1011" s="95">
        <v>7.0000000000000007E-2</v>
      </c>
      <c r="T1011" s="96">
        <f t="shared" si="61"/>
        <v>7.1344000000000012</v>
      </c>
      <c r="U1011" s="96">
        <f t="shared" si="62"/>
        <v>101.85000000000001</v>
      </c>
      <c r="V1011" s="93">
        <v>2.56</v>
      </c>
      <c r="W1011" s="97">
        <f t="shared" si="63"/>
        <v>104.41000000000001</v>
      </c>
    </row>
    <row r="1012" spans="1:23" x14ac:dyDescent="0.25">
      <c r="A1012" s="61" t="s">
        <v>1105</v>
      </c>
      <c r="B1012" s="91">
        <v>42726</v>
      </c>
      <c r="C1012" s="92" t="s">
        <v>1427</v>
      </c>
      <c r="D1012" s="92" t="s">
        <v>1428</v>
      </c>
      <c r="E1012" s="92" t="s">
        <v>1198</v>
      </c>
      <c r="F1012" s="92" t="s">
        <v>1235</v>
      </c>
      <c r="G1012" s="92" t="s">
        <v>1203</v>
      </c>
      <c r="H1012" s="92" t="s">
        <v>1313</v>
      </c>
      <c r="I1012" s="92" t="s">
        <v>1264</v>
      </c>
      <c r="J1012" s="92" t="s">
        <v>1324</v>
      </c>
      <c r="K1012" s="92" t="s">
        <v>1243</v>
      </c>
      <c r="L1012" s="92" t="s">
        <v>1260</v>
      </c>
      <c r="M1012" s="92" t="s">
        <v>1241</v>
      </c>
      <c r="N1012" s="91">
        <v>42727</v>
      </c>
      <c r="O1012" s="93">
        <v>1.18</v>
      </c>
      <c r="P1012" s="93">
        <v>1.88</v>
      </c>
      <c r="Q1012" s="94">
        <v>19</v>
      </c>
      <c r="R1012" s="93">
        <f t="shared" si="60"/>
        <v>35.72</v>
      </c>
      <c r="S1012" s="95">
        <v>0.06</v>
      </c>
      <c r="T1012" s="96">
        <f t="shared" si="61"/>
        <v>2.1431999999999998</v>
      </c>
      <c r="U1012" s="96">
        <f t="shared" si="62"/>
        <v>35.659999999999997</v>
      </c>
      <c r="V1012" s="93">
        <v>1.49</v>
      </c>
      <c r="W1012" s="97">
        <f t="shared" si="63"/>
        <v>37.15</v>
      </c>
    </row>
    <row r="1013" spans="1:23" x14ac:dyDescent="0.25">
      <c r="A1013" s="61" t="s">
        <v>1106</v>
      </c>
      <c r="B1013" s="91">
        <v>42728</v>
      </c>
      <c r="C1013" s="92" t="s">
        <v>2056</v>
      </c>
      <c r="D1013" s="92" t="s">
        <v>1504</v>
      </c>
      <c r="E1013" s="92" t="s">
        <v>1199</v>
      </c>
      <c r="F1013" s="92" t="s">
        <v>1254</v>
      </c>
      <c r="G1013" s="92" t="s">
        <v>1203</v>
      </c>
      <c r="H1013" s="92" t="s">
        <v>1274</v>
      </c>
      <c r="I1013" s="92" t="s">
        <v>1317</v>
      </c>
      <c r="J1013" s="92" t="s">
        <v>1275</v>
      </c>
      <c r="K1013" s="92" t="s">
        <v>1243</v>
      </c>
      <c r="L1013" s="92" t="s">
        <v>1260</v>
      </c>
      <c r="M1013" s="92" t="s">
        <v>1241</v>
      </c>
      <c r="N1013" s="91">
        <v>42729</v>
      </c>
      <c r="O1013" s="93">
        <v>2.4500000000000002</v>
      </c>
      <c r="P1013" s="93">
        <v>3.89</v>
      </c>
      <c r="Q1013" s="94">
        <v>3</v>
      </c>
      <c r="R1013" s="93">
        <f t="shared" si="60"/>
        <v>11.67</v>
      </c>
      <c r="S1013" s="95">
        <v>0</v>
      </c>
      <c r="T1013" s="96">
        <f t="shared" si="61"/>
        <v>0</v>
      </c>
      <c r="U1013" s="96">
        <f t="shared" si="62"/>
        <v>11.67</v>
      </c>
      <c r="V1013" s="93">
        <v>7.01</v>
      </c>
      <c r="W1013" s="97">
        <f t="shared" si="63"/>
        <v>18.68</v>
      </c>
    </row>
    <row r="1014" spans="1:23" x14ac:dyDescent="0.25">
      <c r="A1014" s="61" t="s">
        <v>1107</v>
      </c>
      <c r="B1014" s="91">
        <v>42729</v>
      </c>
      <c r="C1014" s="92" t="s">
        <v>1537</v>
      </c>
      <c r="D1014" s="92" t="s">
        <v>1408</v>
      </c>
      <c r="E1014" s="92" t="s">
        <v>1198</v>
      </c>
      <c r="F1014" s="92" t="s">
        <v>1235</v>
      </c>
      <c r="G1014" s="92" t="s">
        <v>1201</v>
      </c>
      <c r="H1014" s="92" t="s">
        <v>1409</v>
      </c>
      <c r="I1014" s="92" t="s">
        <v>1256</v>
      </c>
      <c r="J1014" s="92" t="s">
        <v>1705</v>
      </c>
      <c r="K1014" s="92" t="s">
        <v>1243</v>
      </c>
      <c r="L1014" s="92" t="s">
        <v>1260</v>
      </c>
      <c r="M1014" s="92" t="s">
        <v>1241</v>
      </c>
      <c r="N1014" s="91">
        <v>42730</v>
      </c>
      <c r="O1014" s="93">
        <v>52.07</v>
      </c>
      <c r="P1014" s="93">
        <v>83.98</v>
      </c>
      <c r="Q1014" s="94">
        <v>38</v>
      </c>
      <c r="R1014" s="93">
        <f t="shared" si="60"/>
        <v>3191.2400000000002</v>
      </c>
      <c r="S1014" s="95">
        <v>0</v>
      </c>
      <c r="T1014" s="96">
        <f t="shared" si="61"/>
        <v>0</v>
      </c>
      <c r="U1014" s="96">
        <f t="shared" si="62"/>
        <v>3191.2400000000002</v>
      </c>
      <c r="V1014" s="93">
        <v>5.01</v>
      </c>
      <c r="W1014" s="97">
        <f t="shared" si="63"/>
        <v>3196.2500000000005</v>
      </c>
    </row>
    <row r="1015" spans="1:23" x14ac:dyDescent="0.25">
      <c r="A1015" s="61" t="s">
        <v>1108</v>
      </c>
      <c r="B1015" s="91">
        <v>42732</v>
      </c>
      <c r="C1015" s="92" t="s">
        <v>1810</v>
      </c>
      <c r="D1015" s="92" t="s">
        <v>1395</v>
      </c>
      <c r="E1015" s="92" t="s">
        <v>1198</v>
      </c>
      <c r="F1015" s="92" t="s">
        <v>1235</v>
      </c>
      <c r="G1015" s="92" t="s">
        <v>1202</v>
      </c>
      <c r="H1015" s="92" t="s">
        <v>1236</v>
      </c>
      <c r="I1015" s="92" t="s">
        <v>1317</v>
      </c>
      <c r="J1015" s="92" t="s">
        <v>1672</v>
      </c>
      <c r="K1015" s="92" t="s">
        <v>1243</v>
      </c>
      <c r="L1015" s="92" t="s">
        <v>1260</v>
      </c>
      <c r="M1015" s="92" t="s">
        <v>1241</v>
      </c>
      <c r="N1015" s="91">
        <v>42734</v>
      </c>
      <c r="O1015" s="93">
        <v>3.75</v>
      </c>
      <c r="P1015" s="93">
        <v>5.77</v>
      </c>
      <c r="Q1015" s="94">
        <v>42</v>
      </c>
      <c r="R1015" s="93">
        <f t="shared" si="60"/>
        <v>242.33999999999997</v>
      </c>
      <c r="S1015" s="95">
        <v>0</v>
      </c>
      <c r="T1015" s="96">
        <f t="shared" si="61"/>
        <v>0</v>
      </c>
      <c r="U1015" s="96">
        <f t="shared" si="62"/>
        <v>242.33999999999997</v>
      </c>
      <c r="V1015" s="93">
        <v>4.97</v>
      </c>
      <c r="W1015" s="97">
        <f t="shared" si="63"/>
        <v>247.30999999999997</v>
      </c>
    </row>
    <row r="1016" spans="1:23" x14ac:dyDescent="0.25">
      <c r="A1016" s="61" t="s">
        <v>1109</v>
      </c>
      <c r="B1016" s="91">
        <v>42732</v>
      </c>
      <c r="C1016" s="92" t="s">
        <v>2057</v>
      </c>
      <c r="D1016" s="92" t="s">
        <v>1398</v>
      </c>
      <c r="E1016" s="92" t="s">
        <v>1198</v>
      </c>
      <c r="F1016" s="92" t="s">
        <v>1235</v>
      </c>
      <c r="G1016" s="92" t="s">
        <v>1202</v>
      </c>
      <c r="H1016" s="92" t="s">
        <v>1269</v>
      </c>
      <c r="I1016" s="92" t="s">
        <v>1237</v>
      </c>
      <c r="J1016" s="92" t="s">
        <v>1396</v>
      </c>
      <c r="K1016" s="92" t="s">
        <v>1243</v>
      </c>
      <c r="L1016" s="92" t="s">
        <v>1244</v>
      </c>
      <c r="M1016" s="92" t="s">
        <v>1241</v>
      </c>
      <c r="N1016" s="91">
        <v>42733</v>
      </c>
      <c r="O1016" s="93">
        <v>1.17</v>
      </c>
      <c r="P1016" s="93">
        <v>2.78</v>
      </c>
      <c r="Q1016" s="94">
        <v>48</v>
      </c>
      <c r="R1016" s="93">
        <f t="shared" si="60"/>
        <v>133.44</v>
      </c>
      <c r="S1016" s="95">
        <v>0.03</v>
      </c>
      <c r="T1016" s="96">
        <f t="shared" si="61"/>
        <v>4.0031999999999996</v>
      </c>
      <c r="U1016" s="96">
        <f t="shared" si="62"/>
        <v>133.41</v>
      </c>
      <c r="V1016" s="93">
        <v>1.2</v>
      </c>
      <c r="W1016" s="97">
        <f t="shared" si="63"/>
        <v>134.60999999999999</v>
      </c>
    </row>
    <row r="1017" spans="1:23" x14ac:dyDescent="0.25">
      <c r="A1017" s="61" t="s">
        <v>1110</v>
      </c>
      <c r="B1017" s="91">
        <v>42732</v>
      </c>
      <c r="C1017" s="92" t="s">
        <v>1909</v>
      </c>
      <c r="D1017" s="92" t="s">
        <v>1815</v>
      </c>
      <c r="E1017" s="92" t="s">
        <v>1198</v>
      </c>
      <c r="F1017" s="92" t="s">
        <v>1235</v>
      </c>
      <c r="G1017" s="92" t="s">
        <v>1200</v>
      </c>
      <c r="H1017" s="92" t="s">
        <v>1304</v>
      </c>
      <c r="I1017" s="92" t="s">
        <v>1237</v>
      </c>
      <c r="J1017" s="92" t="s">
        <v>1475</v>
      </c>
      <c r="K1017" s="92" t="s">
        <v>1239</v>
      </c>
      <c r="L1017" s="92" t="s">
        <v>1260</v>
      </c>
      <c r="M1017" s="92" t="s">
        <v>1241</v>
      </c>
      <c r="N1017" s="91">
        <v>42733</v>
      </c>
      <c r="O1017" s="93">
        <v>10.07</v>
      </c>
      <c r="P1017" s="93">
        <v>15.98</v>
      </c>
      <c r="Q1017" s="94">
        <v>14</v>
      </c>
      <c r="R1017" s="93">
        <f t="shared" si="60"/>
        <v>223.72</v>
      </c>
      <c r="S1017" s="95">
        <v>0.05</v>
      </c>
      <c r="T1017" s="96">
        <f t="shared" si="61"/>
        <v>11.186</v>
      </c>
      <c r="U1017" s="96">
        <f t="shared" si="62"/>
        <v>223.67</v>
      </c>
      <c r="V1017" s="93">
        <v>4</v>
      </c>
      <c r="W1017" s="97">
        <f t="shared" si="63"/>
        <v>227.67</v>
      </c>
    </row>
    <row r="1018" spans="1:23" x14ac:dyDescent="0.25">
      <c r="A1018" s="61" t="s">
        <v>1111</v>
      </c>
      <c r="B1018" s="91">
        <v>42735</v>
      </c>
      <c r="C1018" s="92" t="s">
        <v>1643</v>
      </c>
      <c r="D1018" s="92" t="s">
        <v>1463</v>
      </c>
      <c r="E1018" s="92" t="s">
        <v>1198</v>
      </c>
      <c r="F1018" s="92" t="s">
        <v>1235</v>
      </c>
      <c r="G1018" s="92" t="s">
        <v>1200</v>
      </c>
      <c r="H1018" s="92" t="s">
        <v>1263</v>
      </c>
      <c r="I1018" s="92" t="s">
        <v>1248</v>
      </c>
      <c r="J1018" s="92" t="s">
        <v>1324</v>
      </c>
      <c r="K1018" s="92" t="s">
        <v>1243</v>
      </c>
      <c r="L1018" s="92" t="s">
        <v>1260</v>
      </c>
      <c r="M1018" s="92" t="s">
        <v>1241</v>
      </c>
      <c r="N1018" s="91">
        <v>42739</v>
      </c>
      <c r="O1018" s="93">
        <v>1.18</v>
      </c>
      <c r="P1018" s="93">
        <v>1.88</v>
      </c>
      <c r="Q1018" s="94">
        <v>22</v>
      </c>
      <c r="R1018" s="93">
        <f t="shared" si="60"/>
        <v>41.36</v>
      </c>
      <c r="S1018" s="95">
        <v>0.04</v>
      </c>
      <c r="T1018" s="96">
        <f t="shared" si="61"/>
        <v>1.6544000000000001</v>
      </c>
      <c r="U1018" s="96">
        <f t="shared" si="62"/>
        <v>41.32</v>
      </c>
      <c r="V1018" s="93">
        <v>1.49</v>
      </c>
      <c r="W1018" s="97">
        <f t="shared" si="63"/>
        <v>42.81</v>
      </c>
    </row>
    <row r="1019" spans="1:23" x14ac:dyDescent="0.25">
      <c r="A1019" s="61" t="s">
        <v>1112</v>
      </c>
      <c r="B1019" s="91">
        <v>42738</v>
      </c>
      <c r="C1019" s="92" t="s">
        <v>1836</v>
      </c>
      <c r="D1019" s="92" t="s">
        <v>1674</v>
      </c>
      <c r="E1019" s="92" t="s">
        <v>1198</v>
      </c>
      <c r="F1019" s="92" t="s">
        <v>1235</v>
      </c>
      <c r="G1019" s="92" t="s">
        <v>1203</v>
      </c>
      <c r="H1019" s="92" t="s">
        <v>1409</v>
      </c>
      <c r="I1019" s="92" t="s">
        <v>1256</v>
      </c>
      <c r="J1019" s="92" t="s">
        <v>1391</v>
      </c>
      <c r="K1019" s="92" t="s">
        <v>1239</v>
      </c>
      <c r="L1019" s="92" t="s">
        <v>1260</v>
      </c>
      <c r="M1019" s="92" t="s">
        <v>1241</v>
      </c>
      <c r="N1019" s="91">
        <v>42739</v>
      </c>
      <c r="O1019" s="93">
        <v>32.020000000000003</v>
      </c>
      <c r="P1019" s="93">
        <v>152.47999999999999</v>
      </c>
      <c r="Q1019" s="94">
        <v>46</v>
      </c>
      <c r="R1019" s="93">
        <f t="shared" si="60"/>
        <v>7014.08</v>
      </c>
      <c r="S1019" s="95">
        <v>0.04</v>
      </c>
      <c r="T1019" s="96">
        <f t="shared" si="61"/>
        <v>280.56319999999999</v>
      </c>
      <c r="U1019" s="96">
        <f t="shared" si="62"/>
        <v>7014.04</v>
      </c>
      <c r="V1019" s="93">
        <v>4</v>
      </c>
      <c r="W1019" s="97">
        <f t="shared" si="63"/>
        <v>7018.04</v>
      </c>
    </row>
    <row r="1020" spans="1:23" x14ac:dyDescent="0.25">
      <c r="A1020" s="61" t="s">
        <v>1113</v>
      </c>
      <c r="B1020" s="91">
        <v>42739</v>
      </c>
      <c r="C1020" s="92" t="s">
        <v>1414</v>
      </c>
      <c r="D1020" s="92" t="s">
        <v>1415</v>
      </c>
      <c r="E1020" s="92" t="s">
        <v>1198</v>
      </c>
      <c r="F1020" s="92" t="s">
        <v>1235</v>
      </c>
      <c r="G1020" s="92" t="s">
        <v>1202</v>
      </c>
      <c r="H1020" s="92" t="s">
        <v>1404</v>
      </c>
      <c r="I1020" s="92" t="s">
        <v>1256</v>
      </c>
      <c r="J1020" s="92" t="s">
        <v>1773</v>
      </c>
      <c r="K1020" s="92" t="s">
        <v>1243</v>
      </c>
      <c r="L1020" s="92" t="s">
        <v>1260</v>
      </c>
      <c r="M1020" s="92" t="s">
        <v>1241</v>
      </c>
      <c r="N1020" s="91">
        <v>42740</v>
      </c>
      <c r="O1020" s="93">
        <v>1.84</v>
      </c>
      <c r="P1020" s="93">
        <v>2.88</v>
      </c>
      <c r="Q1020" s="94">
        <v>26</v>
      </c>
      <c r="R1020" s="93">
        <f t="shared" si="60"/>
        <v>74.88</v>
      </c>
      <c r="S1020" s="95">
        <v>0.01</v>
      </c>
      <c r="T1020" s="96">
        <f t="shared" si="61"/>
        <v>0.74880000000000002</v>
      </c>
      <c r="U1020" s="96">
        <f t="shared" si="62"/>
        <v>74.86999999999999</v>
      </c>
      <c r="V1020" s="93">
        <v>0.99</v>
      </c>
      <c r="W1020" s="97">
        <f t="shared" si="63"/>
        <v>75.859999999999985</v>
      </c>
    </row>
    <row r="1021" spans="1:23" x14ac:dyDescent="0.25">
      <c r="A1021" s="61" t="s">
        <v>1114</v>
      </c>
      <c r="B1021" s="91">
        <v>42739</v>
      </c>
      <c r="C1021" s="92" t="s">
        <v>1596</v>
      </c>
      <c r="D1021" s="92" t="s">
        <v>1299</v>
      </c>
      <c r="E1021" s="92" t="s">
        <v>1198</v>
      </c>
      <c r="F1021" s="92" t="s">
        <v>1235</v>
      </c>
      <c r="G1021" s="92" t="s">
        <v>1201</v>
      </c>
      <c r="H1021" s="92" t="s">
        <v>1236</v>
      </c>
      <c r="I1021" s="92" t="s">
        <v>1237</v>
      </c>
      <c r="J1021" s="92" t="s">
        <v>1314</v>
      </c>
      <c r="K1021" s="92" t="s">
        <v>1243</v>
      </c>
      <c r="L1021" s="92" t="s">
        <v>1244</v>
      </c>
      <c r="M1021" s="92" t="s">
        <v>1241</v>
      </c>
      <c r="N1021" s="91">
        <v>42741</v>
      </c>
      <c r="O1021" s="93">
        <v>1.6</v>
      </c>
      <c r="P1021" s="93">
        <v>2.62</v>
      </c>
      <c r="Q1021" s="94">
        <v>35</v>
      </c>
      <c r="R1021" s="93">
        <f t="shared" si="60"/>
        <v>91.7</v>
      </c>
      <c r="S1021" s="95">
        <v>0.04</v>
      </c>
      <c r="T1021" s="96">
        <f t="shared" si="61"/>
        <v>3.6680000000000001</v>
      </c>
      <c r="U1021" s="96">
        <f t="shared" si="62"/>
        <v>91.66</v>
      </c>
      <c r="V1021" s="93">
        <v>0.8</v>
      </c>
      <c r="W1021" s="97">
        <f t="shared" si="63"/>
        <v>92.46</v>
      </c>
    </row>
    <row r="1022" spans="1:23" x14ac:dyDescent="0.25">
      <c r="A1022" s="61" t="s">
        <v>1115</v>
      </c>
      <c r="B1022" s="91">
        <v>42741</v>
      </c>
      <c r="C1022" s="92" t="s">
        <v>2058</v>
      </c>
      <c r="D1022" s="92" t="s">
        <v>1365</v>
      </c>
      <c r="E1022" s="92" t="s">
        <v>1198</v>
      </c>
      <c r="F1022" s="92" t="s">
        <v>1235</v>
      </c>
      <c r="G1022" s="92" t="s">
        <v>1202</v>
      </c>
      <c r="H1022" s="92" t="s">
        <v>1263</v>
      </c>
      <c r="I1022" s="92" t="s">
        <v>1237</v>
      </c>
      <c r="J1022" s="92" t="s">
        <v>1522</v>
      </c>
      <c r="K1022" s="92" t="s">
        <v>1239</v>
      </c>
      <c r="L1022" s="92" t="s">
        <v>1260</v>
      </c>
      <c r="M1022" s="92" t="s">
        <v>1241</v>
      </c>
      <c r="N1022" s="91">
        <v>42742</v>
      </c>
      <c r="O1022" s="93">
        <v>60.59</v>
      </c>
      <c r="P1022" s="93">
        <v>100.98</v>
      </c>
      <c r="Q1022" s="94">
        <v>12</v>
      </c>
      <c r="R1022" s="93">
        <f t="shared" si="60"/>
        <v>1211.76</v>
      </c>
      <c r="S1022" s="95">
        <v>0</v>
      </c>
      <c r="T1022" s="96">
        <f t="shared" si="61"/>
        <v>0</v>
      </c>
      <c r="U1022" s="96">
        <f t="shared" si="62"/>
        <v>1211.76</v>
      </c>
      <c r="V1022" s="93">
        <v>7.18</v>
      </c>
      <c r="W1022" s="97">
        <f t="shared" si="63"/>
        <v>1218.94</v>
      </c>
    </row>
    <row r="1023" spans="1:23" x14ac:dyDescent="0.25">
      <c r="A1023" s="61" t="s">
        <v>1116</v>
      </c>
      <c r="B1023" s="91">
        <v>42745</v>
      </c>
      <c r="C1023" s="92" t="s">
        <v>1855</v>
      </c>
      <c r="D1023" s="92" t="s">
        <v>1598</v>
      </c>
      <c r="E1023" s="92" t="s">
        <v>1198</v>
      </c>
      <c r="F1023" s="92" t="s">
        <v>1235</v>
      </c>
      <c r="G1023" s="92" t="s">
        <v>1203</v>
      </c>
      <c r="H1023" s="92" t="s">
        <v>1471</v>
      </c>
      <c r="I1023" s="92" t="s">
        <v>1237</v>
      </c>
      <c r="J1023" s="92" t="s">
        <v>1773</v>
      </c>
      <c r="K1023" s="92" t="s">
        <v>1243</v>
      </c>
      <c r="L1023" s="92" t="s">
        <v>1260</v>
      </c>
      <c r="M1023" s="92" t="s">
        <v>1241</v>
      </c>
      <c r="N1023" s="91">
        <v>42746</v>
      </c>
      <c r="O1023" s="93">
        <v>1.84</v>
      </c>
      <c r="P1023" s="93">
        <v>2.88</v>
      </c>
      <c r="Q1023" s="94">
        <v>22</v>
      </c>
      <c r="R1023" s="93">
        <f t="shared" si="60"/>
        <v>63.36</v>
      </c>
      <c r="S1023" s="95">
        <v>0.02</v>
      </c>
      <c r="T1023" s="96">
        <f t="shared" si="61"/>
        <v>1.2672000000000001</v>
      </c>
      <c r="U1023" s="96">
        <f t="shared" si="62"/>
        <v>63.339999999999996</v>
      </c>
      <c r="V1023" s="93">
        <v>0.99</v>
      </c>
      <c r="W1023" s="97">
        <f t="shared" si="63"/>
        <v>64.33</v>
      </c>
    </row>
    <row r="1024" spans="1:23" x14ac:dyDescent="0.25">
      <c r="A1024" s="61" t="s">
        <v>1117</v>
      </c>
      <c r="B1024" s="91">
        <v>42746</v>
      </c>
      <c r="C1024" s="92" t="s">
        <v>1808</v>
      </c>
      <c r="D1024" s="92" t="s">
        <v>1615</v>
      </c>
      <c r="E1024" s="92" t="s">
        <v>1198</v>
      </c>
      <c r="F1024" s="92" t="s">
        <v>1235</v>
      </c>
      <c r="G1024" s="92" t="s">
        <v>1200</v>
      </c>
      <c r="H1024" s="92" t="s">
        <v>1404</v>
      </c>
      <c r="I1024" s="92" t="s">
        <v>1264</v>
      </c>
      <c r="J1024" s="92" t="s">
        <v>1331</v>
      </c>
      <c r="K1024" s="92" t="s">
        <v>1243</v>
      </c>
      <c r="L1024" s="92" t="s">
        <v>1240</v>
      </c>
      <c r="M1024" s="92" t="s">
        <v>1241</v>
      </c>
      <c r="N1024" s="91">
        <v>42748</v>
      </c>
      <c r="O1024" s="93">
        <v>5.19</v>
      </c>
      <c r="P1024" s="93">
        <v>12.98</v>
      </c>
      <c r="Q1024" s="94">
        <v>49</v>
      </c>
      <c r="R1024" s="93">
        <f t="shared" si="60"/>
        <v>636.02</v>
      </c>
      <c r="S1024" s="95">
        <v>0.02</v>
      </c>
      <c r="T1024" s="96">
        <f t="shared" si="61"/>
        <v>12.7204</v>
      </c>
      <c r="U1024" s="96">
        <f t="shared" si="62"/>
        <v>636</v>
      </c>
      <c r="V1024" s="93">
        <v>3.14</v>
      </c>
      <c r="W1024" s="97">
        <f t="shared" si="63"/>
        <v>639.14</v>
      </c>
    </row>
    <row r="1025" spans="1:23" x14ac:dyDescent="0.25">
      <c r="A1025" s="61" t="s">
        <v>1118</v>
      </c>
      <c r="B1025" s="91">
        <v>42749</v>
      </c>
      <c r="C1025" s="92" t="s">
        <v>1984</v>
      </c>
      <c r="D1025" s="92" t="s">
        <v>1585</v>
      </c>
      <c r="E1025" s="92" t="s">
        <v>1198</v>
      </c>
      <c r="F1025" s="92" t="s">
        <v>1235</v>
      </c>
      <c r="G1025" s="92" t="s">
        <v>1203</v>
      </c>
      <c r="H1025" s="92" t="s">
        <v>1291</v>
      </c>
      <c r="I1025" s="92" t="s">
        <v>1237</v>
      </c>
      <c r="J1025" s="92" t="s">
        <v>1300</v>
      </c>
      <c r="K1025" s="92" t="s">
        <v>1243</v>
      </c>
      <c r="L1025" s="92" t="s">
        <v>1260</v>
      </c>
      <c r="M1025" s="92" t="s">
        <v>1241</v>
      </c>
      <c r="N1025" s="91">
        <v>42750</v>
      </c>
      <c r="O1025" s="93">
        <v>2.2599999999999998</v>
      </c>
      <c r="P1025" s="93">
        <v>3.58</v>
      </c>
      <c r="Q1025" s="94">
        <v>38</v>
      </c>
      <c r="R1025" s="93">
        <f t="shared" si="60"/>
        <v>136.04</v>
      </c>
      <c r="S1025" s="95">
        <v>0.03</v>
      </c>
      <c r="T1025" s="96">
        <f t="shared" si="61"/>
        <v>4.0811999999999999</v>
      </c>
      <c r="U1025" s="96">
        <f t="shared" si="62"/>
        <v>136.01</v>
      </c>
      <c r="V1025" s="93">
        <v>5.47</v>
      </c>
      <c r="W1025" s="97">
        <f t="shared" si="63"/>
        <v>141.47999999999999</v>
      </c>
    </row>
    <row r="1026" spans="1:23" x14ac:dyDescent="0.25">
      <c r="A1026" s="61" t="s">
        <v>1119</v>
      </c>
      <c r="B1026" s="91">
        <v>42752</v>
      </c>
      <c r="C1026" s="92" t="s">
        <v>2059</v>
      </c>
      <c r="D1026" s="92" t="s">
        <v>1610</v>
      </c>
      <c r="E1026" s="92" t="s">
        <v>1198</v>
      </c>
      <c r="F1026" s="92" t="s">
        <v>1235</v>
      </c>
      <c r="G1026" s="92" t="s">
        <v>1200</v>
      </c>
      <c r="H1026" s="92" t="s">
        <v>1404</v>
      </c>
      <c r="I1026" s="92" t="s">
        <v>1264</v>
      </c>
      <c r="J1026" s="92" t="s">
        <v>1405</v>
      </c>
      <c r="K1026" s="92" t="s">
        <v>1243</v>
      </c>
      <c r="L1026" s="92" t="s">
        <v>1260</v>
      </c>
      <c r="M1026" s="92" t="s">
        <v>1241</v>
      </c>
      <c r="N1026" s="91">
        <v>42753</v>
      </c>
      <c r="O1026" s="93">
        <v>4.59</v>
      </c>
      <c r="P1026" s="93">
        <v>7.28</v>
      </c>
      <c r="Q1026" s="94">
        <v>39</v>
      </c>
      <c r="R1026" s="93">
        <f t="shared" si="60"/>
        <v>283.92</v>
      </c>
      <c r="S1026" s="95">
        <v>0.08</v>
      </c>
      <c r="T1026" s="96">
        <f t="shared" si="61"/>
        <v>22.713600000000003</v>
      </c>
      <c r="U1026" s="96">
        <f t="shared" si="62"/>
        <v>283.84000000000003</v>
      </c>
      <c r="V1026" s="93">
        <v>11.15</v>
      </c>
      <c r="W1026" s="97">
        <f t="shared" si="63"/>
        <v>294.99</v>
      </c>
    </row>
    <row r="1027" spans="1:23" x14ac:dyDescent="0.25">
      <c r="A1027" s="61" t="s">
        <v>1120</v>
      </c>
      <c r="B1027" s="91">
        <v>42753</v>
      </c>
      <c r="C1027" s="92" t="s">
        <v>1646</v>
      </c>
      <c r="D1027" s="92" t="s">
        <v>1303</v>
      </c>
      <c r="E1027" s="92" t="s">
        <v>1198</v>
      </c>
      <c r="F1027" s="92" t="s">
        <v>1235</v>
      </c>
      <c r="G1027" s="92" t="s">
        <v>1203</v>
      </c>
      <c r="H1027" s="92" t="s">
        <v>1304</v>
      </c>
      <c r="I1027" s="92" t="s">
        <v>1256</v>
      </c>
      <c r="J1027" s="92" t="s">
        <v>1393</v>
      </c>
      <c r="K1027" s="92" t="s">
        <v>1243</v>
      </c>
      <c r="L1027" s="92" t="s">
        <v>1244</v>
      </c>
      <c r="M1027" s="92" t="s">
        <v>1250</v>
      </c>
      <c r="N1027" s="91">
        <v>42755</v>
      </c>
      <c r="O1027" s="93">
        <v>0.71</v>
      </c>
      <c r="P1027" s="93">
        <v>1.1399999999999999</v>
      </c>
      <c r="Q1027" s="94">
        <v>14</v>
      </c>
      <c r="R1027" s="93">
        <f t="shared" si="60"/>
        <v>15.959999999999999</v>
      </c>
      <c r="S1027" s="95">
        <v>0</v>
      </c>
      <c r="T1027" s="96">
        <f t="shared" si="61"/>
        <v>0</v>
      </c>
      <c r="U1027" s="96">
        <f t="shared" si="62"/>
        <v>15.959999999999999</v>
      </c>
      <c r="V1027" s="93">
        <v>0.7</v>
      </c>
      <c r="W1027" s="97">
        <f t="shared" si="63"/>
        <v>16.66</v>
      </c>
    </row>
    <row r="1028" spans="1:23" x14ac:dyDescent="0.25">
      <c r="A1028" s="61" t="s">
        <v>1121</v>
      </c>
      <c r="B1028" s="91">
        <v>42754</v>
      </c>
      <c r="C1028" s="92" t="s">
        <v>1768</v>
      </c>
      <c r="D1028" s="92" t="s">
        <v>1744</v>
      </c>
      <c r="E1028" s="92" t="s">
        <v>1198</v>
      </c>
      <c r="F1028" s="92" t="s">
        <v>1235</v>
      </c>
      <c r="G1028" s="92" t="s">
        <v>1200</v>
      </c>
      <c r="H1028" s="92" t="s">
        <v>1471</v>
      </c>
      <c r="I1028" s="92" t="s">
        <v>1256</v>
      </c>
      <c r="J1028" s="92" t="s">
        <v>1257</v>
      </c>
      <c r="K1028" s="92" t="s">
        <v>1239</v>
      </c>
      <c r="L1028" s="92" t="s">
        <v>1258</v>
      </c>
      <c r="M1028" s="92" t="s">
        <v>1241</v>
      </c>
      <c r="N1028" s="91">
        <v>42756</v>
      </c>
      <c r="O1028" s="93">
        <v>8.82</v>
      </c>
      <c r="P1028" s="93">
        <v>20.99</v>
      </c>
      <c r="Q1028" s="94">
        <v>29</v>
      </c>
      <c r="R1028" s="93">
        <f t="shared" si="60"/>
        <v>608.70999999999992</v>
      </c>
      <c r="S1028" s="95">
        <v>0.03</v>
      </c>
      <c r="T1028" s="96">
        <f t="shared" si="61"/>
        <v>18.261299999999999</v>
      </c>
      <c r="U1028" s="96">
        <f t="shared" si="62"/>
        <v>608.67999999999995</v>
      </c>
      <c r="V1028" s="93">
        <v>4.8099999999999996</v>
      </c>
      <c r="W1028" s="97">
        <f t="shared" si="63"/>
        <v>613.4899999999999</v>
      </c>
    </row>
    <row r="1029" spans="1:23" x14ac:dyDescent="0.25">
      <c r="A1029" s="61" t="s">
        <v>1122</v>
      </c>
      <c r="B1029" s="91">
        <v>42754</v>
      </c>
      <c r="C1029" s="92" t="s">
        <v>2060</v>
      </c>
      <c r="D1029" s="92" t="s">
        <v>1602</v>
      </c>
      <c r="E1029" s="92" t="s">
        <v>1198</v>
      </c>
      <c r="F1029" s="92" t="s">
        <v>1235</v>
      </c>
      <c r="G1029" s="92" t="s">
        <v>1203</v>
      </c>
      <c r="H1029" s="92" t="s">
        <v>1313</v>
      </c>
      <c r="I1029" s="92" t="s">
        <v>1237</v>
      </c>
      <c r="J1029" s="92" t="s">
        <v>1331</v>
      </c>
      <c r="K1029" s="92" t="s">
        <v>1243</v>
      </c>
      <c r="L1029" s="92" t="s">
        <v>1240</v>
      </c>
      <c r="M1029" s="92" t="s">
        <v>1250</v>
      </c>
      <c r="N1029" s="91">
        <v>42756</v>
      </c>
      <c r="O1029" s="93">
        <v>5.19</v>
      </c>
      <c r="P1029" s="93">
        <v>12.98</v>
      </c>
      <c r="Q1029" s="94">
        <v>10</v>
      </c>
      <c r="R1029" s="93">
        <f t="shared" ref="R1029:R1043" si="64">P1029*Q1029</f>
        <v>129.80000000000001</v>
      </c>
      <c r="S1029" s="95">
        <v>0.05</v>
      </c>
      <c r="T1029" s="96">
        <f t="shared" ref="T1029:T1043" si="65">R1029*S1029</f>
        <v>6.4900000000000011</v>
      </c>
      <c r="U1029" s="96">
        <f t="shared" ref="U1029:U1043" si="66">R1029-S1029</f>
        <v>129.75</v>
      </c>
      <c r="V1029" s="93">
        <v>3.14</v>
      </c>
      <c r="W1029" s="97">
        <f t="shared" ref="W1029:W1043" si="67">U1029+V1029</f>
        <v>132.88999999999999</v>
      </c>
    </row>
    <row r="1030" spans="1:23" x14ac:dyDescent="0.25">
      <c r="A1030" s="61" t="s">
        <v>1123</v>
      </c>
      <c r="B1030" s="91">
        <v>42754</v>
      </c>
      <c r="C1030" s="92" t="s">
        <v>1996</v>
      </c>
      <c r="D1030" s="92" t="s">
        <v>1316</v>
      </c>
      <c r="E1030" s="92" t="s">
        <v>1199</v>
      </c>
      <c r="F1030" s="92" t="s">
        <v>1254</v>
      </c>
      <c r="G1030" s="92" t="s">
        <v>1201</v>
      </c>
      <c r="H1030" s="92" t="s">
        <v>1274</v>
      </c>
      <c r="I1030" s="92" t="s">
        <v>1248</v>
      </c>
      <c r="J1030" s="92" t="s">
        <v>1536</v>
      </c>
      <c r="K1030" s="92" t="s">
        <v>1243</v>
      </c>
      <c r="L1030" s="92" t="s">
        <v>1260</v>
      </c>
      <c r="M1030" s="92" t="s">
        <v>1250</v>
      </c>
      <c r="N1030" s="91">
        <v>42761</v>
      </c>
      <c r="O1030" s="93">
        <v>19.829999999999998</v>
      </c>
      <c r="P1030" s="93">
        <v>30.98</v>
      </c>
      <c r="Q1030" s="94">
        <v>41</v>
      </c>
      <c r="R1030" s="93">
        <f t="shared" si="64"/>
        <v>1270.18</v>
      </c>
      <c r="S1030" s="95">
        <v>0.04</v>
      </c>
      <c r="T1030" s="96">
        <f t="shared" si="65"/>
        <v>50.807200000000002</v>
      </c>
      <c r="U1030" s="96">
        <f t="shared" si="66"/>
        <v>1270.1400000000001</v>
      </c>
      <c r="V1030" s="93">
        <v>19.510000000000002</v>
      </c>
      <c r="W1030" s="97">
        <f t="shared" si="67"/>
        <v>1289.6500000000001</v>
      </c>
    </row>
    <row r="1031" spans="1:23" x14ac:dyDescent="0.25">
      <c r="A1031" s="61" t="s">
        <v>1124</v>
      </c>
      <c r="B1031" s="91">
        <v>42755</v>
      </c>
      <c r="C1031" s="92" t="s">
        <v>1836</v>
      </c>
      <c r="D1031" s="92" t="s">
        <v>1674</v>
      </c>
      <c r="E1031" s="92" t="s">
        <v>1198</v>
      </c>
      <c r="F1031" s="92" t="s">
        <v>1235</v>
      </c>
      <c r="G1031" s="92" t="s">
        <v>1200</v>
      </c>
      <c r="H1031" s="92" t="s">
        <v>1409</v>
      </c>
      <c r="I1031" s="92" t="s">
        <v>1256</v>
      </c>
      <c r="J1031" s="92" t="s">
        <v>1405</v>
      </c>
      <c r="K1031" s="92" t="s">
        <v>1243</v>
      </c>
      <c r="L1031" s="92" t="s">
        <v>1260</v>
      </c>
      <c r="M1031" s="92" t="s">
        <v>1241</v>
      </c>
      <c r="N1031" s="91">
        <v>42756</v>
      </c>
      <c r="O1031" s="93">
        <v>4.59</v>
      </c>
      <c r="P1031" s="93">
        <v>7.28</v>
      </c>
      <c r="Q1031" s="94">
        <v>24</v>
      </c>
      <c r="R1031" s="93">
        <f t="shared" si="64"/>
        <v>174.72</v>
      </c>
      <c r="S1031" s="95">
        <v>0.1</v>
      </c>
      <c r="T1031" s="96">
        <f t="shared" si="65"/>
        <v>17.472000000000001</v>
      </c>
      <c r="U1031" s="96">
        <f t="shared" si="66"/>
        <v>174.62</v>
      </c>
      <c r="V1031" s="93">
        <v>11.15</v>
      </c>
      <c r="W1031" s="97">
        <f t="shared" si="67"/>
        <v>185.77</v>
      </c>
    </row>
    <row r="1032" spans="1:23" x14ac:dyDescent="0.25">
      <c r="A1032" s="61" t="s">
        <v>1125</v>
      </c>
      <c r="B1032" s="91">
        <v>42758</v>
      </c>
      <c r="C1032" s="92" t="s">
        <v>1873</v>
      </c>
      <c r="D1032" s="92" t="s">
        <v>1532</v>
      </c>
      <c r="E1032" s="92" t="s">
        <v>1198</v>
      </c>
      <c r="F1032" s="92" t="s">
        <v>1235</v>
      </c>
      <c r="G1032" s="92" t="s">
        <v>1200</v>
      </c>
      <c r="H1032" s="92" t="s">
        <v>1263</v>
      </c>
      <c r="I1032" s="92" t="s">
        <v>1256</v>
      </c>
      <c r="J1032" s="92" t="s">
        <v>1342</v>
      </c>
      <c r="K1032" s="92" t="s">
        <v>1243</v>
      </c>
      <c r="L1032" s="92" t="s">
        <v>1244</v>
      </c>
      <c r="M1032" s="92" t="s">
        <v>1241</v>
      </c>
      <c r="N1032" s="91">
        <v>42760</v>
      </c>
      <c r="O1032" s="93">
        <v>2.16</v>
      </c>
      <c r="P1032" s="93">
        <v>3.85</v>
      </c>
      <c r="Q1032" s="94">
        <v>18</v>
      </c>
      <c r="R1032" s="93">
        <f t="shared" si="64"/>
        <v>69.3</v>
      </c>
      <c r="S1032" s="95">
        <v>0.04</v>
      </c>
      <c r="T1032" s="96">
        <f t="shared" si="65"/>
        <v>2.7719999999999998</v>
      </c>
      <c r="U1032" s="96">
        <f t="shared" si="66"/>
        <v>69.259999999999991</v>
      </c>
      <c r="V1032" s="93">
        <v>0.7</v>
      </c>
      <c r="W1032" s="97">
        <f t="shared" si="67"/>
        <v>69.959999999999994</v>
      </c>
    </row>
    <row r="1033" spans="1:23" x14ac:dyDescent="0.25">
      <c r="A1033" s="61" t="s">
        <v>1126</v>
      </c>
      <c r="B1033" s="91">
        <v>42759</v>
      </c>
      <c r="C1033" s="92" t="s">
        <v>2061</v>
      </c>
      <c r="D1033" s="92" t="s">
        <v>1491</v>
      </c>
      <c r="E1033" s="92" t="s">
        <v>1198</v>
      </c>
      <c r="F1033" s="92" t="s">
        <v>1235</v>
      </c>
      <c r="G1033" s="92" t="s">
        <v>1200</v>
      </c>
      <c r="H1033" s="92" t="s">
        <v>1313</v>
      </c>
      <c r="I1033" s="92" t="s">
        <v>1256</v>
      </c>
      <c r="J1033" s="92" t="s">
        <v>1590</v>
      </c>
      <c r="K1033" s="92" t="s">
        <v>1243</v>
      </c>
      <c r="L1033" s="92" t="s">
        <v>1260</v>
      </c>
      <c r="M1033" s="92" t="s">
        <v>1241</v>
      </c>
      <c r="N1033" s="91">
        <v>42761</v>
      </c>
      <c r="O1033" s="93">
        <v>3.5</v>
      </c>
      <c r="P1033" s="93">
        <v>5.74</v>
      </c>
      <c r="Q1033" s="94">
        <v>46</v>
      </c>
      <c r="R1033" s="93">
        <f t="shared" si="64"/>
        <v>264.04000000000002</v>
      </c>
      <c r="S1033" s="95">
        <v>0.05</v>
      </c>
      <c r="T1033" s="96">
        <f t="shared" si="65"/>
        <v>13.202000000000002</v>
      </c>
      <c r="U1033" s="96">
        <f t="shared" si="66"/>
        <v>263.99</v>
      </c>
      <c r="V1033" s="93">
        <v>5.01</v>
      </c>
      <c r="W1033" s="97">
        <f t="shared" si="67"/>
        <v>269</v>
      </c>
    </row>
    <row r="1034" spans="1:23" x14ac:dyDescent="0.25">
      <c r="A1034" s="61" t="s">
        <v>1127</v>
      </c>
      <c r="B1034" s="91">
        <v>42761</v>
      </c>
      <c r="C1034" s="92" t="s">
        <v>1887</v>
      </c>
      <c r="D1034" s="92" t="s">
        <v>1253</v>
      </c>
      <c r="E1034" s="92" t="s">
        <v>1199</v>
      </c>
      <c r="F1034" s="92" t="s">
        <v>1254</v>
      </c>
      <c r="G1034" s="92" t="s">
        <v>1201</v>
      </c>
      <c r="H1034" s="92" t="s">
        <v>1255</v>
      </c>
      <c r="I1034" s="92" t="s">
        <v>1317</v>
      </c>
      <c r="J1034" s="92" t="s">
        <v>1512</v>
      </c>
      <c r="K1034" s="92" t="s">
        <v>1239</v>
      </c>
      <c r="L1034" s="92" t="s">
        <v>1260</v>
      </c>
      <c r="M1034" s="92" t="s">
        <v>1241</v>
      </c>
      <c r="N1034" s="91">
        <v>42762</v>
      </c>
      <c r="O1034" s="93">
        <v>156.5</v>
      </c>
      <c r="P1034" s="93">
        <v>300.97000000000003</v>
      </c>
      <c r="Q1034" s="94">
        <v>29</v>
      </c>
      <c r="R1034" s="93">
        <f t="shared" si="64"/>
        <v>8728.130000000001</v>
      </c>
      <c r="S1034" s="95">
        <v>0.03</v>
      </c>
      <c r="T1034" s="96">
        <f t="shared" si="65"/>
        <v>261.84390000000002</v>
      </c>
      <c r="U1034" s="96">
        <f t="shared" si="66"/>
        <v>8728.1</v>
      </c>
      <c r="V1034" s="93">
        <v>7.18</v>
      </c>
      <c r="W1034" s="97">
        <f t="shared" si="67"/>
        <v>8735.2800000000007</v>
      </c>
    </row>
    <row r="1035" spans="1:23" x14ac:dyDescent="0.25">
      <c r="A1035" s="61" t="s">
        <v>1128</v>
      </c>
      <c r="B1035" s="91">
        <v>42762</v>
      </c>
      <c r="C1035" s="92" t="s">
        <v>1805</v>
      </c>
      <c r="D1035" s="92" t="s">
        <v>1496</v>
      </c>
      <c r="E1035" s="92" t="s">
        <v>1198</v>
      </c>
      <c r="F1035" s="92" t="s">
        <v>1235</v>
      </c>
      <c r="G1035" s="92" t="s">
        <v>1200</v>
      </c>
      <c r="H1035" s="92" t="s">
        <v>1313</v>
      </c>
      <c r="I1035" s="92" t="s">
        <v>1264</v>
      </c>
      <c r="J1035" s="92" t="s">
        <v>1880</v>
      </c>
      <c r="K1035" s="92" t="s">
        <v>1243</v>
      </c>
      <c r="L1035" s="92" t="s">
        <v>1260</v>
      </c>
      <c r="M1035" s="92" t="s">
        <v>1241</v>
      </c>
      <c r="N1035" s="91">
        <v>42763</v>
      </c>
      <c r="O1035" s="93">
        <v>3.99</v>
      </c>
      <c r="P1035" s="93">
        <v>6.23</v>
      </c>
      <c r="Q1035" s="94">
        <v>25</v>
      </c>
      <c r="R1035" s="93">
        <f t="shared" si="64"/>
        <v>155.75</v>
      </c>
      <c r="S1035" s="95">
        <v>7.0000000000000007E-2</v>
      </c>
      <c r="T1035" s="96">
        <f t="shared" si="65"/>
        <v>10.902500000000002</v>
      </c>
      <c r="U1035" s="96">
        <f t="shared" si="66"/>
        <v>155.68</v>
      </c>
      <c r="V1035" s="93">
        <v>6.97</v>
      </c>
      <c r="W1035" s="97">
        <f t="shared" si="67"/>
        <v>162.65</v>
      </c>
    </row>
    <row r="1036" spans="1:23" x14ac:dyDescent="0.25">
      <c r="A1036" s="61" t="s">
        <v>1129</v>
      </c>
      <c r="B1036" s="91">
        <v>42765</v>
      </c>
      <c r="C1036" s="92" t="s">
        <v>1566</v>
      </c>
      <c r="D1036" s="92" t="s">
        <v>1458</v>
      </c>
      <c r="E1036" s="92" t="s">
        <v>1198</v>
      </c>
      <c r="F1036" s="92" t="s">
        <v>1235</v>
      </c>
      <c r="G1036" s="92" t="s">
        <v>1203</v>
      </c>
      <c r="H1036" s="92" t="s">
        <v>1404</v>
      </c>
      <c r="I1036" s="92" t="s">
        <v>1256</v>
      </c>
      <c r="J1036" s="92" t="s">
        <v>1413</v>
      </c>
      <c r="K1036" s="92" t="s">
        <v>1239</v>
      </c>
      <c r="L1036" s="92" t="s">
        <v>1319</v>
      </c>
      <c r="M1036" s="92" t="s">
        <v>1320</v>
      </c>
      <c r="N1036" s="91">
        <v>42768</v>
      </c>
      <c r="O1036" s="93">
        <v>75</v>
      </c>
      <c r="P1036" s="93">
        <v>120.97</v>
      </c>
      <c r="Q1036" s="94">
        <v>4</v>
      </c>
      <c r="R1036" s="93">
        <f t="shared" si="64"/>
        <v>483.88</v>
      </c>
      <c r="S1036" s="95">
        <v>7.0000000000000007E-2</v>
      </c>
      <c r="T1036" s="96">
        <f t="shared" si="65"/>
        <v>33.871600000000001</v>
      </c>
      <c r="U1036" s="96">
        <f t="shared" si="66"/>
        <v>483.81</v>
      </c>
      <c r="V1036" s="93">
        <v>26.3</v>
      </c>
      <c r="W1036" s="97">
        <f t="shared" si="67"/>
        <v>510.11</v>
      </c>
    </row>
    <row r="1037" spans="1:23" x14ac:dyDescent="0.25">
      <c r="A1037" s="61" t="s">
        <v>1130</v>
      </c>
      <c r="B1037" s="91">
        <v>42767</v>
      </c>
      <c r="C1037" s="92" t="s">
        <v>2062</v>
      </c>
      <c r="D1037" s="92" t="s">
        <v>1403</v>
      </c>
      <c r="E1037" s="92" t="s">
        <v>1198</v>
      </c>
      <c r="F1037" s="92" t="s">
        <v>1235</v>
      </c>
      <c r="G1037" s="92" t="s">
        <v>1200</v>
      </c>
      <c r="H1037" s="92" t="s">
        <v>1404</v>
      </c>
      <c r="I1037" s="92" t="s">
        <v>1248</v>
      </c>
      <c r="J1037" s="92" t="s">
        <v>1357</v>
      </c>
      <c r="K1037" s="92" t="s">
        <v>1243</v>
      </c>
      <c r="L1037" s="92" t="s">
        <v>1240</v>
      </c>
      <c r="M1037" s="92" t="s">
        <v>1241</v>
      </c>
      <c r="N1037" s="91">
        <v>42771</v>
      </c>
      <c r="O1037" s="93">
        <v>1.46</v>
      </c>
      <c r="P1037" s="93">
        <v>3.57</v>
      </c>
      <c r="Q1037" s="94">
        <v>25</v>
      </c>
      <c r="R1037" s="93">
        <f t="shared" si="64"/>
        <v>89.25</v>
      </c>
      <c r="S1037" s="95">
        <v>0.01</v>
      </c>
      <c r="T1037" s="96">
        <f t="shared" si="65"/>
        <v>0.89250000000000007</v>
      </c>
      <c r="U1037" s="96">
        <f t="shared" si="66"/>
        <v>89.24</v>
      </c>
      <c r="V1037" s="93">
        <v>4.17</v>
      </c>
      <c r="W1037" s="97">
        <f t="shared" si="67"/>
        <v>93.41</v>
      </c>
    </row>
    <row r="1038" spans="1:23" x14ac:dyDescent="0.25">
      <c r="A1038" s="61" t="s">
        <v>1131</v>
      </c>
      <c r="B1038" s="91">
        <v>42768</v>
      </c>
      <c r="C1038" s="92" t="s">
        <v>1810</v>
      </c>
      <c r="D1038" s="92" t="s">
        <v>1395</v>
      </c>
      <c r="E1038" s="92" t="s">
        <v>1198</v>
      </c>
      <c r="F1038" s="92" t="s">
        <v>1235</v>
      </c>
      <c r="G1038" s="92" t="s">
        <v>1200</v>
      </c>
      <c r="H1038" s="92" t="s">
        <v>1236</v>
      </c>
      <c r="I1038" s="92" t="s">
        <v>1256</v>
      </c>
      <c r="J1038" s="92" t="s">
        <v>1499</v>
      </c>
      <c r="K1038" s="92" t="s">
        <v>1243</v>
      </c>
      <c r="L1038" s="92" t="s">
        <v>1244</v>
      </c>
      <c r="M1038" s="92" t="s">
        <v>1241</v>
      </c>
      <c r="N1038" s="91">
        <v>42770</v>
      </c>
      <c r="O1038" s="93">
        <v>3.75</v>
      </c>
      <c r="P1038" s="93">
        <v>7.08</v>
      </c>
      <c r="Q1038" s="94">
        <v>46</v>
      </c>
      <c r="R1038" s="93">
        <f t="shared" si="64"/>
        <v>325.68</v>
      </c>
      <c r="S1038" s="95">
        <v>0.1</v>
      </c>
      <c r="T1038" s="96">
        <f t="shared" si="65"/>
        <v>32.568000000000005</v>
      </c>
      <c r="U1038" s="96">
        <f t="shared" si="66"/>
        <v>325.58</v>
      </c>
      <c r="V1038" s="93">
        <v>2.35</v>
      </c>
      <c r="W1038" s="97">
        <f t="shared" si="67"/>
        <v>327.93</v>
      </c>
    </row>
    <row r="1039" spans="1:23" x14ac:dyDescent="0.25">
      <c r="A1039" s="61" t="s">
        <v>1132</v>
      </c>
      <c r="B1039" s="91">
        <v>42769</v>
      </c>
      <c r="C1039" s="92" t="s">
        <v>1406</v>
      </c>
      <c r="D1039" s="92" t="s">
        <v>1388</v>
      </c>
      <c r="E1039" s="92" t="s">
        <v>1199</v>
      </c>
      <c r="F1039" s="92" t="s">
        <v>1254</v>
      </c>
      <c r="G1039" s="92" t="s">
        <v>1203</v>
      </c>
      <c r="H1039" s="92" t="s">
        <v>1255</v>
      </c>
      <c r="I1039" s="92" t="s">
        <v>1317</v>
      </c>
      <c r="J1039" s="92" t="s">
        <v>1468</v>
      </c>
      <c r="K1039" s="92" t="s">
        <v>1243</v>
      </c>
      <c r="L1039" s="92" t="s">
        <v>1260</v>
      </c>
      <c r="M1039" s="92" t="s">
        <v>1241</v>
      </c>
      <c r="N1039" s="91">
        <v>42771</v>
      </c>
      <c r="O1039" s="93">
        <v>1.59</v>
      </c>
      <c r="P1039" s="93">
        <v>2.61</v>
      </c>
      <c r="Q1039" s="94">
        <v>38</v>
      </c>
      <c r="R1039" s="93">
        <f t="shared" si="64"/>
        <v>99.179999999999993</v>
      </c>
      <c r="S1039" s="95">
        <v>0.04</v>
      </c>
      <c r="T1039" s="96">
        <f t="shared" si="65"/>
        <v>3.9671999999999996</v>
      </c>
      <c r="U1039" s="96">
        <f t="shared" si="66"/>
        <v>99.139999999999986</v>
      </c>
      <c r="V1039" s="93">
        <v>0.5</v>
      </c>
      <c r="W1039" s="97">
        <f t="shared" si="67"/>
        <v>99.639999999999986</v>
      </c>
    </row>
    <row r="1040" spans="1:23" x14ac:dyDescent="0.25">
      <c r="A1040" s="61" t="s">
        <v>1133</v>
      </c>
      <c r="B1040" s="91">
        <v>42770</v>
      </c>
      <c r="C1040" s="92" t="s">
        <v>2063</v>
      </c>
      <c r="D1040" s="92" t="s">
        <v>1491</v>
      </c>
      <c r="E1040" s="92" t="s">
        <v>1198</v>
      </c>
      <c r="F1040" s="92" t="s">
        <v>1235</v>
      </c>
      <c r="G1040" s="92" t="s">
        <v>1201</v>
      </c>
      <c r="H1040" s="92" t="s">
        <v>1313</v>
      </c>
      <c r="I1040" s="92" t="s">
        <v>1317</v>
      </c>
      <c r="J1040" s="92" t="s">
        <v>1502</v>
      </c>
      <c r="K1040" s="92" t="s">
        <v>1243</v>
      </c>
      <c r="L1040" s="92" t="s">
        <v>1260</v>
      </c>
      <c r="M1040" s="92" t="s">
        <v>1241</v>
      </c>
      <c r="N1040" s="91">
        <v>42771</v>
      </c>
      <c r="O1040" s="93">
        <v>13.64</v>
      </c>
      <c r="P1040" s="93">
        <v>20.98</v>
      </c>
      <c r="Q1040" s="94">
        <v>41</v>
      </c>
      <c r="R1040" s="93">
        <f t="shared" si="64"/>
        <v>860.18000000000006</v>
      </c>
      <c r="S1040" s="95">
        <v>0.05</v>
      </c>
      <c r="T1040" s="96">
        <f t="shared" si="65"/>
        <v>43.009000000000007</v>
      </c>
      <c r="U1040" s="96">
        <f t="shared" si="66"/>
        <v>860.13000000000011</v>
      </c>
      <c r="V1040" s="93">
        <v>1.49</v>
      </c>
      <c r="W1040" s="97">
        <f t="shared" si="67"/>
        <v>861.62000000000012</v>
      </c>
    </row>
    <row r="1041" spans="1:23" x14ac:dyDescent="0.25">
      <c r="A1041" s="61" t="s">
        <v>1134</v>
      </c>
      <c r="B1041" s="91">
        <v>42771</v>
      </c>
      <c r="C1041" s="92" t="s">
        <v>1438</v>
      </c>
      <c r="D1041" s="92" t="s">
        <v>1439</v>
      </c>
      <c r="E1041" s="92" t="s">
        <v>1198</v>
      </c>
      <c r="F1041" s="92" t="s">
        <v>1235</v>
      </c>
      <c r="G1041" s="92" t="s">
        <v>1203</v>
      </c>
      <c r="H1041" s="92" t="s">
        <v>1440</v>
      </c>
      <c r="I1041" s="92" t="s">
        <v>1237</v>
      </c>
      <c r="J1041" s="92" t="s">
        <v>1502</v>
      </c>
      <c r="K1041" s="92" t="s">
        <v>1243</v>
      </c>
      <c r="L1041" s="92" t="s">
        <v>1260</v>
      </c>
      <c r="M1041" s="92" t="s">
        <v>1241</v>
      </c>
      <c r="N1041" s="91">
        <v>42773</v>
      </c>
      <c r="O1041" s="93">
        <v>13.64</v>
      </c>
      <c r="P1041" s="93">
        <v>20.98</v>
      </c>
      <c r="Q1041" s="94">
        <v>2</v>
      </c>
      <c r="R1041" s="93">
        <f t="shared" si="64"/>
        <v>41.96</v>
      </c>
      <c r="S1041" s="95">
        <v>0.01</v>
      </c>
      <c r="T1041" s="96">
        <f t="shared" si="65"/>
        <v>0.41960000000000003</v>
      </c>
      <c r="U1041" s="96">
        <f t="shared" si="66"/>
        <v>41.95</v>
      </c>
      <c r="V1041" s="93">
        <v>1.49</v>
      </c>
      <c r="W1041" s="97">
        <f t="shared" si="67"/>
        <v>43.440000000000005</v>
      </c>
    </row>
    <row r="1042" spans="1:23" x14ac:dyDescent="0.25">
      <c r="A1042" s="61" t="s">
        <v>1135</v>
      </c>
      <c r="B1042" s="91">
        <v>42773</v>
      </c>
      <c r="C1042" s="92" t="s">
        <v>1803</v>
      </c>
      <c r="D1042" s="92" t="s">
        <v>1461</v>
      </c>
      <c r="E1042" s="92" t="s">
        <v>1199</v>
      </c>
      <c r="F1042" s="92" t="s">
        <v>1254</v>
      </c>
      <c r="G1042" s="92" t="s">
        <v>1203</v>
      </c>
      <c r="H1042" s="92" t="s">
        <v>1255</v>
      </c>
      <c r="I1042" s="92" t="s">
        <v>1248</v>
      </c>
      <c r="J1042" s="92" t="s">
        <v>1271</v>
      </c>
      <c r="K1042" s="92" t="s">
        <v>1239</v>
      </c>
      <c r="L1042" s="92" t="s">
        <v>1260</v>
      </c>
      <c r="M1042" s="92" t="s">
        <v>1241</v>
      </c>
      <c r="N1042" s="91">
        <v>42773</v>
      </c>
      <c r="O1042" s="93">
        <v>6.39</v>
      </c>
      <c r="P1042" s="93">
        <v>19.98</v>
      </c>
      <c r="Q1042" s="94">
        <v>31</v>
      </c>
      <c r="R1042" s="93">
        <f t="shared" si="64"/>
        <v>619.38</v>
      </c>
      <c r="S1042" s="95">
        <v>0</v>
      </c>
      <c r="T1042" s="96">
        <f t="shared" si="65"/>
        <v>0</v>
      </c>
      <c r="U1042" s="96">
        <f t="shared" si="66"/>
        <v>619.38</v>
      </c>
      <c r="V1042" s="93">
        <v>4</v>
      </c>
      <c r="W1042" s="97">
        <f t="shared" si="67"/>
        <v>623.38</v>
      </c>
    </row>
    <row r="1043" spans="1:23" x14ac:dyDescent="0.25">
      <c r="A1043" s="61" t="s">
        <v>1136</v>
      </c>
      <c r="B1043" s="91">
        <v>42773</v>
      </c>
      <c r="C1043" s="92" t="s">
        <v>2064</v>
      </c>
      <c r="D1043" s="92" t="s">
        <v>1461</v>
      </c>
      <c r="E1043" s="92" t="s">
        <v>1199</v>
      </c>
      <c r="F1043" s="92" t="s">
        <v>1254</v>
      </c>
      <c r="G1043" s="92" t="s">
        <v>1202</v>
      </c>
      <c r="H1043" s="92" t="s">
        <v>1255</v>
      </c>
      <c r="I1043" s="92" t="s">
        <v>1237</v>
      </c>
      <c r="J1043" s="92" t="s">
        <v>1328</v>
      </c>
      <c r="K1043" s="92" t="s">
        <v>1243</v>
      </c>
      <c r="L1043" s="92" t="s">
        <v>1244</v>
      </c>
      <c r="M1043" s="92" t="s">
        <v>1241</v>
      </c>
      <c r="N1043" s="91">
        <v>42773</v>
      </c>
      <c r="O1043" s="93">
        <v>0.93</v>
      </c>
      <c r="P1043" s="93">
        <v>1.48</v>
      </c>
      <c r="Q1043" s="94">
        <v>10</v>
      </c>
      <c r="R1043" s="93">
        <f t="shared" si="64"/>
        <v>14.8</v>
      </c>
      <c r="S1043" s="95">
        <v>0.1</v>
      </c>
      <c r="T1043" s="96">
        <f t="shared" si="65"/>
        <v>1.4800000000000002</v>
      </c>
      <c r="U1043" s="96">
        <f t="shared" si="66"/>
        <v>14.700000000000001</v>
      </c>
      <c r="V1043" s="93">
        <v>0.7</v>
      </c>
      <c r="W1043" s="97">
        <f t="shared" si="67"/>
        <v>15.4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25"/>
  <sheetViews>
    <sheetView workbookViewId="0">
      <selection activeCell="G18" sqref="G18"/>
    </sheetView>
  </sheetViews>
  <sheetFormatPr defaultRowHeight="15" x14ac:dyDescent="0.25"/>
  <cols>
    <col min="2" max="2" width="10.85546875" bestFit="1" customWidth="1"/>
    <col min="4" max="4" width="14.7109375" bestFit="1" customWidth="1"/>
    <col min="5" max="5" width="13.42578125" bestFit="1" customWidth="1"/>
    <col min="6" max="6" width="17.5703125" bestFit="1" customWidth="1"/>
    <col min="7" max="7" width="13.7109375" bestFit="1" customWidth="1"/>
  </cols>
  <sheetData>
    <row r="4" spans="2:7" x14ac:dyDescent="0.25">
      <c r="B4" s="90" t="s">
        <v>1137</v>
      </c>
      <c r="C4" s="90" t="s">
        <v>1138</v>
      </c>
      <c r="D4" s="90" t="s">
        <v>1139</v>
      </c>
      <c r="E4" s="90" t="s">
        <v>1141</v>
      </c>
      <c r="F4" s="102" t="s">
        <v>2068</v>
      </c>
      <c r="G4" s="102" t="s">
        <v>1209</v>
      </c>
    </row>
    <row r="5" spans="2:7" x14ac:dyDescent="0.25">
      <c r="B5" s="100" t="s">
        <v>1198</v>
      </c>
      <c r="C5" s="98" t="s">
        <v>1235</v>
      </c>
      <c r="D5" s="98" t="s">
        <v>1200</v>
      </c>
      <c r="E5" s="98" t="s">
        <v>1237</v>
      </c>
      <c r="F5" s="92" t="s">
        <v>1239</v>
      </c>
      <c r="G5" s="92" t="s">
        <v>1320</v>
      </c>
    </row>
    <row r="6" spans="2:7" x14ac:dyDescent="0.25">
      <c r="B6" s="101" t="s">
        <v>1198</v>
      </c>
      <c r="C6" s="99" t="s">
        <v>1235</v>
      </c>
      <c r="D6" s="99" t="s">
        <v>1200</v>
      </c>
      <c r="E6" s="99" t="s">
        <v>1237</v>
      </c>
      <c r="F6" s="92" t="s">
        <v>1243</v>
      </c>
      <c r="G6" s="92" t="s">
        <v>1241</v>
      </c>
    </row>
    <row r="7" spans="2:7" x14ac:dyDescent="0.25">
      <c r="B7" s="100" t="s">
        <v>1198</v>
      </c>
      <c r="C7" s="98" t="s">
        <v>1254</v>
      </c>
      <c r="D7" s="98" t="s">
        <v>1201</v>
      </c>
      <c r="E7" s="98" t="s">
        <v>1248</v>
      </c>
      <c r="F7" s="92" t="s">
        <v>1382</v>
      </c>
      <c r="G7" s="92" t="s">
        <v>1250</v>
      </c>
    </row>
    <row r="8" spans="2:7" x14ac:dyDescent="0.25">
      <c r="B8" s="101" t="s">
        <v>1198</v>
      </c>
      <c r="D8" s="98" t="s">
        <v>1202</v>
      </c>
      <c r="E8" s="98" t="s">
        <v>1256</v>
      </c>
    </row>
    <row r="9" spans="2:7" x14ac:dyDescent="0.25">
      <c r="B9" s="100" t="s">
        <v>1199</v>
      </c>
      <c r="D9" s="98" t="s">
        <v>1203</v>
      </c>
      <c r="E9" s="98" t="s">
        <v>1264</v>
      </c>
    </row>
    <row r="10" spans="2:7" x14ac:dyDescent="0.25">
      <c r="B10" s="101"/>
    </row>
    <row r="11" spans="2:7" x14ac:dyDescent="0.25">
      <c r="B11" s="100"/>
      <c r="C11" s="98"/>
    </row>
    <row r="12" spans="2:7" x14ac:dyDescent="0.25">
      <c r="B12" s="101"/>
      <c r="C12" s="99"/>
    </row>
    <row r="13" spans="2:7" x14ac:dyDescent="0.25">
      <c r="B13" s="100"/>
      <c r="C13" s="98"/>
    </row>
    <row r="14" spans="2:7" x14ac:dyDescent="0.25">
      <c r="B14" s="101"/>
      <c r="C14" s="99"/>
    </row>
    <row r="15" spans="2:7" x14ac:dyDescent="0.25">
      <c r="B15" s="100"/>
      <c r="C15" s="98"/>
    </row>
    <row r="16" spans="2:7" x14ac:dyDescent="0.25">
      <c r="B16" s="101"/>
      <c r="C16" s="99"/>
    </row>
    <row r="17" spans="2:4" x14ac:dyDescent="0.25">
      <c r="B17" s="100"/>
      <c r="C17" s="98"/>
    </row>
    <row r="18" spans="2:4" x14ac:dyDescent="0.25">
      <c r="B18" s="101"/>
      <c r="C18" s="99"/>
      <c r="D18" s="99"/>
    </row>
    <row r="19" spans="2:4" x14ac:dyDescent="0.25">
      <c r="B19" s="100"/>
      <c r="C19" s="98"/>
      <c r="D19" s="98"/>
    </row>
    <row r="20" spans="2:4" x14ac:dyDescent="0.25">
      <c r="B20" s="101"/>
      <c r="C20" s="99"/>
      <c r="D20" s="99"/>
    </row>
    <row r="21" spans="2:4" x14ac:dyDescent="0.25">
      <c r="B21" s="100"/>
      <c r="C21" s="98"/>
      <c r="D21" s="98"/>
    </row>
    <row r="22" spans="2:4" x14ac:dyDescent="0.25">
      <c r="B22" s="101"/>
      <c r="C22" s="99"/>
      <c r="D22" s="99"/>
    </row>
    <row r="23" spans="2:4" x14ac:dyDescent="0.25">
      <c r="B23" s="100"/>
      <c r="C23" s="98"/>
      <c r="D23" s="98"/>
    </row>
    <row r="24" spans="2:4" x14ac:dyDescent="0.25">
      <c r="B24" s="101"/>
      <c r="C24" s="99"/>
      <c r="D24" s="99"/>
    </row>
    <row r="25" spans="2:4" x14ac:dyDescent="0.25">
      <c r="B25" s="100"/>
      <c r="C25" s="98"/>
      <c r="D25" s="9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28"/>
  <sheetViews>
    <sheetView tabSelected="1" zoomScaleNormal="100" workbookViewId="0">
      <pane xSplit="2" ySplit="4" topLeftCell="U5" activePane="bottomRight" state="frozen"/>
      <selection pane="topRight" activeCell="C1" sqref="C1"/>
      <selection pane="bottomLeft" activeCell="A5" sqref="A5"/>
      <selection pane="bottomRight" activeCell="AE7" sqref="AE7"/>
    </sheetView>
  </sheetViews>
  <sheetFormatPr defaultRowHeight="15" x14ac:dyDescent="0.25"/>
  <cols>
    <col min="1" max="1" width="35" customWidth="1"/>
    <col min="2" max="2" width="6.5703125" bestFit="1" customWidth="1"/>
    <col min="3" max="3" width="30" bestFit="1" customWidth="1"/>
    <col min="4" max="4" width="14.5703125" bestFit="1" customWidth="1"/>
    <col min="5" max="5" width="9.85546875" bestFit="1" customWidth="1"/>
    <col min="6" max="7" width="8.42578125" bestFit="1" customWidth="1"/>
    <col min="8" max="8" width="18.7109375" bestFit="1" customWidth="1"/>
    <col min="9" max="9" width="8.42578125" bestFit="1" customWidth="1"/>
    <col min="10" max="10" width="15" bestFit="1" customWidth="1"/>
    <col min="13" max="13" width="11.7109375" bestFit="1" customWidth="1"/>
    <col min="14" max="14" width="11.7109375" customWidth="1"/>
    <col min="15" max="15" width="14" bestFit="1" customWidth="1"/>
    <col min="16" max="16" width="12.28515625" bestFit="1" customWidth="1"/>
    <col min="17" max="17" width="13.140625" bestFit="1" customWidth="1"/>
    <col min="18" max="18" width="6.7109375" customWidth="1"/>
    <col min="19" max="19" width="14.42578125" bestFit="1" customWidth="1"/>
    <col min="21" max="21" width="15.7109375" bestFit="1" customWidth="1"/>
    <col min="22" max="22" width="10.85546875" bestFit="1" customWidth="1"/>
    <col min="23" max="23" width="14.140625" bestFit="1" customWidth="1"/>
    <col min="25" max="25" width="9.28515625" customWidth="1"/>
    <col min="26" max="26" width="7.42578125" bestFit="1" customWidth="1"/>
    <col min="27" max="27" width="5.7109375" bestFit="1" customWidth="1"/>
    <col min="28" max="28" width="14.7109375" bestFit="1" customWidth="1"/>
    <col min="29" max="29" width="13.42578125" bestFit="1" customWidth="1"/>
    <col min="30" max="31" width="13.42578125" customWidth="1"/>
    <col min="32" max="32" width="9" bestFit="1" customWidth="1"/>
  </cols>
  <sheetData>
    <row r="1" spans="2:32" s="59" customFormat="1" ht="15.75" thickBot="1" x14ac:dyDescent="0.3"/>
    <row r="2" spans="2:32" ht="32.25" thickBot="1" x14ac:dyDescent="0.55000000000000004">
      <c r="B2" s="75" t="s">
        <v>117</v>
      </c>
      <c r="C2" s="76"/>
      <c r="D2" s="76"/>
      <c r="E2" s="76"/>
      <c r="F2" s="76"/>
      <c r="G2" s="76"/>
      <c r="H2" s="76"/>
      <c r="I2" s="76"/>
      <c r="J2" s="77"/>
    </row>
    <row r="3" spans="2:32" ht="18.75" x14ac:dyDescent="0.3">
      <c r="B3" s="78"/>
      <c r="C3" s="79"/>
      <c r="D3" s="79"/>
      <c r="E3" s="54">
        <v>0.5</v>
      </c>
      <c r="F3" s="55">
        <v>7.0000000000000007E-2</v>
      </c>
      <c r="G3" s="56">
        <v>0.15</v>
      </c>
      <c r="H3" s="57"/>
      <c r="I3" s="58">
        <v>0.1</v>
      </c>
      <c r="J3" s="38"/>
    </row>
    <row r="4" spans="2:32" x14ac:dyDescent="0.25">
      <c r="B4" s="51" t="s">
        <v>109</v>
      </c>
      <c r="C4" s="52" t="s">
        <v>1</v>
      </c>
      <c r="D4" s="52" t="s">
        <v>116</v>
      </c>
      <c r="E4" s="52" t="s">
        <v>110</v>
      </c>
      <c r="F4" s="52" t="s">
        <v>111</v>
      </c>
      <c r="G4" s="52" t="s">
        <v>112</v>
      </c>
      <c r="H4" s="52" t="s">
        <v>114</v>
      </c>
      <c r="I4" s="52" t="s">
        <v>113</v>
      </c>
      <c r="J4" s="53" t="s">
        <v>115</v>
      </c>
      <c r="K4" s="72" t="s">
        <v>1184</v>
      </c>
      <c r="L4" s="73" t="s">
        <v>1186</v>
      </c>
      <c r="M4" s="73" t="s">
        <v>1187</v>
      </c>
      <c r="N4" s="73"/>
      <c r="O4" s="73" t="s">
        <v>1190</v>
      </c>
      <c r="P4" s="73" t="s">
        <v>1188</v>
      </c>
      <c r="Q4" s="73" t="s">
        <v>1189</v>
      </c>
      <c r="R4" s="73" t="s">
        <v>1191</v>
      </c>
      <c r="S4" s="73" t="s">
        <v>1185</v>
      </c>
      <c r="T4" s="73" t="s">
        <v>1192</v>
      </c>
      <c r="U4" s="73" t="s">
        <v>1193</v>
      </c>
      <c r="V4" s="86" t="s">
        <v>1194</v>
      </c>
      <c r="W4" s="86"/>
      <c r="X4" s="86"/>
      <c r="Z4" s="86" t="s">
        <v>2065</v>
      </c>
      <c r="AA4" s="86"/>
      <c r="AB4" s="86"/>
      <c r="AC4" s="86"/>
      <c r="AD4" s="86"/>
      <c r="AE4" s="86"/>
      <c r="AF4" s="86"/>
    </row>
    <row r="5" spans="2:32" x14ac:dyDescent="0.25">
      <c r="B5" s="41">
        <v>1</v>
      </c>
      <c r="C5" s="42" t="s">
        <v>42</v>
      </c>
      <c r="D5" s="43">
        <v>60000</v>
      </c>
      <c r="E5" s="44">
        <f>$E$3*D5</f>
        <v>30000</v>
      </c>
      <c r="F5" s="44">
        <f>$F$3*D5</f>
        <v>4200</v>
      </c>
      <c r="G5" s="44">
        <f>$G$3*D5</f>
        <v>9000</v>
      </c>
      <c r="H5" s="45">
        <f>G5+F5+E5</f>
        <v>43200</v>
      </c>
      <c r="I5" s="46">
        <f>$I$3*D5</f>
        <v>6000</v>
      </c>
      <c r="J5" s="47">
        <f>H5-I5</f>
        <v>37200</v>
      </c>
      <c r="K5" t="str">
        <f>LEFT(C5,2)</f>
        <v>Ha</v>
      </c>
      <c r="L5" t="str">
        <f>RIGHT(C5,2)</f>
        <v>an</v>
      </c>
      <c r="M5" t="str">
        <f>LOWER(K5)</f>
        <v>ha</v>
      </c>
      <c r="N5">
        <v>1</v>
      </c>
      <c r="O5" t="str">
        <f>LOWER(L5)</f>
        <v>an</v>
      </c>
      <c r="P5" t="str">
        <f>UPPER(K5)</f>
        <v>HA</v>
      </c>
      <c r="Q5" t="str">
        <f>UPPER(L5)</f>
        <v>AN</v>
      </c>
      <c r="R5">
        <v>59</v>
      </c>
      <c r="S5" t="str">
        <f>"JEE"&amp;"59"&amp;" "&amp;Q5&amp;P5</f>
        <v>JEE59 ANHA</v>
      </c>
      <c r="T5">
        <f>SUMIF(M5:M19,"md",N5:N19)</f>
        <v>45</v>
      </c>
      <c r="U5" t="str">
        <f>UPPER(LEFT(C5,2))</f>
        <v>HA</v>
      </c>
      <c r="V5" s="87" t="s">
        <v>1195</v>
      </c>
      <c r="W5" s="87" t="s">
        <v>1196</v>
      </c>
      <c r="X5" s="87" t="s">
        <v>1197</v>
      </c>
      <c r="Z5" s="103" t="s">
        <v>1137</v>
      </c>
      <c r="AA5" s="103" t="s">
        <v>1138</v>
      </c>
      <c r="AB5" s="103" t="s">
        <v>1139</v>
      </c>
      <c r="AC5" s="103" t="s">
        <v>1141</v>
      </c>
      <c r="AD5" s="103" t="s">
        <v>2067</v>
      </c>
      <c r="AE5" s="103" t="s">
        <v>1209</v>
      </c>
      <c r="AF5" s="103" t="s">
        <v>2066</v>
      </c>
    </row>
    <row r="6" spans="2:32" x14ac:dyDescent="0.25">
      <c r="B6" s="41">
        <v>2</v>
      </c>
      <c r="C6" s="42" t="s">
        <v>12</v>
      </c>
      <c r="D6" s="43">
        <v>30000</v>
      </c>
      <c r="E6" s="44">
        <f t="shared" ref="E6:E19" si="0">$E$3*D6</f>
        <v>15000</v>
      </c>
      <c r="F6" s="44">
        <f t="shared" ref="F6:F19" si="1">$F$3*D6</f>
        <v>2100</v>
      </c>
      <c r="G6" s="44">
        <f t="shared" ref="G6:G19" si="2">$G$3*D6</f>
        <v>4500</v>
      </c>
      <c r="H6" s="45">
        <f t="shared" ref="H6:H19" si="3">G6+F6+E6</f>
        <v>21600</v>
      </c>
      <c r="I6" s="46">
        <f t="shared" ref="I6:I19" si="4">$I$3*D6</f>
        <v>3000</v>
      </c>
      <c r="J6" s="47">
        <f t="shared" ref="J6:J19" si="5">H6-I6</f>
        <v>18600</v>
      </c>
      <c r="K6" t="str">
        <f t="shared" ref="K6:K19" si="6">LEFT(C6,2)</f>
        <v>Md</v>
      </c>
      <c r="L6" t="str">
        <f t="shared" ref="L6:L19" si="7">RIGHT(C6,2)</f>
        <v>am</v>
      </c>
      <c r="M6" t="str">
        <f t="shared" ref="M6:M19" si="8">LOWER(K6)</f>
        <v>md</v>
      </c>
      <c r="N6">
        <v>2</v>
      </c>
      <c r="O6" t="str">
        <f t="shared" ref="O6:O19" si="9">LOWER(L6)</f>
        <v>am</v>
      </c>
      <c r="P6" t="str">
        <f>UPPER(K6)</f>
        <v>MD</v>
      </c>
      <c r="Q6" t="str">
        <f t="shared" ref="Q6:Q19" si="10">UPPER(L6)</f>
        <v>AM</v>
      </c>
      <c r="R6">
        <v>59</v>
      </c>
      <c r="S6" t="str">
        <f t="shared" ref="S6:S19" si="11">"JEE"&amp;"59"&amp;" "&amp;Q6&amp;P6</f>
        <v>JEE59 AMMD</v>
      </c>
      <c r="U6" t="str">
        <f t="shared" ref="U6:U19" si="12">UPPER(LEFT(C6,2))</f>
        <v>MD</v>
      </c>
      <c r="V6" t="s">
        <v>1198</v>
      </c>
      <c r="W6" t="s">
        <v>1200</v>
      </c>
      <c r="X6">
        <f>SUMIFS(data!E:E,data!G:G,'Salary Sheet &amp;  formula'!V6,data!I:I,'Salary Sheet &amp;  formula'!W6)</f>
        <v>281897.72000000003</v>
      </c>
      <c r="Z6" t="s">
        <v>1198</v>
      </c>
      <c r="AA6" t="s">
        <v>1235</v>
      </c>
      <c r="AB6" t="s">
        <v>1200</v>
      </c>
      <c r="AC6" t="s">
        <v>1237</v>
      </c>
      <c r="AD6" t="s">
        <v>1382</v>
      </c>
      <c r="AE6" t="s">
        <v>1241</v>
      </c>
      <c r="AF6">
        <f>SUMIFS(Orders!W:W,Orders!E:E,'Salary Sheet &amp;  formula'!Z6,Orders!F:F,'Salary Sheet &amp;  formula'!AA6,Orders!G:G,'Salary Sheet &amp;  formula'!AB6,Orders!I:I,'Salary Sheet &amp;  formula'!AC6,Orders!K:K,'Salary Sheet &amp;  formula'!AD6,Orders!M:M,'Salary Sheet &amp;  formula'!AE6)</f>
        <v>1942.2099999999998</v>
      </c>
    </row>
    <row r="7" spans="2:32" x14ac:dyDescent="0.25">
      <c r="B7" s="41">
        <v>3</v>
      </c>
      <c r="C7" s="42" t="s">
        <v>27</v>
      </c>
      <c r="D7" s="43">
        <v>80000</v>
      </c>
      <c r="E7" s="44">
        <f t="shared" si="0"/>
        <v>40000</v>
      </c>
      <c r="F7" s="44">
        <f t="shared" si="1"/>
        <v>5600.0000000000009</v>
      </c>
      <c r="G7" s="44">
        <f t="shared" si="2"/>
        <v>12000</v>
      </c>
      <c r="H7" s="45">
        <f t="shared" si="3"/>
        <v>57600</v>
      </c>
      <c r="I7" s="46">
        <f t="shared" si="4"/>
        <v>8000</v>
      </c>
      <c r="J7" s="47">
        <f t="shared" si="5"/>
        <v>49600</v>
      </c>
      <c r="K7" t="str">
        <f t="shared" si="6"/>
        <v>MD</v>
      </c>
      <c r="L7" t="str">
        <f t="shared" si="7"/>
        <v>UE</v>
      </c>
      <c r="M7" t="str">
        <f t="shared" si="8"/>
        <v>md</v>
      </c>
      <c r="N7">
        <v>3</v>
      </c>
      <c r="O7" t="str">
        <f t="shared" si="9"/>
        <v>ue</v>
      </c>
      <c r="P7" t="str">
        <f t="shared" ref="P7:P19" si="13">UPPER(K7)</f>
        <v>MD</v>
      </c>
      <c r="Q7" t="str">
        <f t="shared" si="10"/>
        <v>UE</v>
      </c>
      <c r="R7">
        <v>59</v>
      </c>
      <c r="S7" t="str">
        <f t="shared" si="11"/>
        <v>JEE59 UEMD</v>
      </c>
      <c r="U7" t="str">
        <f t="shared" si="12"/>
        <v>MD</v>
      </c>
      <c r="V7" t="s">
        <v>1199</v>
      </c>
      <c r="W7" t="s">
        <v>1201</v>
      </c>
      <c r="X7">
        <f>SUMIFS(data!E:E,data!G:G,'Salary Sheet &amp;  formula'!V7,data!I:I,'Salary Sheet &amp;  formula'!W7)</f>
        <v>69210.740000000005</v>
      </c>
    </row>
    <row r="8" spans="2:32" x14ac:dyDescent="0.25">
      <c r="B8" s="41">
        <v>4</v>
      </c>
      <c r="C8" s="42" t="s">
        <v>40</v>
      </c>
      <c r="D8" s="43">
        <v>50000</v>
      </c>
      <c r="E8" s="44">
        <f t="shared" si="0"/>
        <v>25000</v>
      </c>
      <c r="F8" s="44">
        <f t="shared" si="1"/>
        <v>3500.0000000000005</v>
      </c>
      <c r="G8" s="44">
        <f t="shared" si="2"/>
        <v>7500</v>
      </c>
      <c r="H8" s="45">
        <f t="shared" si="3"/>
        <v>36000</v>
      </c>
      <c r="I8" s="46">
        <f t="shared" si="4"/>
        <v>5000</v>
      </c>
      <c r="J8" s="47">
        <f t="shared" si="5"/>
        <v>31000</v>
      </c>
      <c r="K8" t="str">
        <f t="shared" si="6"/>
        <v>MD</v>
      </c>
      <c r="L8" t="str">
        <f t="shared" si="7"/>
        <v>ar</v>
      </c>
      <c r="M8" t="str">
        <f t="shared" si="8"/>
        <v>md</v>
      </c>
      <c r="N8">
        <v>4</v>
      </c>
      <c r="O8" t="str">
        <f t="shared" si="9"/>
        <v>ar</v>
      </c>
      <c r="P8" t="str">
        <f t="shared" si="13"/>
        <v>MD</v>
      </c>
      <c r="Q8" t="str">
        <f t="shared" si="10"/>
        <v>AR</v>
      </c>
      <c r="R8">
        <v>59</v>
      </c>
      <c r="S8" t="str">
        <f t="shared" si="11"/>
        <v>JEE59 ARMD</v>
      </c>
      <c r="U8" t="str">
        <f t="shared" si="12"/>
        <v>MD</v>
      </c>
      <c r="V8" t="s">
        <v>1198</v>
      </c>
      <c r="W8" t="s">
        <v>1202</v>
      </c>
      <c r="X8">
        <f>SUMIFS(data!E:E,data!G:G,'Salary Sheet &amp;  formula'!V8,data!I:I,'Salary Sheet &amp;  formula'!W8)</f>
        <v>135968.49</v>
      </c>
    </row>
    <row r="9" spans="2:32" x14ac:dyDescent="0.25">
      <c r="B9" s="41">
        <v>5</v>
      </c>
      <c r="C9" s="42" t="s">
        <v>32</v>
      </c>
      <c r="D9" s="43">
        <v>20000</v>
      </c>
      <c r="E9" s="44">
        <f t="shared" si="0"/>
        <v>10000</v>
      </c>
      <c r="F9" s="44">
        <f t="shared" si="1"/>
        <v>1400.0000000000002</v>
      </c>
      <c r="G9" s="44">
        <f t="shared" si="2"/>
        <v>3000</v>
      </c>
      <c r="H9" s="45">
        <f t="shared" si="3"/>
        <v>14400</v>
      </c>
      <c r="I9" s="46">
        <f t="shared" si="4"/>
        <v>2000</v>
      </c>
      <c r="J9" s="47">
        <f t="shared" si="5"/>
        <v>12400</v>
      </c>
      <c r="K9" t="str">
        <f t="shared" si="6"/>
        <v>Md</v>
      </c>
      <c r="L9" t="str">
        <f t="shared" si="7"/>
        <v>am</v>
      </c>
      <c r="M9" t="str">
        <f t="shared" si="8"/>
        <v>md</v>
      </c>
      <c r="N9">
        <v>5</v>
      </c>
      <c r="O9" t="str">
        <f t="shared" si="9"/>
        <v>am</v>
      </c>
      <c r="P9" t="str">
        <f t="shared" si="13"/>
        <v>MD</v>
      </c>
      <c r="Q9" t="str">
        <f t="shared" si="10"/>
        <v>AM</v>
      </c>
      <c r="R9">
        <v>59</v>
      </c>
      <c r="S9" t="str">
        <f t="shared" si="11"/>
        <v>JEE59 AMMD</v>
      </c>
      <c r="U9" t="str">
        <f t="shared" si="12"/>
        <v>MD</v>
      </c>
      <c r="V9" t="s">
        <v>1199</v>
      </c>
      <c r="W9" t="s">
        <v>1203</v>
      </c>
      <c r="X9">
        <f>SUMIFS(data!E:E,data!G:G,'Salary Sheet &amp;  formula'!V9,data!I:I,'Salary Sheet &amp;  formula'!W9)</f>
        <v>32110.810000000005</v>
      </c>
    </row>
    <row r="10" spans="2:32" x14ac:dyDescent="0.25">
      <c r="B10" s="41">
        <v>6</v>
      </c>
      <c r="C10" s="42" t="s">
        <v>38</v>
      </c>
      <c r="D10" s="43">
        <v>40000</v>
      </c>
      <c r="E10" s="44">
        <f t="shared" si="0"/>
        <v>20000</v>
      </c>
      <c r="F10" s="44">
        <f t="shared" si="1"/>
        <v>2800.0000000000005</v>
      </c>
      <c r="G10" s="44">
        <f t="shared" si="2"/>
        <v>6000</v>
      </c>
      <c r="H10" s="45">
        <f t="shared" si="3"/>
        <v>28800</v>
      </c>
      <c r="I10" s="46">
        <f t="shared" si="4"/>
        <v>4000</v>
      </c>
      <c r="J10" s="47">
        <f t="shared" si="5"/>
        <v>24800</v>
      </c>
      <c r="K10" t="str">
        <f t="shared" si="6"/>
        <v>MD</v>
      </c>
      <c r="L10" t="str">
        <f t="shared" si="7"/>
        <v>ZU</v>
      </c>
      <c r="M10" t="str">
        <f t="shared" si="8"/>
        <v>md</v>
      </c>
      <c r="N10">
        <v>6</v>
      </c>
      <c r="O10" t="str">
        <f t="shared" si="9"/>
        <v>zu</v>
      </c>
      <c r="P10" t="str">
        <f t="shared" si="13"/>
        <v>MD</v>
      </c>
      <c r="Q10" t="str">
        <f t="shared" si="10"/>
        <v>ZU</v>
      </c>
      <c r="R10">
        <v>59</v>
      </c>
      <c r="S10" t="str">
        <f t="shared" si="11"/>
        <v>JEE59 ZUMD</v>
      </c>
      <c r="U10" t="str">
        <f t="shared" si="12"/>
        <v>MD</v>
      </c>
      <c r="V10" s="88"/>
      <c r="X10">
        <f>SUMIFS(data!E:E,data!G:G,'Salary Sheet &amp;  formula'!V10,data!I:I,'Salary Sheet &amp;  formula'!W10)</f>
        <v>0</v>
      </c>
    </row>
    <row r="11" spans="2:32" x14ac:dyDescent="0.25">
      <c r="B11" s="41">
        <v>7</v>
      </c>
      <c r="C11" s="42" t="s">
        <v>9</v>
      </c>
      <c r="D11" s="43">
        <v>20000</v>
      </c>
      <c r="E11" s="44">
        <f t="shared" si="0"/>
        <v>10000</v>
      </c>
      <c r="F11" s="44">
        <f t="shared" si="1"/>
        <v>1400.0000000000002</v>
      </c>
      <c r="G11" s="44">
        <f t="shared" si="2"/>
        <v>3000</v>
      </c>
      <c r="H11" s="45">
        <f t="shared" si="3"/>
        <v>14400</v>
      </c>
      <c r="I11" s="46">
        <f t="shared" si="4"/>
        <v>2000</v>
      </c>
      <c r="J11" s="47">
        <f t="shared" si="5"/>
        <v>12400</v>
      </c>
      <c r="K11" t="str">
        <f t="shared" si="6"/>
        <v>MD</v>
      </c>
      <c r="L11" t="str">
        <f t="shared" si="7"/>
        <v>ED</v>
      </c>
      <c r="M11" t="str">
        <f t="shared" si="8"/>
        <v>md</v>
      </c>
      <c r="N11">
        <v>7</v>
      </c>
      <c r="O11" t="str">
        <f t="shared" si="9"/>
        <v>ed</v>
      </c>
      <c r="P11" t="str">
        <f t="shared" si="13"/>
        <v>MD</v>
      </c>
      <c r="Q11" t="str">
        <f t="shared" si="10"/>
        <v>ED</v>
      </c>
      <c r="R11">
        <v>59</v>
      </c>
      <c r="S11" t="str">
        <f t="shared" si="11"/>
        <v>JEE59 EDMD</v>
      </c>
      <c r="U11" t="str">
        <f t="shared" si="12"/>
        <v>MD</v>
      </c>
      <c r="X11">
        <f>SUMIFS(data!E:E,data!G:G,'Salary Sheet &amp;  formula'!V11,data!I:I,'Salary Sheet &amp;  formula'!W11)</f>
        <v>0</v>
      </c>
    </row>
    <row r="12" spans="2:32" x14ac:dyDescent="0.25">
      <c r="B12" s="41">
        <v>8</v>
      </c>
      <c r="C12" s="42" t="s">
        <v>6</v>
      </c>
      <c r="D12" s="43">
        <v>10000</v>
      </c>
      <c r="E12" s="44">
        <f t="shared" si="0"/>
        <v>5000</v>
      </c>
      <c r="F12" s="44">
        <f t="shared" si="1"/>
        <v>700.00000000000011</v>
      </c>
      <c r="G12" s="44">
        <f t="shared" si="2"/>
        <v>1500</v>
      </c>
      <c r="H12" s="45">
        <f t="shared" si="3"/>
        <v>7200</v>
      </c>
      <c r="I12" s="46">
        <f t="shared" si="4"/>
        <v>1000</v>
      </c>
      <c r="J12" s="47">
        <f t="shared" si="5"/>
        <v>6200</v>
      </c>
      <c r="K12" t="str">
        <f t="shared" si="6"/>
        <v>MD</v>
      </c>
      <c r="L12" t="str">
        <f t="shared" si="7"/>
        <v>LA</v>
      </c>
      <c r="M12" t="str">
        <f t="shared" si="8"/>
        <v>md</v>
      </c>
      <c r="N12">
        <v>8</v>
      </c>
      <c r="O12" t="str">
        <f t="shared" si="9"/>
        <v>la</v>
      </c>
      <c r="P12" t="str">
        <f t="shared" si="13"/>
        <v>MD</v>
      </c>
      <c r="Q12" t="str">
        <f t="shared" si="10"/>
        <v>LA</v>
      </c>
      <c r="R12">
        <v>59</v>
      </c>
      <c r="S12" t="str">
        <f t="shared" si="11"/>
        <v>JEE59 LAMD</v>
      </c>
      <c r="U12" t="str">
        <f t="shared" si="12"/>
        <v>MD</v>
      </c>
      <c r="X12">
        <f>SUMIFS(data!E:E,data!G:G,'Salary Sheet &amp;  formula'!V12,data!I:I,'Salary Sheet &amp;  formula'!W12)</f>
        <v>0</v>
      </c>
    </row>
    <row r="13" spans="2:32" x14ac:dyDescent="0.25">
      <c r="B13" s="41">
        <v>9</v>
      </c>
      <c r="C13" s="42" t="s">
        <v>24</v>
      </c>
      <c r="D13" s="43">
        <v>70000</v>
      </c>
      <c r="E13" s="44">
        <f t="shared" si="0"/>
        <v>35000</v>
      </c>
      <c r="F13" s="44">
        <f t="shared" si="1"/>
        <v>4900.0000000000009</v>
      </c>
      <c r="G13" s="44">
        <f t="shared" si="2"/>
        <v>10500</v>
      </c>
      <c r="H13" s="45">
        <f t="shared" si="3"/>
        <v>50400</v>
      </c>
      <c r="I13" s="46">
        <f t="shared" si="4"/>
        <v>7000</v>
      </c>
      <c r="J13" s="47">
        <f t="shared" si="5"/>
        <v>43400</v>
      </c>
      <c r="K13" t="str">
        <f t="shared" si="6"/>
        <v>Md</v>
      </c>
      <c r="L13" t="str">
        <f t="shared" si="7"/>
        <v>am</v>
      </c>
      <c r="M13" t="str">
        <f t="shared" si="8"/>
        <v>md</v>
      </c>
      <c r="N13">
        <v>9</v>
      </c>
      <c r="O13" t="str">
        <f t="shared" si="9"/>
        <v>am</v>
      </c>
      <c r="P13" t="str">
        <f t="shared" si="13"/>
        <v>MD</v>
      </c>
      <c r="Q13" t="str">
        <f t="shared" si="10"/>
        <v>AM</v>
      </c>
      <c r="R13">
        <v>59</v>
      </c>
      <c r="S13" t="str">
        <f t="shared" si="11"/>
        <v>JEE59 AMMD</v>
      </c>
      <c r="U13" t="str">
        <f t="shared" si="12"/>
        <v>MD</v>
      </c>
      <c r="X13">
        <f>SUMIFS(data!E:E,data!G:G,'Salary Sheet &amp;  formula'!V13,data!I:I,'Salary Sheet &amp;  formula'!W13)</f>
        <v>0</v>
      </c>
    </row>
    <row r="14" spans="2:32" x14ac:dyDescent="0.25">
      <c r="B14" s="41">
        <v>10</v>
      </c>
      <c r="C14" s="42" t="s">
        <v>18</v>
      </c>
      <c r="D14" s="43">
        <v>50000</v>
      </c>
      <c r="E14" s="44">
        <f t="shared" si="0"/>
        <v>25000</v>
      </c>
      <c r="F14" s="44">
        <f t="shared" si="1"/>
        <v>3500.0000000000005</v>
      </c>
      <c r="G14" s="44">
        <f t="shared" si="2"/>
        <v>7500</v>
      </c>
      <c r="H14" s="45">
        <f t="shared" si="3"/>
        <v>36000</v>
      </c>
      <c r="I14" s="46">
        <f t="shared" si="4"/>
        <v>5000</v>
      </c>
      <c r="J14" s="47">
        <f t="shared" si="5"/>
        <v>31000</v>
      </c>
      <c r="K14" t="str">
        <f t="shared" si="6"/>
        <v>Md</v>
      </c>
      <c r="L14" t="str">
        <f t="shared" si="7"/>
        <v>in</v>
      </c>
      <c r="M14" t="str">
        <f t="shared" si="8"/>
        <v>md</v>
      </c>
      <c r="N14">
        <v>1</v>
      </c>
      <c r="O14" t="str">
        <f t="shared" si="9"/>
        <v>in</v>
      </c>
      <c r="P14" t="str">
        <f t="shared" si="13"/>
        <v>MD</v>
      </c>
      <c r="Q14" t="str">
        <f t="shared" si="10"/>
        <v>IN</v>
      </c>
      <c r="R14">
        <v>59</v>
      </c>
      <c r="S14" t="str">
        <f t="shared" si="11"/>
        <v>JEE59 INMD</v>
      </c>
      <c r="U14" t="str">
        <f t="shared" si="12"/>
        <v>MD</v>
      </c>
      <c r="X14">
        <f>SUMIFS(data!E:E,data!G:G,'Salary Sheet &amp;  formula'!V14,data!I:I,'Salary Sheet &amp;  formula'!W14)</f>
        <v>0</v>
      </c>
    </row>
    <row r="15" spans="2:32" x14ac:dyDescent="0.25">
      <c r="B15" s="41">
        <v>11</v>
      </c>
      <c r="C15" s="42" t="s">
        <v>15</v>
      </c>
      <c r="D15" s="43">
        <v>40000</v>
      </c>
      <c r="E15" s="44">
        <f t="shared" si="0"/>
        <v>20000</v>
      </c>
      <c r="F15" s="44">
        <f t="shared" si="1"/>
        <v>2800.0000000000005</v>
      </c>
      <c r="G15" s="44">
        <f t="shared" si="2"/>
        <v>6000</v>
      </c>
      <c r="H15" s="45">
        <f t="shared" si="3"/>
        <v>28800</v>
      </c>
      <c r="I15" s="46">
        <f t="shared" si="4"/>
        <v>4000</v>
      </c>
      <c r="J15" s="47">
        <f t="shared" si="5"/>
        <v>24800</v>
      </c>
      <c r="K15" t="str">
        <f t="shared" si="6"/>
        <v>Mo</v>
      </c>
      <c r="L15" t="str">
        <f t="shared" si="7"/>
        <v>id</v>
      </c>
      <c r="M15" t="str">
        <f t="shared" si="8"/>
        <v>mo</v>
      </c>
      <c r="N15">
        <v>11</v>
      </c>
      <c r="O15" t="str">
        <f t="shared" si="9"/>
        <v>id</v>
      </c>
      <c r="P15" t="str">
        <f t="shared" si="13"/>
        <v>MO</v>
      </c>
      <c r="Q15" t="str">
        <f t="shared" si="10"/>
        <v>ID</v>
      </c>
      <c r="R15">
        <v>59</v>
      </c>
      <c r="S15" t="str">
        <f t="shared" si="11"/>
        <v>JEE59 IDMO</v>
      </c>
      <c r="U15" t="str">
        <f t="shared" si="12"/>
        <v>MO</v>
      </c>
      <c r="X15">
        <f>SUMIFS(data!E:E,data!G:G,'Salary Sheet &amp;  formula'!V15,data!I:I,'Salary Sheet &amp;  formula'!W15)</f>
        <v>0</v>
      </c>
    </row>
    <row r="16" spans="2:32" x14ac:dyDescent="0.25">
      <c r="B16" s="41">
        <v>12</v>
      </c>
      <c r="C16" s="42" t="s">
        <v>43</v>
      </c>
      <c r="D16" s="43">
        <v>70000</v>
      </c>
      <c r="E16" s="44">
        <f t="shared" si="0"/>
        <v>35000</v>
      </c>
      <c r="F16" s="44">
        <f t="shared" si="1"/>
        <v>4900.0000000000009</v>
      </c>
      <c r="G16" s="44">
        <f t="shared" si="2"/>
        <v>10500</v>
      </c>
      <c r="H16" s="45">
        <f t="shared" si="3"/>
        <v>50400</v>
      </c>
      <c r="I16" s="46">
        <f t="shared" si="4"/>
        <v>7000</v>
      </c>
      <c r="J16" s="47">
        <f t="shared" si="5"/>
        <v>43400</v>
      </c>
      <c r="K16" t="str">
        <f t="shared" si="6"/>
        <v>NA</v>
      </c>
      <c r="L16" t="str">
        <f t="shared" si="7"/>
        <v>AM</v>
      </c>
      <c r="M16" t="str">
        <f t="shared" si="8"/>
        <v>na</v>
      </c>
      <c r="N16">
        <v>12</v>
      </c>
      <c r="O16" t="str">
        <f t="shared" si="9"/>
        <v>am</v>
      </c>
      <c r="P16" t="str">
        <f t="shared" si="13"/>
        <v>NA</v>
      </c>
      <c r="Q16" t="str">
        <f t="shared" si="10"/>
        <v>AM</v>
      </c>
      <c r="R16">
        <v>59</v>
      </c>
      <c r="S16" t="str">
        <f t="shared" si="11"/>
        <v>JEE59 AMNA</v>
      </c>
      <c r="U16" t="str">
        <f t="shared" si="12"/>
        <v>NA</v>
      </c>
      <c r="X16">
        <f>SUMIFS(data!E:E,data!G:G,'Salary Sheet &amp;  formula'!V16,data!I:I,'Salary Sheet &amp;  formula'!W16)</f>
        <v>0</v>
      </c>
    </row>
    <row r="17" spans="2:24" x14ac:dyDescent="0.25">
      <c r="B17" s="41">
        <v>13</v>
      </c>
      <c r="C17" s="42" t="s">
        <v>35</v>
      </c>
      <c r="D17" s="43">
        <v>30000</v>
      </c>
      <c r="E17" s="44">
        <f t="shared" si="0"/>
        <v>15000</v>
      </c>
      <c r="F17" s="44">
        <f t="shared" si="1"/>
        <v>2100</v>
      </c>
      <c r="G17" s="44">
        <f t="shared" si="2"/>
        <v>4500</v>
      </c>
      <c r="H17" s="45">
        <f t="shared" si="3"/>
        <v>21600</v>
      </c>
      <c r="I17" s="46">
        <f t="shared" si="4"/>
        <v>3000</v>
      </c>
      <c r="J17" s="47">
        <f t="shared" si="5"/>
        <v>18600</v>
      </c>
      <c r="K17" t="str">
        <f t="shared" si="6"/>
        <v>Nu</v>
      </c>
      <c r="L17" t="str">
        <f t="shared" si="7"/>
        <v>an</v>
      </c>
      <c r="M17" t="str">
        <f t="shared" si="8"/>
        <v>nu</v>
      </c>
      <c r="N17">
        <v>13</v>
      </c>
      <c r="O17" t="str">
        <f t="shared" si="9"/>
        <v>an</v>
      </c>
      <c r="P17" t="str">
        <f t="shared" si="13"/>
        <v>NU</v>
      </c>
      <c r="Q17" t="str">
        <f t="shared" si="10"/>
        <v>AN</v>
      </c>
      <c r="R17">
        <v>59</v>
      </c>
      <c r="S17" t="str">
        <f t="shared" si="11"/>
        <v>JEE59 ANNU</v>
      </c>
      <c r="U17" t="str">
        <f t="shared" si="12"/>
        <v>NU</v>
      </c>
      <c r="X17">
        <f>SUMIFS(data!E:E,data!G:G,'Salary Sheet &amp;  formula'!V17,data!I:I,'Salary Sheet &amp;  formula'!W17)</f>
        <v>0</v>
      </c>
    </row>
    <row r="18" spans="2:24" x14ac:dyDescent="0.25">
      <c r="B18" s="41">
        <v>14</v>
      </c>
      <c r="C18" s="42" t="s">
        <v>29</v>
      </c>
      <c r="D18" s="43">
        <v>10000</v>
      </c>
      <c r="E18" s="44">
        <f t="shared" si="0"/>
        <v>5000</v>
      </c>
      <c r="F18" s="44">
        <f t="shared" si="1"/>
        <v>700.00000000000011</v>
      </c>
      <c r="G18" s="44">
        <f t="shared" si="2"/>
        <v>1500</v>
      </c>
      <c r="H18" s="45">
        <f t="shared" si="3"/>
        <v>7200</v>
      </c>
      <c r="I18" s="46">
        <f t="shared" si="4"/>
        <v>1000</v>
      </c>
      <c r="J18" s="47">
        <f t="shared" si="5"/>
        <v>6200</v>
      </c>
      <c r="K18" t="str">
        <f t="shared" si="6"/>
        <v>Sh</v>
      </c>
      <c r="L18" t="str">
        <f t="shared" si="7"/>
        <v>ed</v>
      </c>
      <c r="M18" t="str">
        <f t="shared" si="8"/>
        <v>sh</v>
      </c>
      <c r="N18">
        <v>14</v>
      </c>
      <c r="O18" t="str">
        <f t="shared" si="9"/>
        <v>ed</v>
      </c>
      <c r="P18" t="str">
        <f t="shared" si="13"/>
        <v>SH</v>
      </c>
      <c r="Q18" t="str">
        <f t="shared" si="10"/>
        <v>ED</v>
      </c>
      <c r="R18">
        <v>59</v>
      </c>
      <c r="S18" t="str">
        <f t="shared" si="11"/>
        <v>JEE59 EDSH</v>
      </c>
      <c r="U18" t="str">
        <f t="shared" si="12"/>
        <v>SH</v>
      </c>
      <c r="X18">
        <f>SUMIFS(data!E:E,data!G:G,'Salary Sheet &amp;  formula'!V18,data!I:I,'Salary Sheet &amp;  formula'!W18)</f>
        <v>0</v>
      </c>
    </row>
    <row r="19" spans="2:24" x14ac:dyDescent="0.25">
      <c r="B19" s="41">
        <v>15</v>
      </c>
      <c r="C19" s="42" t="s">
        <v>21</v>
      </c>
      <c r="D19" s="43">
        <v>60000</v>
      </c>
      <c r="E19" s="44">
        <f t="shared" si="0"/>
        <v>30000</v>
      </c>
      <c r="F19" s="44">
        <f t="shared" si="1"/>
        <v>4200</v>
      </c>
      <c r="G19" s="44">
        <f t="shared" si="2"/>
        <v>9000</v>
      </c>
      <c r="H19" s="45">
        <f t="shared" si="3"/>
        <v>43200</v>
      </c>
      <c r="I19" s="46">
        <f t="shared" si="4"/>
        <v>6000</v>
      </c>
      <c r="J19" s="47">
        <f t="shared" si="5"/>
        <v>37200</v>
      </c>
      <c r="K19" t="str">
        <f t="shared" si="6"/>
        <v>Sh</v>
      </c>
      <c r="L19" t="str">
        <f t="shared" si="7"/>
        <v>in</v>
      </c>
      <c r="M19" t="str">
        <f t="shared" si="8"/>
        <v>sh</v>
      </c>
      <c r="N19">
        <v>15</v>
      </c>
      <c r="O19" t="str">
        <f t="shared" si="9"/>
        <v>in</v>
      </c>
      <c r="P19" t="str">
        <f t="shared" si="13"/>
        <v>SH</v>
      </c>
      <c r="Q19" t="str">
        <f t="shared" si="10"/>
        <v>IN</v>
      </c>
      <c r="R19">
        <v>59</v>
      </c>
      <c r="S19" t="str">
        <f t="shared" si="11"/>
        <v>JEE59 INSH</v>
      </c>
      <c r="U19" t="str">
        <f t="shared" si="12"/>
        <v>SH</v>
      </c>
      <c r="X19">
        <f>SUMIFS(data!E:E,data!G:G,'Salary Sheet &amp;  formula'!V19,data!I:I,'Salary Sheet &amp;  formula'!W19)</f>
        <v>0</v>
      </c>
    </row>
    <row r="20" spans="2:24" ht="15.75" thickBot="1" x14ac:dyDescent="0.3">
      <c r="B20" s="48" t="s">
        <v>46</v>
      </c>
      <c r="C20" s="49">
        <f>COUNTA(C5:C19)</f>
        <v>15</v>
      </c>
      <c r="D20" s="49">
        <f t="shared" ref="D20:J20" si="14">SUM(D5:D19)</f>
        <v>640000</v>
      </c>
      <c r="E20" s="49">
        <f t="shared" si="14"/>
        <v>320000</v>
      </c>
      <c r="F20" s="49">
        <f t="shared" si="14"/>
        <v>44800</v>
      </c>
      <c r="G20" s="49">
        <f t="shared" si="14"/>
        <v>96000</v>
      </c>
      <c r="H20" s="49">
        <f t="shared" si="14"/>
        <v>460800</v>
      </c>
      <c r="I20" s="49">
        <f t="shared" si="14"/>
        <v>64000</v>
      </c>
      <c r="J20" s="50">
        <f t="shared" si="14"/>
        <v>396800</v>
      </c>
    </row>
    <row r="22" spans="2:24" x14ac:dyDescent="0.25">
      <c r="C22" s="71" t="s">
        <v>1178</v>
      </c>
      <c r="D22">
        <f t="shared" ref="D22:J22" si="15">MIN(D5:D19)</f>
        <v>10000</v>
      </c>
      <c r="E22">
        <f t="shared" si="15"/>
        <v>5000</v>
      </c>
      <c r="F22">
        <f t="shared" si="15"/>
        <v>700.00000000000011</v>
      </c>
      <c r="G22">
        <f t="shared" si="15"/>
        <v>1500</v>
      </c>
      <c r="H22">
        <f t="shared" si="15"/>
        <v>7200</v>
      </c>
      <c r="I22">
        <f t="shared" si="15"/>
        <v>1000</v>
      </c>
      <c r="J22">
        <f t="shared" si="15"/>
        <v>6200</v>
      </c>
    </row>
    <row r="23" spans="2:24" x14ac:dyDescent="0.25">
      <c r="C23" s="71" t="s">
        <v>1179</v>
      </c>
      <c r="D23">
        <f t="shared" ref="D23:J23" si="16">MAX(D5:D19)</f>
        <v>80000</v>
      </c>
      <c r="E23">
        <f t="shared" si="16"/>
        <v>40000</v>
      </c>
      <c r="F23">
        <f t="shared" si="16"/>
        <v>5600.0000000000009</v>
      </c>
      <c r="G23">
        <f t="shared" si="16"/>
        <v>12000</v>
      </c>
      <c r="H23">
        <f t="shared" si="16"/>
        <v>57600</v>
      </c>
      <c r="I23">
        <f t="shared" si="16"/>
        <v>8000</v>
      </c>
      <c r="J23">
        <f t="shared" si="16"/>
        <v>49600</v>
      </c>
    </row>
    <row r="24" spans="2:24" x14ac:dyDescent="0.25">
      <c r="C24" s="71" t="s">
        <v>1180</v>
      </c>
      <c r="D24">
        <f t="shared" ref="D24:J24" si="17">AVERAGE(D5:D19)</f>
        <v>42666.666666666664</v>
      </c>
      <c r="E24">
        <f t="shared" si="17"/>
        <v>21333.333333333332</v>
      </c>
      <c r="F24">
        <f t="shared" si="17"/>
        <v>2986.6666666666665</v>
      </c>
      <c r="G24">
        <f t="shared" si="17"/>
        <v>6400</v>
      </c>
      <c r="H24">
        <f t="shared" si="17"/>
        <v>30720</v>
      </c>
      <c r="I24">
        <f t="shared" si="17"/>
        <v>4266.666666666667</v>
      </c>
      <c r="J24">
        <f t="shared" si="17"/>
        <v>26453.333333333332</v>
      </c>
    </row>
    <row r="25" spans="2:24" x14ac:dyDescent="0.25">
      <c r="C25" s="71" t="s">
        <v>46</v>
      </c>
      <c r="D25">
        <f t="shared" ref="D25:J25" si="18">SUM(D5:D19)</f>
        <v>640000</v>
      </c>
      <c r="E25">
        <f t="shared" si="18"/>
        <v>320000</v>
      </c>
      <c r="F25">
        <f t="shared" si="18"/>
        <v>44800</v>
      </c>
      <c r="G25">
        <f t="shared" si="18"/>
        <v>96000</v>
      </c>
      <c r="H25">
        <f t="shared" si="18"/>
        <v>460800</v>
      </c>
      <c r="I25">
        <f t="shared" si="18"/>
        <v>64000</v>
      </c>
      <c r="J25">
        <f t="shared" si="18"/>
        <v>396800</v>
      </c>
    </row>
    <row r="26" spans="2:24" x14ac:dyDescent="0.25">
      <c r="C26" s="71" t="s">
        <v>1181</v>
      </c>
      <c r="D26">
        <f t="shared" ref="D26:J26" si="19">COUNTA(D5:D19)</f>
        <v>15</v>
      </c>
      <c r="E26">
        <f t="shared" si="19"/>
        <v>15</v>
      </c>
      <c r="F26">
        <f t="shared" si="19"/>
        <v>15</v>
      </c>
      <c r="G26">
        <f t="shared" si="19"/>
        <v>15</v>
      </c>
      <c r="H26">
        <f t="shared" si="19"/>
        <v>15</v>
      </c>
      <c r="I26">
        <f t="shared" si="19"/>
        <v>15</v>
      </c>
      <c r="J26">
        <f t="shared" si="19"/>
        <v>15</v>
      </c>
    </row>
    <row r="27" spans="2:24" x14ac:dyDescent="0.25">
      <c r="C27" s="71" t="s">
        <v>1182</v>
      </c>
      <c r="D27">
        <f t="shared" ref="D27:J27" si="20">COUNT(D5:D19)</f>
        <v>15</v>
      </c>
      <c r="E27">
        <f t="shared" si="20"/>
        <v>15</v>
      </c>
      <c r="F27">
        <f t="shared" si="20"/>
        <v>15</v>
      </c>
      <c r="G27">
        <f t="shared" si="20"/>
        <v>15</v>
      </c>
      <c r="H27">
        <f t="shared" si="20"/>
        <v>15</v>
      </c>
      <c r="I27">
        <f t="shared" si="20"/>
        <v>15</v>
      </c>
      <c r="J27">
        <f t="shared" si="20"/>
        <v>15</v>
      </c>
    </row>
    <row r="28" spans="2:24" x14ac:dyDescent="0.25">
      <c r="C28" s="71" t="s">
        <v>1183</v>
      </c>
      <c r="D28">
        <f t="shared" ref="D28:J28" si="21">COUNTBLANK(D5:D19)</f>
        <v>0</v>
      </c>
      <c r="E28">
        <f t="shared" si="21"/>
        <v>0</v>
      </c>
      <c r="F28">
        <f t="shared" si="21"/>
        <v>0</v>
      </c>
      <c r="G28">
        <f t="shared" si="21"/>
        <v>0</v>
      </c>
      <c r="H28">
        <f t="shared" si="21"/>
        <v>0</v>
      </c>
      <c r="I28">
        <f t="shared" si="21"/>
        <v>0</v>
      </c>
      <c r="J28">
        <f t="shared" si="21"/>
        <v>0</v>
      </c>
    </row>
  </sheetData>
  <mergeCells count="4">
    <mergeCell ref="B2:J2"/>
    <mergeCell ref="B3:D3"/>
    <mergeCell ref="V4:X4"/>
    <mergeCell ref="Z4:AF4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data!$N$9:$N$10</xm:f>
          </x14:formula1>
          <xm:sqref>V6:V19</xm:sqref>
        </x14:dataValidation>
        <x14:dataValidation type="list" allowBlank="1" showInputMessage="1" showErrorMessage="1">
          <x14:formula1>
            <xm:f>data!$O$9:$O$12</xm:f>
          </x14:formula1>
          <xm:sqref>W6:W19</xm:sqref>
        </x14:dataValidation>
        <x14:dataValidation type="list" allowBlank="1" showInputMessage="1" showErrorMessage="1">
          <x14:formula1>
            <xm:f>list!$B$5:$B$9</xm:f>
          </x14:formula1>
          <xm:sqref>Z6</xm:sqref>
        </x14:dataValidation>
        <x14:dataValidation type="list" allowBlank="1" showInputMessage="1" showErrorMessage="1">
          <x14:formula1>
            <xm:f>list!$C$5:$C$9</xm:f>
          </x14:formula1>
          <xm:sqref>AA6</xm:sqref>
        </x14:dataValidation>
        <x14:dataValidation type="list" allowBlank="1" showInputMessage="1" showErrorMessage="1">
          <x14:formula1>
            <xm:f>list!$D$5:$D$9</xm:f>
          </x14:formula1>
          <xm:sqref>AB6</xm:sqref>
        </x14:dataValidation>
        <x14:dataValidation type="list" allowBlank="1" showInputMessage="1" showErrorMessage="1">
          <x14:formula1>
            <xm:f>list!$E$5:$E$9</xm:f>
          </x14:formula1>
          <xm:sqref>AC6</xm:sqref>
        </x14:dataValidation>
        <x14:dataValidation type="list" allowBlank="1" showInputMessage="1" showErrorMessage="1">
          <x14:formula1>
            <xm:f>list!$F$5:$F$7</xm:f>
          </x14:formula1>
          <xm:sqref>AD6</xm:sqref>
        </x14:dataValidation>
        <x14:dataValidation type="list" allowBlank="1" showInputMessage="1" showErrorMessage="1">
          <x14:formula1>
            <xm:f>list!$G$5:$G$7</xm:f>
          </x14:formula1>
          <xm:sqref>AE6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B1:L46"/>
  <sheetViews>
    <sheetView view="pageBreakPreview" zoomScale="80" zoomScaleNormal="100" zoomScaleSheetLayoutView="80" workbookViewId="0">
      <pane ySplit="2" topLeftCell="A33" activePane="bottomLeft" state="frozen"/>
      <selection pane="bottomLeft" activeCell="F42" sqref="F42"/>
    </sheetView>
  </sheetViews>
  <sheetFormatPr defaultRowHeight="15" x14ac:dyDescent="0.25"/>
  <cols>
    <col min="1" max="1" width="41.7109375" style="14" customWidth="1"/>
    <col min="2" max="2" width="6.85546875" style="16" customWidth="1"/>
    <col min="3" max="3" width="12.140625" style="16" customWidth="1"/>
    <col min="4" max="4" width="24.85546875" style="16" bestFit="1" customWidth="1"/>
    <col min="5" max="5" width="11.140625" style="16" customWidth="1"/>
    <col min="6" max="6" width="18.7109375" style="16" customWidth="1"/>
    <col min="7" max="7" width="30.5703125" style="16" bestFit="1" customWidth="1"/>
    <col min="8" max="8" width="12.140625" style="16" bestFit="1" customWidth="1"/>
    <col min="9" max="9" width="9.140625" style="21" customWidth="1"/>
    <col min="10" max="10" width="12.140625" style="16" bestFit="1" customWidth="1"/>
    <col min="11" max="11" width="11" style="16" customWidth="1"/>
    <col min="12" max="12" width="9.140625" style="16" customWidth="1"/>
    <col min="13" max="16384" width="9.140625" style="14"/>
  </cols>
  <sheetData>
    <row r="1" spans="2:12" ht="26.25" x14ac:dyDescent="0.4">
      <c r="B1" s="80" t="s">
        <v>4</v>
      </c>
      <c r="C1" s="81"/>
      <c r="D1" s="81"/>
      <c r="E1" s="81"/>
      <c r="F1" s="81"/>
      <c r="G1" s="81"/>
      <c r="H1" s="81"/>
      <c r="I1" s="81"/>
      <c r="J1" s="81"/>
      <c r="K1" s="81"/>
      <c r="L1" s="82"/>
    </row>
    <row r="2" spans="2:12" ht="18.75" x14ac:dyDescent="0.25">
      <c r="B2" s="1" t="s">
        <v>45</v>
      </c>
      <c r="C2" s="2" t="s">
        <v>0</v>
      </c>
      <c r="D2" s="2" t="s">
        <v>1</v>
      </c>
      <c r="E2" s="2" t="s">
        <v>5</v>
      </c>
      <c r="F2" s="2" t="s">
        <v>2</v>
      </c>
      <c r="G2" s="8" t="s">
        <v>3</v>
      </c>
      <c r="H2" s="8" t="s">
        <v>62</v>
      </c>
      <c r="I2" s="20" t="s">
        <v>63</v>
      </c>
      <c r="J2" s="8" t="s">
        <v>46</v>
      </c>
      <c r="K2" s="8"/>
      <c r="L2" s="8"/>
    </row>
    <row r="3" spans="2:12" s="15" customFormat="1" ht="27.75" customHeight="1" x14ac:dyDescent="0.25">
      <c r="B3" s="9">
        <v>1</v>
      </c>
      <c r="C3" s="3">
        <v>1281148</v>
      </c>
      <c r="D3" s="4" t="s">
        <v>6</v>
      </c>
      <c r="E3" s="5" t="s">
        <v>7</v>
      </c>
      <c r="F3" s="6" t="s">
        <v>47</v>
      </c>
      <c r="G3" s="10" t="s">
        <v>8</v>
      </c>
      <c r="H3" s="18">
        <v>10000</v>
      </c>
      <c r="I3" s="19">
        <v>0.5</v>
      </c>
      <c r="J3" s="18">
        <f>H3*I3</f>
        <v>5000</v>
      </c>
      <c r="K3" s="18"/>
      <c r="L3" s="23">
        <v>0.68888888888888899</v>
      </c>
    </row>
    <row r="4" spans="2:12" s="15" customFormat="1" ht="27.75" customHeight="1" x14ac:dyDescent="0.25">
      <c r="B4" s="9">
        <v>2</v>
      </c>
      <c r="C4" s="3">
        <v>1281250</v>
      </c>
      <c r="D4" s="4" t="s">
        <v>9</v>
      </c>
      <c r="E4" s="5" t="s">
        <v>10</v>
      </c>
      <c r="F4" s="6" t="s">
        <v>48</v>
      </c>
      <c r="G4" s="10" t="s">
        <v>11</v>
      </c>
      <c r="H4" s="18">
        <v>20000</v>
      </c>
      <c r="I4" s="19">
        <v>0.6</v>
      </c>
      <c r="J4" s="18">
        <f t="shared" ref="J4:J17" si="0">H4*I4</f>
        <v>12000</v>
      </c>
      <c r="K4" s="18"/>
      <c r="L4" s="10"/>
    </row>
    <row r="5" spans="2:12" s="15" customFormat="1" ht="27.75" customHeight="1" x14ac:dyDescent="0.25">
      <c r="B5" s="9">
        <v>3</v>
      </c>
      <c r="C5" s="3">
        <v>1281305</v>
      </c>
      <c r="D5" s="4" t="s">
        <v>12</v>
      </c>
      <c r="E5" s="5" t="s">
        <v>13</v>
      </c>
      <c r="F5" s="6" t="s">
        <v>49</v>
      </c>
      <c r="G5" s="10" t="s">
        <v>14</v>
      </c>
      <c r="H5" s="18">
        <v>30000</v>
      </c>
      <c r="I5" s="19">
        <v>0.05</v>
      </c>
      <c r="J5" s="18">
        <f t="shared" si="0"/>
        <v>1500</v>
      </c>
      <c r="K5" s="18"/>
      <c r="L5" s="10"/>
    </row>
    <row r="6" spans="2:12" s="15" customFormat="1" ht="27.75" customHeight="1" x14ac:dyDescent="0.25">
      <c r="B6" s="9">
        <v>4</v>
      </c>
      <c r="C6" s="3">
        <v>1281332</v>
      </c>
      <c r="D6" s="4" t="s">
        <v>15</v>
      </c>
      <c r="E6" s="5" t="s">
        <v>16</v>
      </c>
      <c r="F6" s="6" t="s">
        <v>50</v>
      </c>
      <c r="G6" s="10" t="s">
        <v>17</v>
      </c>
      <c r="H6" s="18">
        <v>40000</v>
      </c>
      <c r="I6" s="19">
        <v>0.1</v>
      </c>
      <c r="J6" s="18">
        <f t="shared" si="0"/>
        <v>4000</v>
      </c>
      <c r="K6" s="18"/>
      <c r="L6" s="10"/>
    </row>
    <row r="7" spans="2:12" s="15" customFormat="1" ht="27.75" customHeight="1" x14ac:dyDescent="0.25">
      <c r="B7" s="9">
        <v>5</v>
      </c>
      <c r="C7" s="3">
        <v>1281514</v>
      </c>
      <c r="D7" s="4" t="s">
        <v>18</v>
      </c>
      <c r="E7" s="5" t="s">
        <v>19</v>
      </c>
      <c r="F7" s="6" t="s">
        <v>51</v>
      </c>
      <c r="G7" s="10" t="s">
        <v>20</v>
      </c>
      <c r="H7" s="18">
        <v>50000</v>
      </c>
      <c r="I7" s="19">
        <v>0.2</v>
      </c>
      <c r="J7" s="18">
        <f t="shared" si="0"/>
        <v>10000</v>
      </c>
      <c r="K7" s="18"/>
      <c r="L7" s="10"/>
    </row>
    <row r="8" spans="2:12" s="15" customFormat="1" ht="27.75" customHeight="1" x14ac:dyDescent="0.25">
      <c r="B8" s="9">
        <v>6</v>
      </c>
      <c r="C8" s="3">
        <v>1281521</v>
      </c>
      <c r="D8" s="4" t="s">
        <v>21</v>
      </c>
      <c r="E8" s="5" t="s">
        <v>22</v>
      </c>
      <c r="F8" s="6" t="s">
        <v>52</v>
      </c>
      <c r="G8" s="10" t="s">
        <v>23</v>
      </c>
      <c r="H8" s="18">
        <v>60000</v>
      </c>
      <c r="I8" s="19">
        <v>0.3</v>
      </c>
      <c r="J8" s="18">
        <f t="shared" si="0"/>
        <v>18000</v>
      </c>
      <c r="K8" s="18"/>
      <c r="L8" s="10"/>
    </row>
    <row r="9" spans="2:12" s="15" customFormat="1" ht="27.75" customHeight="1" x14ac:dyDescent="0.25">
      <c r="B9" s="9">
        <v>7</v>
      </c>
      <c r="C9" s="3">
        <v>1281524</v>
      </c>
      <c r="D9" s="4" t="s">
        <v>24</v>
      </c>
      <c r="E9" s="5" t="s">
        <v>25</v>
      </c>
      <c r="F9" s="6" t="s">
        <v>53</v>
      </c>
      <c r="G9" s="10" t="s">
        <v>26</v>
      </c>
      <c r="H9" s="18">
        <v>70000</v>
      </c>
      <c r="I9" s="19">
        <v>0.4</v>
      </c>
      <c r="J9" s="18">
        <f t="shared" si="0"/>
        <v>28000</v>
      </c>
      <c r="K9" s="18"/>
      <c r="L9" s="10"/>
    </row>
    <row r="10" spans="2:12" s="15" customFormat="1" ht="27.75" customHeight="1" x14ac:dyDescent="0.25">
      <c r="B10" s="9">
        <v>8</v>
      </c>
      <c r="C10" s="3">
        <v>1281525</v>
      </c>
      <c r="D10" s="4" t="s">
        <v>27</v>
      </c>
      <c r="E10" s="7">
        <v>35132</v>
      </c>
      <c r="F10" s="6" t="s">
        <v>54</v>
      </c>
      <c r="G10" s="10" t="s">
        <v>28</v>
      </c>
      <c r="H10" s="18">
        <v>80000</v>
      </c>
      <c r="I10" s="19">
        <v>0.5</v>
      </c>
      <c r="J10" s="18">
        <f t="shared" si="0"/>
        <v>40000</v>
      </c>
      <c r="K10" s="18"/>
      <c r="L10" s="10"/>
    </row>
    <row r="11" spans="2:12" s="15" customFormat="1" ht="27.75" customHeight="1" x14ac:dyDescent="0.25">
      <c r="B11" s="9">
        <v>9</v>
      </c>
      <c r="C11" s="3">
        <v>1281539</v>
      </c>
      <c r="D11" s="4" t="s">
        <v>29</v>
      </c>
      <c r="E11" s="5" t="s">
        <v>30</v>
      </c>
      <c r="F11" s="6" t="s">
        <v>55</v>
      </c>
      <c r="G11" s="10" t="s">
        <v>31</v>
      </c>
      <c r="H11" s="18">
        <v>10000</v>
      </c>
      <c r="I11" s="19">
        <v>0.6</v>
      </c>
      <c r="J11" s="18">
        <f t="shared" si="0"/>
        <v>6000</v>
      </c>
      <c r="K11" s="18"/>
      <c r="L11" s="10"/>
    </row>
    <row r="12" spans="2:12" s="15" customFormat="1" ht="27.75" customHeight="1" x14ac:dyDescent="0.25">
      <c r="B12" s="9">
        <v>10</v>
      </c>
      <c r="C12" s="3">
        <v>1281573</v>
      </c>
      <c r="D12" s="4" t="s">
        <v>32</v>
      </c>
      <c r="E12" s="5" t="s">
        <v>33</v>
      </c>
      <c r="F12" s="6" t="s">
        <v>56</v>
      </c>
      <c r="G12" s="10" t="s">
        <v>34</v>
      </c>
      <c r="H12" s="18">
        <v>20000</v>
      </c>
      <c r="I12" s="19">
        <v>0.05</v>
      </c>
      <c r="J12" s="18">
        <f t="shared" si="0"/>
        <v>1000</v>
      </c>
      <c r="K12" s="18"/>
      <c r="L12" s="10"/>
    </row>
    <row r="13" spans="2:12" s="15" customFormat="1" ht="27.75" customHeight="1" x14ac:dyDescent="0.25">
      <c r="B13" s="9">
        <v>11</v>
      </c>
      <c r="C13" s="3">
        <v>1281608</v>
      </c>
      <c r="D13" s="4" t="s">
        <v>35</v>
      </c>
      <c r="E13" s="5" t="s">
        <v>36</v>
      </c>
      <c r="F13" s="6" t="s">
        <v>57</v>
      </c>
      <c r="G13" s="10" t="s">
        <v>37</v>
      </c>
      <c r="H13" s="18">
        <v>30000</v>
      </c>
      <c r="I13" s="19">
        <v>0.02</v>
      </c>
      <c r="J13" s="18">
        <f t="shared" si="0"/>
        <v>600</v>
      </c>
      <c r="K13" s="18"/>
      <c r="L13" s="10"/>
    </row>
    <row r="14" spans="2:12" s="15" customFormat="1" ht="27.75" customHeight="1" x14ac:dyDescent="0.25">
      <c r="B14" s="9">
        <v>12</v>
      </c>
      <c r="C14" s="3">
        <v>1281656</v>
      </c>
      <c r="D14" s="4" t="s">
        <v>38</v>
      </c>
      <c r="E14" s="7">
        <v>36136</v>
      </c>
      <c r="F14" s="6" t="s">
        <v>58</v>
      </c>
      <c r="G14" s="10" t="s">
        <v>39</v>
      </c>
      <c r="H14" s="18">
        <v>40000</v>
      </c>
      <c r="I14" s="19">
        <v>0.3</v>
      </c>
      <c r="J14" s="18">
        <f t="shared" si="0"/>
        <v>12000</v>
      </c>
      <c r="K14" s="18"/>
      <c r="L14" s="10"/>
    </row>
    <row r="15" spans="2:12" s="15" customFormat="1" ht="27.75" customHeight="1" x14ac:dyDescent="0.25">
      <c r="B15" s="9">
        <v>13</v>
      </c>
      <c r="C15" s="3">
        <v>1281661</v>
      </c>
      <c r="D15" s="4" t="s">
        <v>40</v>
      </c>
      <c r="E15" s="7">
        <v>36172</v>
      </c>
      <c r="F15" s="6" t="s">
        <v>59</v>
      </c>
      <c r="G15" s="10" t="s">
        <v>41</v>
      </c>
      <c r="H15" s="18">
        <v>50000</v>
      </c>
      <c r="I15" s="19">
        <v>0.8</v>
      </c>
      <c r="J15" s="18">
        <f t="shared" si="0"/>
        <v>40000</v>
      </c>
      <c r="K15" s="18"/>
      <c r="L15" s="10"/>
    </row>
    <row r="16" spans="2:12" s="15" customFormat="1" ht="27.75" customHeight="1" x14ac:dyDescent="0.25">
      <c r="B16" s="9">
        <v>14</v>
      </c>
      <c r="C16" s="3">
        <v>1281714</v>
      </c>
      <c r="D16" s="4" t="s">
        <v>42</v>
      </c>
      <c r="E16" s="7">
        <v>35796</v>
      </c>
      <c r="F16" s="6" t="s">
        <v>60</v>
      </c>
      <c r="G16" s="17"/>
      <c r="H16" s="18">
        <v>60000</v>
      </c>
      <c r="I16" s="22">
        <v>0.04</v>
      </c>
      <c r="J16" s="18">
        <f t="shared" si="0"/>
        <v>2400</v>
      </c>
      <c r="K16" s="18"/>
      <c r="L16" s="10"/>
    </row>
    <row r="17" spans="2:12" s="15" customFormat="1" ht="27.75" customHeight="1" x14ac:dyDescent="0.25">
      <c r="B17" s="9">
        <v>15</v>
      </c>
      <c r="C17" s="3">
        <v>1281745</v>
      </c>
      <c r="D17" s="4" t="s">
        <v>43</v>
      </c>
      <c r="E17" s="7">
        <v>34760</v>
      </c>
      <c r="F17" s="6" t="s">
        <v>61</v>
      </c>
      <c r="G17" s="10" t="s">
        <v>44</v>
      </c>
      <c r="H17" s="18">
        <v>70000</v>
      </c>
      <c r="I17" s="22">
        <v>0.04</v>
      </c>
      <c r="J17" s="18">
        <f t="shared" si="0"/>
        <v>2800</v>
      </c>
      <c r="K17" s="18"/>
      <c r="L17" s="10"/>
    </row>
    <row r="18" spans="2:12" s="15" customFormat="1" ht="27.75" customHeight="1" thickBot="1" x14ac:dyDescent="0.3">
      <c r="B18" s="11" t="s">
        <v>46</v>
      </c>
      <c r="C18" s="12"/>
      <c r="D18" s="12">
        <f>COUNTA(D3:D17)</f>
        <v>15</v>
      </c>
      <c r="E18" s="12">
        <f t="shared" ref="E18:F18" si="1">COUNTA(E3:E17)</f>
        <v>15</v>
      </c>
      <c r="F18" s="12">
        <f t="shared" si="1"/>
        <v>15</v>
      </c>
      <c r="G18" s="13">
        <f t="shared" ref="G18" si="2">COUNTA(G3:G17)</f>
        <v>14</v>
      </c>
      <c r="H18" s="24">
        <f>SUM(H3:H17)</f>
        <v>640000</v>
      </c>
      <c r="I18" s="24">
        <f t="shared" ref="I18:J18" si="3">SUM(I3:I17)</f>
        <v>4.5</v>
      </c>
      <c r="J18" s="24">
        <f t="shared" si="3"/>
        <v>183300</v>
      </c>
      <c r="K18" s="13"/>
      <c r="L18" s="13"/>
    </row>
    <row r="20" spans="2:12" x14ac:dyDescent="0.25">
      <c r="C20" s="25"/>
      <c r="D20" s="25"/>
      <c r="E20" s="25"/>
      <c r="F20" s="25"/>
      <c r="G20" s="25"/>
      <c r="H20" s="25"/>
      <c r="I20" s="26"/>
      <c r="J20" s="25"/>
      <c r="K20" s="25"/>
    </row>
    <row r="21" spans="2:12" x14ac:dyDescent="0.25">
      <c r="C21" s="25"/>
      <c r="D21" s="25"/>
      <c r="E21" s="25"/>
      <c r="F21" s="25"/>
      <c r="G21" s="25"/>
      <c r="H21" s="25"/>
      <c r="I21" s="26"/>
      <c r="J21" s="25"/>
      <c r="K21" s="25"/>
    </row>
    <row r="22" spans="2:12" x14ac:dyDescent="0.25">
      <c r="C22" s="25"/>
      <c r="D22" s="25"/>
      <c r="E22" s="25"/>
      <c r="F22" s="25"/>
      <c r="G22" s="25"/>
      <c r="H22" s="25"/>
      <c r="I22" s="26"/>
      <c r="J22" s="25"/>
      <c r="K22" s="25"/>
    </row>
    <row r="24" spans="2:12" ht="23.25" x14ac:dyDescent="0.35">
      <c r="C24" s="83" t="s">
        <v>64</v>
      </c>
      <c r="D24" s="84"/>
      <c r="E24" s="84"/>
      <c r="F24" s="84"/>
      <c r="G24" s="84"/>
      <c r="H24" s="84"/>
      <c r="I24" s="84"/>
      <c r="J24" s="84"/>
      <c r="K24" s="85"/>
    </row>
    <row r="25" spans="2:12" ht="23.25" x14ac:dyDescent="0.35">
      <c r="C25" s="30"/>
      <c r="D25" s="30"/>
      <c r="E25" s="30"/>
      <c r="F25" s="30"/>
      <c r="G25" s="30"/>
      <c r="H25" s="30"/>
      <c r="I25" s="30"/>
      <c r="J25" s="30"/>
      <c r="K25" s="30"/>
    </row>
    <row r="26" spans="2:12" ht="23.25" x14ac:dyDescent="0.35">
      <c r="C26" s="30"/>
      <c r="D26" s="30"/>
      <c r="E26" s="30"/>
      <c r="F26" s="30"/>
      <c r="G26" s="30"/>
      <c r="H26" s="30"/>
      <c r="I26" s="30"/>
      <c r="J26" s="30"/>
      <c r="K26" s="30"/>
    </row>
    <row r="27" spans="2:12" ht="23.25" x14ac:dyDescent="0.35">
      <c r="C27" s="30"/>
      <c r="D27" s="30"/>
      <c r="E27" s="30"/>
      <c r="F27" s="30"/>
      <c r="G27" s="30"/>
      <c r="H27" s="30"/>
      <c r="I27" s="30"/>
      <c r="J27" s="30"/>
      <c r="K27" s="30"/>
    </row>
    <row r="28" spans="2:12" ht="23.25" x14ac:dyDescent="0.35">
      <c r="C28" s="30"/>
      <c r="D28" s="30"/>
      <c r="E28" s="30"/>
      <c r="F28" s="30"/>
      <c r="G28" s="30"/>
      <c r="H28" s="30"/>
      <c r="I28" s="30"/>
      <c r="J28" s="30"/>
      <c r="K28" s="30"/>
    </row>
    <row r="29" spans="2:12" ht="23.25" x14ac:dyDescent="0.35">
      <c r="C29" s="30"/>
      <c r="D29" s="30"/>
      <c r="E29" s="30"/>
      <c r="F29" s="30"/>
      <c r="G29" s="30"/>
      <c r="H29" s="30"/>
      <c r="I29" s="30"/>
      <c r="J29" s="30"/>
      <c r="K29" s="30"/>
    </row>
    <row r="30" spans="2:12" ht="23.25" x14ac:dyDescent="0.35">
      <c r="C30" s="30"/>
      <c r="D30" s="30"/>
      <c r="E30" s="30"/>
      <c r="F30" s="30"/>
      <c r="G30" s="30"/>
      <c r="H30" s="30"/>
      <c r="I30" s="30"/>
      <c r="J30" s="30"/>
      <c r="K30" s="30"/>
    </row>
    <row r="31" spans="2:12" ht="23.25" x14ac:dyDescent="0.35">
      <c r="C31" s="30"/>
      <c r="D31" s="30"/>
      <c r="E31" s="30"/>
      <c r="F31" s="30"/>
      <c r="G31" s="30"/>
      <c r="H31" s="30"/>
      <c r="I31" s="30"/>
      <c r="J31" s="30"/>
      <c r="K31" s="30"/>
    </row>
    <row r="32" spans="2:12" ht="23.25" x14ac:dyDescent="0.35">
      <c r="C32" s="30"/>
      <c r="D32" s="30"/>
      <c r="E32" s="30"/>
      <c r="F32" s="30"/>
      <c r="G32" s="30"/>
      <c r="H32" s="30"/>
      <c r="I32" s="30"/>
      <c r="J32" s="30"/>
      <c r="K32" s="30"/>
    </row>
    <row r="33" spans="3:11" ht="23.25" x14ac:dyDescent="0.35">
      <c r="C33" s="30"/>
      <c r="D33" s="30"/>
      <c r="E33" s="30"/>
      <c r="F33" s="30"/>
      <c r="G33" s="30"/>
      <c r="H33" s="30"/>
      <c r="I33" s="30"/>
      <c r="J33" s="30"/>
      <c r="K33" s="30"/>
    </row>
    <row r="34" spans="3:11" ht="23.25" x14ac:dyDescent="0.35">
      <c r="C34" s="30"/>
      <c r="D34" s="30"/>
      <c r="E34" s="30"/>
      <c r="F34" s="30"/>
      <c r="G34" s="30"/>
      <c r="H34" s="30"/>
      <c r="I34" s="30"/>
      <c r="J34" s="30"/>
      <c r="K34" s="30"/>
    </row>
    <row r="35" spans="3:11" ht="23.25" x14ac:dyDescent="0.35">
      <c r="C35" s="27"/>
      <c r="D35" s="28"/>
      <c r="E35" s="28"/>
      <c r="F35" s="28"/>
      <c r="G35" s="28"/>
      <c r="H35" s="28"/>
      <c r="I35" s="28"/>
      <c r="J35" s="28"/>
      <c r="K35" s="29"/>
    </row>
    <row r="36" spans="3:11" x14ac:dyDescent="0.25">
      <c r="C36" s="25"/>
      <c r="D36" s="25"/>
      <c r="E36" s="25"/>
      <c r="F36" s="25"/>
      <c r="G36" s="25"/>
      <c r="H36" s="25"/>
      <c r="I36" s="26"/>
      <c r="J36" s="25"/>
      <c r="K36" s="25"/>
    </row>
    <row r="37" spans="3:11" x14ac:dyDescent="0.25">
      <c r="C37" s="25"/>
      <c r="D37" s="25"/>
      <c r="E37" s="25"/>
      <c r="F37" s="25"/>
      <c r="G37" s="25"/>
      <c r="H37" s="25"/>
      <c r="I37" s="26"/>
      <c r="J37" s="25"/>
      <c r="K37" s="25"/>
    </row>
    <row r="38" spans="3:11" x14ac:dyDescent="0.25">
      <c r="C38" s="25"/>
      <c r="D38" s="25"/>
      <c r="E38" s="25"/>
      <c r="F38" s="25"/>
      <c r="G38" s="25"/>
      <c r="H38" s="25"/>
      <c r="I38" s="26"/>
      <c r="J38" s="25"/>
      <c r="K38" s="25"/>
    </row>
    <row r="39" spans="3:11" x14ac:dyDescent="0.25">
      <c r="C39" s="25" t="s">
        <v>69</v>
      </c>
      <c r="D39" s="25">
        <v>40</v>
      </c>
      <c r="E39" s="25"/>
      <c r="F39" s="25"/>
      <c r="G39" s="25"/>
      <c r="H39" s="25"/>
      <c r="I39" s="26"/>
      <c r="J39" s="25"/>
      <c r="K39" s="25"/>
    </row>
    <row r="40" spans="3:11" x14ac:dyDescent="0.25">
      <c r="C40" s="25" t="s">
        <v>70</v>
      </c>
      <c r="D40" s="25">
        <v>50</v>
      </c>
      <c r="E40" s="25"/>
      <c r="F40" s="25"/>
      <c r="G40" s="25"/>
      <c r="H40" s="25"/>
      <c r="I40" s="26"/>
      <c r="J40" s="25"/>
      <c r="K40" s="25"/>
    </row>
    <row r="41" spans="3:11" x14ac:dyDescent="0.25">
      <c r="C41" s="25" t="s">
        <v>71</v>
      </c>
      <c r="D41" s="25">
        <v>38</v>
      </c>
      <c r="E41" s="25"/>
      <c r="F41" s="25"/>
      <c r="G41" s="25"/>
      <c r="H41" s="25"/>
      <c r="I41" s="26"/>
      <c r="J41" s="25"/>
      <c r="K41" s="25"/>
    </row>
    <row r="42" spans="3:11" x14ac:dyDescent="0.25">
      <c r="C42" s="25"/>
      <c r="D42" s="25"/>
      <c r="E42" s="25"/>
      <c r="F42" s="25"/>
      <c r="G42" s="25"/>
      <c r="H42" s="25"/>
      <c r="I42" s="26"/>
      <c r="J42" s="25"/>
      <c r="K42" s="25"/>
    </row>
    <row r="43" spans="3:11" x14ac:dyDescent="0.25">
      <c r="C43" s="25"/>
      <c r="D43" s="25"/>
      <c r="E43" s="25"/>
      <c r="F43" s="25"/>
      <c r="G43" s="25"/>
      <c r="H43" s="25"/>
      <c r="I43" s="26"/>
      <c r="J43" s="25"/>
      <c r="K43" s="25"/>
    </row>
    <row r="44" spans="3:11" x14ac:dyDescent="0.25">
      <c r="C44" s="25"/>
      <c r="D44" s="25"/>
      <c r="E44" s="25"/>
      <c r="F44" s="25"/>
      <c r="G44" s="25"/>
      <c r="H44" s="25"/>
      <c r="I44" s="26"/>
      <c r="J44" s="25"/>
      <c r="K44" s="25"/>
    </row>
    <row r="45" spans="3:11" x14ac:dyDescent="0.25">
      <c r="C45" s="25"/>
      <c r="D45" s="25"/>
      <c r="E45" s="25"/>
      <c r="F45" s="25"/>
      <c r="G45" s="25"/>
      <c r="H45" s="25"/>
      <c r="I45" s="26"/>
      <c r="J45" s="25"/>
      <c r="K45" s="25"/>
    </row>
    <row r="46" spans="3:11" x14ac:dyDescent="0.25">
      <c r="C46" s="25"/>
      <c r="D46" s="25"/>
      <c r="E46" s="25"/>
      <c r="F46" s="25"/>
      <c r="G46" s="25"/>
      <c r="H46" s="25"/>
      <c r="I46" s="26"/>
      <c r="J46" s="25"/>
      <c r="K46" s="25"/>
    </row>
  </sheetData>
  <mergeCells count="2">
    <mergeCell ref="B1:L1"/>
    <mergeCell ref="C24:K24"/>
  </mergeCells>
  <conditionalFormatting sqref="B3:F15 I16:I17 L3:L17 B16:G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{8574B4CE-8BC9-4A37-B3C3-E4769CB4CE16}</x14:id>
        </ext>
      </extLst>
    </cfRule>
  </conditionalFormatting>
  <conditionalFormatting sqref="B18:L1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{B176F063-E22E-4BFF-AB51-63DACE1A3DD5}</x14:id>
        </ext>
      </extLst>
    </cfRule>
  </conditionalFormatting>
  <conditionalFormatting sqref="G6:I10 G11:G15 I11:I15 G3:H5 J3:K1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{87C2A201-52E3-4863-84B0-CBB3A9834B72}</x14:id>
        </ext>
      </extLst>
    </cfRule>
  </conditionalFormatting>
  <conditionalFormatting sqref="H11:H1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{4F58779B-F555-45E5-8A98-D4AB885D0D15}</x14:id>
        </ext>
      </extLst>
    </cfRule>
  </conditionalFormatting>
  <conditionalFormatting sqref="I3:I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{C5C81C75-8AE6-4D3E-BDF0-AE41B42AE9A4}</x14:id>
        </ext>
      </extLst>
    </cfRule>
  </conditionalFormatting>
  <pageMargins left="0.25" right="0.25" top="0.75" bottom="0.75" header="0.3" footer="0.3"/>
  <pageSetup paperSize="9" scale="62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74B4CE-8BC9-4A37-B3C3-E4769CB4CE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B3:F15 I16:I17 L3:L17 B16:G17</xm:sqref>
        </x14:conditionalFormatting>
        <x14:conditionalFormatting xmlns:xm="http://schemas.microsoft.com/office/excel/2006/main">
          <x14:cfRule type="dataBar" id="{B176F063-E22E-4BFF-AB51-63DACE1A3DD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B18:L18</xm:sqref>
        </x14:conditionalFormatting>
        <x14:conditionalFormatting xmlns:xm="http://schemas.microsoft.com/office/excel/2006/main">
          <x14:cfRule type="dataBar" id="{87C2A201-52E3-4863-84B0-CBB3A9834B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G6:I10 G11:G15 I11:I15 G3:H5 J3:K17</xm:sqref>
        </x14:conditionalFormatting>
        <x14:conditionalFormatting xmlns:xm="http://schemas.microsoft.com/office/excel/2006/main">
          <x14:cfRule type="dataBar" id="{4F58779B-F555-45E5-8A98-D4AB885D0D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H11:H17</xm:sqref>
        </x14:conditionalFormatting>
        <x14:conditionalFormatting xmlns:xm="http://schemas.microsoft.com/office/excel/2006/main">
          <x14:cfRule type="dataBar" id="{C5C81C75-8AE6-4D3E-BDF0-AE41B42AE9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"/>
  <sheetViews>
    <sheetView workbookViewId="0">
      <selection activeCell="E7" sqref="E7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workbookViewId="0">
      <selection activeCell="E16" sqref="E16"/>
    </sheetView>
  </sheetViews>
  <sheetFormatPr defaultRowHeight="15" x14ac:dyDescent="0.25"/>
  <cols>
    <col min="1" max="1" width="24" bestFit="1" customWidth="1"/>
    <col min="2" max="2" width="12.42578125" customWidth="1"/>
    <col min="3" max="3" width="12.85546875" bestFit="1" customWidth="1"/>
  </cols>
  <sheetData>
    <row r="3" spans="1:2" x14ac:dyDescent="0.25">
      <c r="A3" s="32" t="s">
        <v>66</v>
      </c>
      <c r="B3" t="s">
        <v>68</v>
      </c>
    </row>
    <row r="4" spans="1:2" x14ac:dyDescent="0.25">
      <c r="A4" s="33" t="s">
        <v>42</v>
      </c>
      <c r="B4" s="31">
        <v>60000</v>
      </c>
    </row>
    <row r="5" spans="1:2" x14ac:dyDescent="0.25">
      <c r="A5" s="33" t="s">
        <v>12</v>
      </c>
      <c r="B5" s="31">
        <v>30000</v>
      </c>
    </row>
    <row r="6" spans="1:2" x14ac:dyDescent="0.25">
      <c r="A6" s="33" t="s">
        <v>27</v>
      </c>
      <c r="B6" s="31">
        <v>80000</v>
      </c>
    </row>
    <row r="7" spans="1:2" x14ac:dyDescent="0.25">
      <c r="A7" s="33" t="s">
        <v>40</v>
      </c>
      <c r="B7" s="31">
        <v>50000</v>
      </c>
    </row>
    <row r="8" spans="1:2" x14ac:dyDescent="0.25">
      <c r="A8" s="33" t="s">
        <v>32</v>
      </c>
      <c r="B8" s="31">
        <v>20000</v>
      </c>
    </row>
    <row r="9" spans="1:2" x14ac:dyDescent="0.25">
      <c r="A9" s="33" t="s">
        <v>38</v>
      </c>
      <c r="B9" s="31">
        <v>40000</v>
      </c>
    </row>
    <row r="10" spans="1:2" x14ac:dyDescent="0.25">
      <c r="A10" s="33" t="s">
        <v>9</v>
      </c>
      <c r="B10" s="31">
        <v>20000</v>
      </c>
    </row>
    <row r="11" spans="1:2" x14ac:dyDescent="0.25">
      <c r="A11" s="33" t="s">
        <v>6</v>
      </c>
      <c r="B11" s="31">
        <v>10000</v>
      </c>
    </row>
    <row r="12" spans="1:2" x14ac:dyDescent="0.25">
      <c r="A12" s="33" t="s">
        <v>24</v>
      </c>
      <c r="B12" s="31">
        <v>70000</v>
      </c>
    </row>
    <row r="13" spans="1:2" x14ac:dyDescent="0.25">
      <c r="A13" s="33" t="s">
        <v>18</v>
      </c>
      <c r="B13" s="31">
        <v>50000</v>
      </c>
    </row>
    <row r="14" spans="1:2" x14ac:dyDescent="0.25">
      <c r="A14" s="33" t="s">
        <v>15</v>
      </c>
      <c r="B14" s="31">
        <v>40000</v>
      </c>
    </row>
    <row r="15" spans="1:2" x14ac:dyDescent="0.25">
      <c r="A15" s="33" t="s">
        <v>43</v>
      </c>
      <c r="B15" s="31">
        <v>70000</v>
      </c>
    </row>
    <row r="16" spans="1:2" x14ac:dyDescent="0.25">
      <c r="A16" s="33" t="s">
        <v>35</v>
      </c>
      <c r="B16" s="31">
        <v>30000</v>
      </c>
    </row>
    <row r="17" spans="1:2" x14ac:dyDescent="0.25">
      <c r="A17" s="33" t="s">
        <v>29</v>
      </c>
      <c r="B17" s="31">
        <v>10000</v>
      </c>
    </row>
    <row r="18" spans="1:2" x14ac:dyDescent="0.25">
      <c r="A18" s="33" t="s">
        <v>21</v>
      </c>
      <c r="B18" s="31">
        <v>60000</v>
      </c>
    </row>
    <row r="19" spans="1:2" x14ac:dyDescent="0.25">
      <c r="A19" s="33" t="s">
        <v>67</v>
      </c>
      <c r="B19" s="31">
        <v>640000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L17"/>
  <sheetViews>
    <sheetView workbookViewId="0">
      <selection activeCell="H19" sqref="H19"/>
    </sheetView>
  </sheetViews>
  <sheetFormatPr defaultRowHeight="15" x14ac:dyDescent="0.25"/>
  <cols>
    <col min="4" max="4" width="8" style="16" bestFit="1" customWidth="1"/>
    <col min="5" max="5" width="24.85546875" style="16" bestFit="1" customWidth="1"/>
    <col min="6" max="6" width="9.140625" style="16"/>
    <col min="7" max="7" width="9" style="16" bestFit="1" customWidth="1"/>
    <col min="8" max="8" width="29" style="16" bestFit="1" customWidth="1"/>
    <col min="9" max="9" width="10.42578125" style="16" bestFit="1" customWidth="1"/>
    <col min="10" max="10" width="11.5703125" style="16" customWidth="1"/>
    <col min="11" max="11" width="10.42578125" style="16" bestFit="1" customWidth="1"/>
  </cols>
  <sheetData>
    <row r="2" spans="4:12" ht="18.75" x14ac:dyDescent="0.25">
      <c r="D2" s="1" t="s">
        <v>45</v>
      </c>
      <c r="E2" s="2" t="s">
        <v>0</v>
      </c>
      <c r="F2" s="2" t="s">
        <v>1</v>
      </c>
      <c r="G2" s="2" t="s">
        <v>5</v>
      </c>
      <c r="H2" s="2" t="s">
        <v>2</v>
      </c>
      <c r="I2" s="8" t="s">
        <v>3</v>
      </c>
      <c r="J2" s="8" t="s">
        <v>62</v>
      </c>
      <c r="K2" s="20" t="s">
        <v>63</v>
      </c>
      <c r="L2" s="8" t="s">
        <v>46</v>
      </c>
    </row>
    <row r="3" spans="4:12" x14ac:dyDescent="0.25">
      <c r="D3" s="16">
        <v>1281148</v>
      </c>
      <c r="E3" s="16" t="s">
        <v>6</v>
      </c>
      <c r="F3" s="16" t="s">
        <v>7</v>
      </c>
      <c r="G3" s="16" t="s">
        <v>47</v>
      </c>
      <c r="H3" s="16" t="s">
        <v>8</v>
      </c>
      <c r="I3" s="16">
        <v>10000</v>
      </c>
      <c r="J3" s="16">
        <v>0.5</v>
      </c>
      <c r="K3" s="16">
        <f>I3*J3</f>
        <v>5000</v>
      </c>
    </row>
    <row r="4" spans="4:12" x14ac:dyDescent="0.25">
      <c r="D4" s="16">
        <v>1281250</v>
      </c>
      <c r="E4" s="16" t="s">
        <v>9</v>
      </c>
      <c r="F4" s="16" t="s">
        <v>10</v>
      </c>
      <c r="G4" s="16" t="s">
        <v>48</v>
      </c>
      <c r="H4" s="16" t="s">
        <v>11</v>
      </c>
      <c r="I4" s="16">
        <v>20000</v>
      </c>
      <c r="J4" s="16">
        <v>0.6</v>
      </c>
      <c r="K4" s="16">
        <f t="shared" ref="K4:K17" si="0">I4*J4</f>
        <v>12000</v>
      </c>
    </row>
    <row r="5" spans="4:12" x14ac:dyDescent="0.25">
      <c r="D5" s="16">
        <v>1281305</v>
      </c>
      <c r="E5" s="16" t="s">
        <v>12</v>
      </c>
      <c r="F5" s="16" t="s">
        <v>13</v>
      </c>
      <c r="G5" s="16" t="s">
        <v>49</v>
      </c>
      <c r="H5" s="16" t="s">
        <v>14</v>
      </c>
      <c r="I5" s="16">
        <v>30000</v>
      </c>
      <c r="J5" s="16">
        <v>0.05</v>
      </c>
      <c r="K5" s="16">
        <f t="shared" si="0"/>
        <v>1500</v>
      </c>
    </row>
    <row r="6" spans="4:12" x14ac:dyDescent="0.25">
      <c r="D6" s="16">
        <v>1281332</v>
      </c>
      <c r="E6" s="16" t="s">
        <v>15</v>
      </c>
      <c r="F6" s="16" t="s">
        <v>16</v>
      </c>
      <c r="G6" s="16" t="s">
        <v>50</v>
      </c>
      <c r="H6" s="16" t="s">
        <v>17</v>
      </c>
      <c r="I6" s="16">
        <v>40000</v>
      </c>
      <c r="J6" s="16">
        <v>0.1</v>
      </c>
      <c r="K6" s="16">
        <f t="shared" si="0"/>
        <v>4000</v>
      </c>
    </row>
    <row r="7" spans="4:12" x14ac:dyDescent="0.25">
      <c r="D7" s="16">
        <v>1281514</v>
      </c>
      <c r="E7" s="16" t="s">
        <v>18</v>
      </c>
      <c r="F7" s="16" t="s">
        <v>19</v>
      </c>
      <c r="G7" s="16" t="s">
        <v>51</v>
      </c>
      <c r="H7" s="16" t="s">
        <v>20</v>
      </c>
      <c r="I7" s="16">
        <v>50000</v>
      </c>
      <c r="J7" s="16">
        <v>0.2</v>
      </c>
      <c r="K7" s="16">
        <f t="shared" si="0"/>
        <v>10000</v>
      </c>
    </row>
    <row r="8" spans="4:12" x14ac:dyDescent="0.25">
      <c r="D8" s="16">
        <v>1281521</v>
      </c>
      <c r="E8" s="16" t="s">
        <v>21</v>
      </c>
      <c r="F8" s="16" t="s">
        <v>22</v>
      </c>
      <c r="G8" s="16" t="s">
        <v>52</v>
      </c>
      <c r="H8" s="16" t="s">
        <v>23</v>
      </c>
      <c r="I8" s="16">
        <v>60000</v>
      </c>
      <c r="J8" s="16">
        <v>0.3</v>
      </c>
      <c r="K8" s="16">
        <f t="shared" si="0"/>
        <v>18000</v>
      </c>
    </row>
    <row r="9" spans="4:12" x14ac:dyDescent="0.25">
      <c r="D9" s="16">
        <v>1281524</v>
      </c>
      <c r="E9" s="16" t="s">
        <v>24</v>
      </c>
      <c r="F9" s="16" t="s">
        <v>25</v>
      </c>
      <c r="G9" s="16" t="s">
        <v>53</v>
      </c>
      <c r="H9" s="16" t="s">
        <v>26</v>
      </c>
      <c r="I9" s="16">
        <v>70000</v>
      </c>
      <c r="J9" s="16">
        <v>0.4</v>
      </c>
      <c r="K9" s="16">
        <f t="shared" si="0"/>
        <v>28000</v>
      </c>
    </row>
    <row r="10" spans="4:12" x14ac:dyDescent="0.25">
      <c r="D10" s="16">
        <v>1281525</v>
      </c>
      <c r="E10" s="16" t="s">
        <v>27</v>
      </c>
      <c r="F10" s="16">
        <v>35132</v>
      </c>
      <c r="G10" s="16" t="s">
        <v>54</v>
      </c>
      <c r="H10" s="16" t="s">
        <v>28</v>
      </c>
      <c r="I10" s="16">
        <v>80000</v>
      </c>
      <c r="J10" s="16">
        <v>0.5</v>
      </c>
      <c r="K10" s="16">
        <f t="shared" si="0"/>
        <v>40000</v>
      </c>
    </row>
    <row r="11" spans="4:12" x14ac:dyDescent="0.25">
      <c r="D11" s="16">
        <v>1281539</v>
      </c>
      <c r="E11" s="16" t="s">
        <v>29</v>
      </c>
      <c r="F11" s="16" t="s">
        <v>30</v>
      </c>
      <c r="G11" s="16" t="s">
        <v>55</v>
      </c>
      <c r="H11" s="16" t="s">
        <v>31</v>
      </c>
      <c r="I11" s="16">
        <v>10000</v>
      </c>
      <c r="J11" s="16">
        <v>0.6</v>
      </c>
      <c r="K11" s="16">
        <f t="shared" si="0"/>
        <v>6000</v>
      </c>
    </row>
    <row r="12" spans="4:12" x14ac:dyDescent="0.25">
      <c r="D12" s="16">
        <v>1281573</v>
      </c>
      <c r="E12" s="16" t="s">
        <v>32</v>
      </c>
      <c r="F12" s="16" t="s">
        <v>33</v>
      </c>
      <c r="G12" s="16" t="s">
        <v>56</v>
      </c>
      <c r="H12" s="16" t="s">
        <v>34</v>
      </c>
      <c r="I12" s="16">
        <v>20000</v>
      </c>
      <c r="J12" s="16">
        <v>0.05</v>
      </c>
      <c r="K12" s="16">
        <f t="shared" si="0"/>
        <v>1000</v>
      </c>
    </row>
    <row r="13" spans="4:12" x14ac:dyDescent="0.25">
      <c r="D13" s="16">
        <v>1281608</v>
      </c>
      <c r="E13" s="16" t="s">
        <v>35</v>
      </c>
      <c r="F13" s="16" t="s">
        <v>36</v>
      </c>
      <c r="G13" s="16" t="s">
        <v>57</v>
      </c>
      <c r="H13" s="16" t="s">
        <v>37</v>
      </c>
      <c r="I13" s="16">
        <v>30000</v>
      </c>
      <c r="J13" s="16">
        <v>0.02</v>
      </c>
      <c r="K13" s="16">
        <f t="shared" si="0"/>
        <v>600</v>
      </c>
    </row>
    <row r="14" spans="4:12" x14ac:dyDescent="0.25">
      <c r="D14" s="16">
        <v>1281656</v>
      </c>
      <c r="E14" s="16" t="s">
        <v>38</v>
      </c>
      <c r="F14" s="16">
        <v>36136</v>
      </c>
      <c r="G14" s="16" t="s">
        <v>58</v>
      </c>
      <c r="H14" s="16" t="s">
        <v>39</v>
      </c>
      <c r="I14" s="16">
        <v>40000</v>
      </c>
      <c r="J14" s="16">
        <v>0.3</v>
      </c>
      <c r="K14" s="16">
        <f t="shared" si="0"/>
        <v>12000</v>
      </c>
    </row>
    <row r="15" spans="4:12" x14ac:dyDescent="0.25">
      <c r="D15" s="16">
        <v>1281661</v>
      </c>
      <c r="E15" s="16" t="s">
        <v>40</v>
      </c>
      <c r="F15" s="16">
        <v>36172</v>
      </c>
      <c r="G15" s="16" t="s">
        <v>59</v>
      </c>
      <c r="H15" s="16" t="s">
        <v>41</v>
      </c>
      <c r="I15" s="16">
        <v>50000</v>
      </c>
      <c r="J15" s="16">
        <v>0.8</v>
      </c>
      <c r="K15" s="16">
        <f t="shared" si="0"/>
        <v>40000</v>
      </c>
    </row>
    <row r="16" spans="4:12" x14ac:dyDescent="0.25">
      <c r="D16" s="16">
        <v>1281714</v>
      </c>
      <c r="E16" s="16" t="s">
        <v>42</v>
      </c>
      <c r="F16" s="16">
        <v>35796</v>
      </c>
      <c r="G16" s="16" t="s">
        <v>60</v>
      </c>
      <c r="I16" s="16">
        <v>60000</v>
      </c>
      <c r="J16" s="16">
        <v>0.04</v>
      </c>
      <c r="K16" s="16">
        <f t="shared" si="0"/>
        <v>2400</v>
      </c>
    </row>
    <row r="17" spans="4:11" x14ac:dyDescent="0.25">
      <c r="D17" s="16">
        <v>1281745</v>
      </c>
      <c r="E17" s="16" t="s">
        <v>43</v>
      </c>
      <c r="F17" s="16">
        <v>34760</v>
      </c>
      <c r="G17" s="16" t="s">
        <v>61</v>
      </c>
      <c r="H17" s="16" t="s">
        <v>44</v>
      </c>
      <c r="I17" s="16">
        <v>70000</v>
      </c>
      <c r="J17" s="16">
        <v>0.04</v>
      </c>
      <c r="K17" s="16">
        <f t="shared" si="0"/>
        <v>2800</v>
      </c>
    </row>
  </sheetData>
  <conditionalFormatting sqref="D3:G15 J16:J17 D16:H1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{3353C41E-1189-45F7-82DE-5CFE5A5ADBB8}</x14:id>
        </ext>
      </extLst>
    </cfRule>
  </conditionalFormatting>
  <conditionalFormatting sqref="H6:J10 H11:H15 J11:J15 H3:I5 K3:K1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{09808483-BF77-4DBF-82BB-77227D0C0D3A}</x14:id>
        </ext>
      </extLst>
    </cfRule>
  </conditionalFormatting>
  <conditionalFormatting sqref="I11:I1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{7AA955AD-F8B3-4D9A-8119-9CEA91AE3682}</x14:id>
        </ext>
      </extLst>
    </cfRule>
  </conditionalFormatting>
  <conditionalFormatting sqref="J3:J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{4078A854-A69D-4D1C-B602-CE39FD2B0B06}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53C41E-1189-45F7-82DE-5CFE5A5ADB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D3:G15 J16:J17 D16:H17</xm:sqref>
        </x14:conditionalFormatting>
        <x14:conditionalFormatting xmlns:xm="http://schemas.microsoft.com/office/excel/2006/main">
          <x14:cfRule type="dataBar" id="{09808483-BF77-4DBF-82BB-77227D0C0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H6:J10 H11:H15 J11:J15 H3:I5 K3:K17</xm:sqref>
        </x14:conditionalFormatting>
        <x14:conditionalFormatting xmlns:xm="http://schemas.microsoft.com/office/excel/2006/main">
          <x14:cfRule type="dataBar" id="{7AA955AD-F8B3-4D9A-8119-9CEA91AE36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I11:I17</xm:sqref>
        </x14:conditionalFormatting>
        <x14:conditionalFormatting xmlns:xm="http://schemas.microsoft.com/office/excel/2006/main">
          <x14:cfRule type="dataBar" id="{4078A854-A69D-4D1C-B602-CE39FD2B0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learn</vt:lpstr>
      <vt:lpstr>if</vt:lpstr>
      <vt:lpstr>vlookup</vt:lpstr>
      <vt:lpstr>data</vt:lpstr>
      <vt:lpstr>Orders</vt:lpstr>
      <vt:lpstr>list</vt:lpstr>
      <vt:lpstr>Salary Sheet &amp;  formula</vt:lpstr>
      <vt:lpstr>23-jan-2024</vt:lpstr>
      <vt:lpstr>24-jan-2024</vt:lpstr>
      <vt:lpstr>chart</vt:lpstr>
      <vt:lpstr>calc</vt:lpstr>
      <vt:lpstr>'23-jan-2024'!Print_Area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2024-01-25T13:04:31Z</dcterms:modified>
</cp:coreProperties>
</file>